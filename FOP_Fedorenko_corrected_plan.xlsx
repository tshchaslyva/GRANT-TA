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cd04d7b051348f5" /></Relationships>
</file>

<file path=xl/workbook.xml><?xml version="1.0" encoding="utf-8"?>
<x:workbook xmlns:x="http://schemas.openxmlformats.org/spreadsheetml/2006/main">
  <x:sheets>
    <x:sheet xmlns:r="http://schemas.openxmlformats.org/officeDocument/2006/relationships" name="Памятка" sheetId="2" r:id="Rf207e65c6a5b4b6a"/>
    <x:sheet xmlns:r="http://schemas.openxmlformats.org/officeDocument/2006/relationships" name="Бізнес план" sheetId="3" r:id="Ra095fa6030e44aff"/>
    <x:sheet xmlns:r="http://schemas.openxmlformats.org/officeDocument/2006/relationships" name="Прибутки та збитки" sheetId="5" r:id="R7e9a1e55edc24e26"/>
    <x:sheet xmlns:r="http://schemas.openxmlformats.org/officeDocument/2006/relationships" name="Довідник започаткування" sheetId="9" r:id="R2d9a0abbbb41464e"/>
    <x:sheet xmlns:r="http://schemas.openxmlformats.org/officeDocument/2006/relationships" name="Довідник масштабування" sheetId="10" r:id="Rc4cabe05ee384b8c"/>
    <x:sheet xmlns:r="http://schemas.openxmlformats.org/officeDocument/2006/relationships" name="Довідник витрат" sheetId="8" r:id="Rfc41c8537365438c"/>
    <x:sheet xmlns:r="http://schemas.openxmlformats.org/officeDocument/2006/relationships" name="Модель 36 міс" sheetId="11" r:id="R3dcd4b8408694a69"/>
    <x:sheet xmlns:r="http://schemas.openxmlformats.org/officeDocument/2006/relationships" name="Вхідні дані" sheetId="12" r:id="R51462b65b4f34b62"/>
    <x:sheet xmlns:r="http://schemas.openxmlformats.org/officeDocument/2006/relationships" name="Реєстр перевірки" sheetId="13" r:id="R59c3b96970174526"/>
  </x:sheets>
</x:workbook>
</file>

<file path=xl/sharedStrings.xml><?xml version="1.0" encoding="utf-8"?>
<x:sst xmlns:x="http://schemas.openxmlformats.org/spreadsheetml/2006/main">
  <x:si>
    <x:t xml:space="preserve">                                                                                     </x:t>
  </x:si>
  <x:si>
    <x:t xml:space="preserve">Пам'ятка щодо заповнення бізнес-плану </x:t>
  </x:si>
  <x:si>
    <x:t xml:space="preserve">У цьому документі передбачено два розділи форми, які необхідно заповнити як частину заявки на отримання гранту.
У верхній частині кожного розділу наведено його опис та рекомендації щодо заповнення.
Ця форма бізнес-плану призначена для підготовки бізнес-плану при поданні заявки на отримання гранту відповідно до постанови Кабінету Міністрів України від 21 червня 2022 року № 738 «Деякі питання надання грантів бізнесу» з урахуванням змін, внесених постановою Кабінету Міністрів України від 15 травня 2026 року № 616, які для нового Порядку застосовуються з 1 вересня 2026 року, та Положення про бізнес-плани, затвердженого постановою Кабінету Міністрів України від 26 листопада 2025 року № 1527.
Офіційні джерела:
https://zakon.rada.gov.ua/laws/show/616-2026-%D0%BF
https://zakon.rada.gov.ua/laws/show/1527-2025-%D0%BF
Під час оцінювання бізнес-плану враховуватимуться дані, зазначені заявником у цій формі, тому перед поданням заявки необхідно уважно перевірити повноту та достовірність внесеної інформації.
Під час заповнення форми рекомендується регулярно зберігати внесені дані.</x:t>
  </x:si>
  <x:si>
    <x:t xml:space="preserve">ПОРАДИ ЩОДО ЗАПОВНЕННЯ ШАБЛОНУ</x:t>
  </x:si>
  <x:si>
    <x:t xml:space="preserve">*</x:t>
  </x:si>
  <x:si>
    <x:t xml:space="preserve">Шаблон розроблено для зручного та послідовного заповнення бізнес-плану. Під час заповнення вкладок необхідно дотримуватися наведених інструкцій та вносити дані відповідно до параметрів проєкту.</x:t>
  </x:si>
  <x:si>
    <x:t xml:space="preserve">Дані вводяться у клітинки білого кольору. Клітинки світло-блакитного кольору містять формули та розраховуються автоматично на підставі введених даних.</x:t>
  </x:si>
  <x:si>
    <x:t xml:space="preserve">Для перегляду формули, що використовується у клітинці з автоматичним розрахунком, необхідно вибрати відповідну клітинку. Формула відображається у рядку формул у верхній частині вікна Excel.</x:t>
  </x:si>
  <x:si>
    <x:t xml:space="preserve">Від’ємні результати відображаються червоним кольором та потребують додаткової перевірки вихідних даних і розрахунків.</x:t>
  </x:si>
  <x:si>
    <x:t xml:space="preserve">Усі грошові показники зазначаються у гривнях. ПДВ відображайте відповідно до статусу платника ПДВ та логіки конкретного розрахунку; не дублюйте ПДВ у доходах або витратах.</x:t>
  </x:si>
  <x:si>
    <x:t xml:space="preserve">У шаблоні передбачено перелік типових показників, який може бути доповнений залежно від особливостей діяльності та структури проєкту.</x:t>
  </x:si>
  <x:si>
    <x:t xml:space="preserve">Грантові кошти мають бути використані протягом 3 місяців з дати їх зарахування на рахунок отримувача. Невикористаний залишок коштів підлягає поверненню відповідно до Порядку</x:t>
  </x:si>
  <x:si>
    <x:t xml:space="preserve">Порядок заповнення: спочатку заповніть вкладку «Бізнес план» і матрицю гранту, потім — «Прибутки та збитки». Довідники «Започаткування», «Масштабування» та «Витрати» використовуйте як підказки; дані в них не вводяться.</x:t>
  </x:si>
  <x:si>
    <x:t xml:space="preserve">Поради щодо використання Excel</x:t>
  </x:si>
  <x:si>
    <x:t xml:space="preserve">Щоб перейти на новий рядок у межах тієї самої клітинки, натисніть Alt + Enter.
Після завершення введення даних натисніть Enter, щоб зберегти зміни в клітинці. Натискання Esc скасовує внесені зміни.
Щоб відредагувати вже введений текст без його видалення, виберіть потрібну клітинку та внесіть зміни безпосередньо в клітинці або в рядку формул у верхній частині вікна Excel.</x:t>
  </x:si>
  <x:si>
    <x:t xml:space="preserve">Загальні відомості про суб’єкта  мікро-, малого і середнього підприємництва</x:t>
  </x:si>
  <x:si>
    <x:t xml:space="preserve">Пояснення</x:t>
  </x:si>
  <x:si>
    <x:t xml:space="preserve">Фізична особа - підприємець Федоренко Таїсія Анатоліївна</x:t>
  </x:si>
  <x:si>
    <x:t xml:space="preserve">ФІЗ/ФОП/ЮР
</x:t>
  </x:si>
  <x:si>
    <x:t xml:space="preserve">код ЄДРПОУ / РНОКПП заявника: 2901013689</x:t>
  </x:si>
  <x:si>
    <x:t xml:space="preserve">Код ЄДРПОУ / РНОКПП заявника</x:t>
  </x:si>
  <x:si>
    <x:t xml:space="preserve">організаційно-правова форма: фізична особа - підприємець </x:t>
  </x:si>
  <x:si>
    <x:r>
      <x:t xml:space="preserve">організаційно-правова форма суб’єкта мікро-, малого або середнього підприємництва (</x:t>
    </x:r>
    <x:r>
      <x:rPr>
        <x:b/>
        <x:sz val="12"/>
        <x:rFont val="Times New Roman"/>
        <x:family val="1"/>
      </x:rPr>
      <x:t xml:space="preserve">зазначити організаційно-правову форму заявника відповідно до реєстраційних даних</x:t>
    </x:r>
    <x:r>
      <x:rPr>
        <x:sz val="12"/>
        <x:rFont val="Times New Roman"/>
        <x:family val="1"/>
      </x:rPr>
      <x:t xml:space="preserve">)</x:t>
    </x:r>
  </x:si>
  <x:si>
    <x:t xml:space="preserve">Черкаська область м.Жашків</x:t>
  </x:si>
  <x:si>
    <x:r>
      <x:t xml:space="preserve">регіон провадження господарської діяльності (</x:t>
    </x:r>
    <x:r>
      <x:rPr>
        <x:b/>
        <x:sz val="12"/>
        <x:rFont val="Times New Roman"/>
        <x:family val="1"/>
      </x:rPr>
      <x:t xml:space="preserve">зазначити область, територіальну громаду, населений пункт</x:t>
    </x:r>
    <x:r>
      <x:rPr>
        <x:sz val="12"/>
        <x:rFont val="Times New Roman"/>
        <x:family val="1"/>
      </x:rPr>
      <x:t xml:space="preserve">)</x:t>
    </x:r>
  </x:si>
  <x:si>
    <x:t xml:space="preserve">.</x:t>
  </x:si>
  <x:si>
    <x:t xml:space="preserve">70.22 Консультування з питань комерційної діяльності й керування</x:t>
  </x:si>
  <x:si>
    <x:r>
      <x:t xml:space="preserve">цифрове та текстове позначення основного виду діяльності згідно з КВЕД, </x:t>
    </x:r>
    <x:r>
      <x:rPr>
        <x:b/>
        <x:sz val="12"/>
        <x:rFont val="Times New Roman"/>
        <x:family val="1"/>
      </x:rPr>
      <x:t xml:space="preserve">зазначений вид економічної діяльності має відповідати виду діяльності, зазначеному в заяві на отримання гранту</x:t>
    </x:r>
  </x:si>
  <x:si>
    <x:t xml:space="preserve">досвід провадження господарської діяльності: з 17.08.2026 (попередньо мала досвід поважєення господарської діяльності 6 років: 3 2009 по 2015 роки)</x:t>
  </x:si>
  <x:si>
    <x:r>
      <x:t xml:space="preserve">інформація про досвід провадження господарської діяльності (</x:t>
    </x:r>
    <x:r>
      <x:rPr>
        <x:b/>
        <x:sz val="12"/>
        <x:rFont val="Times New Roman"/>
        <x:family val="1"/>
      </x:rPr>
      <x:t xml:space="preserve">зазначити період провадження господарської діяльності з дати державної реєстрації суб’єкта господарювання до дати подання заявки</x:t>
    </x:r>
    <x:r>
      <x:rPr>
        <x:sz val="12"/>
        <x:rFont val="Times New Roman"/>
        <x:family val="1"/>
      </x:rPr>
      <x:t xml:space="preserve">)</x:t>
    </x:r>
  </x:si>
  <x:si>
    <x:t xml:space="preserve">контактна інформація: місцезнаходження: м.Жашків, вул. Ринкова, 9 кв. 2, місце провадження господарської діяльності: м.Жашкв, вул. Соборна, 37  067 7728884, ftasssya@gmail.com, Федоренко Таїсія Анатоліївна, </x:t>
  </x:si>
  <x:si>
    <x:t xml:space="preserve">місцезнаходження суб’єкта мікро-, малого або середнього підприємництва та місце провадження його господарської діяльності, контактний номер телефону, адреса електронної пошти, прізвище, власне ім’я та по батькові (за наявності) керівника (для юридичної особи) або власника (для фізичної особи — підприємця), інші канали комунікації (веб-сайт, сторінки у соціальних мережах — за наявності).</x:t>
  </x:si>
  <x:si>
    <x:t xml:space="preserve">Опис проекту:</x:t>
  </x:si>
  <x:si>
    <x:r>
      <x:t xml:space="preserve">змістовне пояснення концепції проекту, його унікальності, інноваційності, значущості для ринку або споживача (</x:t>
    </x:r>
    <x:r>
      <x:rPr>
        <x:b/>
        <x:sz val="12"/>
        <x:rFont val="Times New Roman"/>
        <x:family val="1"/>
      </x:rPr>
      <x:t xml:space="preserve">коротко описати, у чому полягає ідея проєкту, чим вона відрізняється від інших пропозицій та яку користь або цінність створює для споживача чи ринку</x:t>
    </x:r>
    <x:r>
      <x:rPr>
        <x:sz val="12"/>
        <x:rFont val="Times New Roman"/>
        <x:family val="1"/>
      </x:rPr>
      <x:t xml:space="preserve">)</x:t>
    </x:r>
  </x:si>
  <x:si>
    <x:r>
      <x:t xml:space="preserve">очікуваний вплив проекту на ринок (покращення конкурентного середовища, розширення вибору для споживачів, підвищення якості товарів/послуг) та на місцеву громаду (створення нових робочих місць, розвиток інфраструктури, соціальний або екологічний ефект) -</x:t>
    </x:r>
    <x:r>
      <x:rPr>
        <x:b/>
        <x:sz val="12"/>
        <x:rFont val="Times New Roman"/>
        <x:family val="1"/>
      </x:rPr>
      <x:t xml:space="preserve"> коротко описати, які позитивні зміни очікуються від реалізації проєкту: що покращиться для споживачів або ринку та яку користь проєкт принесе місцевій громаді</x:t>
    </x:r>
  </x:si>
  <x:si>
    <x:r>
      <x:t xml:space="preserve">зазначте перелік дозвільних, ліцензійних, реєстраційних та інших документів, необхідних для реалізації проєкту, а також їх статус: отримано / у процесі отримання / не потребується; наявність дозвільних документів/  перелік необхідних дозвільних документів для провадження діяльності, поточний статус їх отримання (отримано, у процесі отримання, відсутні), плани щодо отримання відсутніх документів -  </x:t>
    </x:r>
    <x:r>
      <x:rPr>
        <x:b/>
        <x:sz val="12"/>
        <x:rFont val="Times New Roman"/>
        <x:family val="1"/>
      </x:rPr>
      <x:t xml:space="preserve">зазначити, які дозволи, ліцензії, реєстрації або інші документи потрібні для провадження запланованої діяльності, які з них уже отримано, які перебувають у процесі оформлення та які ще необхідно отримати, якщо дозвільні документи для відповідного виду діяльності не потрібні — зазначити це окремо</x:t>
    </x:r>
  </x:si>
  <x:si>
    <x:r>
      <x:t xml:space="preserve"> запитуваний обсяг фінансової підтримки у гривнях, детальний перелік напрямів їх використання (придбання обладнання, ремонт/будівництво, навчання персоналу, маркетинг), очікуваний результат від державної підтримки (вплив підтримки на масштабування або прискорення реалізації проекту, підвищення його стійкості та прибутковості) - </x:t>
    </x:r>
    <x:r>
      <x:rPr>
        <x:b/>
        <x:sz val="12"/>
        <x:rFont val="Times New Roman"/>
        <x:family val="1"/>
      </x:rPr>
      <x:t xml:space="preserve">зазначити суму підтримки, на що саме планується спрямувати кошти: обладнання, транспорт, ремонт, сировину та матеріали, оренду, програмне забезпечення, маркетинг, облаштування робочих місць, а також коротко пояснити, який результат це дасть для запуску або розвитку бізнесу</x:t>
    </x:r>
  </x:si>
  <x:si>
    <x:t xml:space="preserve">Резюме проекту</x:t>
  </x:si>
  <x:si>
    <x:t xml:space="preserve">строк реалізації проекту:</x:t>
  </x:si>
  <x:si>
    <x:t xml:space="preserve">24 місяці / 36 місяців / 60 місяців</x:t>
  </x:si>
  <x:si>
    <x:t xml:space="preserve">тип проекту:</x:t>
  </x:si>
  <x:si>
    <x:t xml:space="preserve">Масштабування власної справи</x:t>
  </x:si>
  <x:si>
    <x:t xml:space="preserve">започаткування власної справи/ масштабування власної справи (потрібне вибрати). </x:t>
  </x:si>
  <x:si>
    <x:t xml:space="preserve">розрахунок максимально допустимої суми гранту</x:t>
  </x:si>
  <x:si>
    <x:t xml:space="preserve">запитувана сума гранту, грн</x:t>
  </x:si>
  <x:si>
    <x:t xml:space="preserve">коментарі</x:t>
  </x:si>
  <x:si>
    <x:t xml:space="preserve">Оберіть тип проєкту та лише ті підстави для збільшення розміру гранту, які фактично відповідають заявнику і проєкту. Для започаткування базовий розмір гранту становить 100 000–300 000 грн, для масштабування — 500 000–1 500 000 грн. Граничний розмір з урахуванням збільшень: 500 000 грн для започаткування та 2 500 000 грн для масштабування. Для масштабування базовою обов’язковою умовою є створення 1 нового робочого місця. Підстава +20% за робочі місця застосовується лише за окремого зобов’язання отримувача створити 2 нових робочих місця; сам факт зазначення двох працівників у кадровому плані не повинен автоматично означати прийняття такого зобов’язання. Статус платника ПДВ для +20% визначається станом на дату подання заяви. Належність проєкту до пріоритетного сектору економіки остаточно визначається Державним центром зайнятості.</x:t>
  </x:si>
  <x:si>
    <x:t xml:space="preserve">  тип проєкту</x:t>
  </x:si>
  <x:si>
    <x:t xml:space="preserve">базовий граничний розмір гранту, грн</x:t>
  </x:si>
  <x:si>
    <x:t xml:space="preserve">статус платника ПДВ на дату подання заявки</x:t>
  </x:si>
  <x:si>
    <x:t xml:space="preserve">Неплатник ПДВ</x:t>
  </x:si>
  <x:si>
    <x:t xml:space="preserve">вік отримувача 18–25 років включно</x:t>
  </x:si>
  <x:si>
    <x:t xml:space="preserve">Ні</x:t>
  </x:si>
  <x:si>
    <x:t xml:space="preserve">ветеранське підприємництво</x:t>
  </x:si>
  <x:si>
    <x:t xml:space="preserve">чинний патент України на винахід та/або корисну модель, пов’язаний із реалізацією проєкту</x:t>
  </x:si>
  <x:si>
    <x:t xml:space="preserve">ВПО з досвідом підприємницької діяльності понад 6 місяців / релоковане підприємство</x:t>
  </x:si>
  <x:si>
    <x:t xml:space="preserve">зобов’язання отримувача створити 2 нових робочих місця</x:t>
  </x:si>
  <x:si>
    <x:t xml:space="preserve">Так</x:t>
  </x:si>
  <x:si>
    <x:t xml:space="preserve">реєстрація отримувача та провадження / планування діяльності на території, визначеній Порядком</x:t>
  </x:si>
  <x:si>
    <x:t xml:space="preserve">оновлення основних засобів виробництва, знищених або пошкоджених внаслідок збройної агресії Російської Федерації</x:t>
  </x:si>
  <x:si>
    <x:t xml:space="preserve">реалізація проєкту у пріоритетному секторі економіки відповідно до визначених Порядком умов</x:t>
  </x:si>
  <x:si>
    <x:t xml:space="preserve">загальний відсоток збільшення, %</x:t>
  </x:si>
  <x:si>
    <x:t xml:space="preserve"> </x:t>
  </x:si>
  <x:si>
    <x:t xml:space="preserve">максимально допустима сума гранту, грн</x:t>
  </x:si>
  <x:si>
    <x:t xml:space="preserve">система оподаткування заявника:</x:t>
  </x:si>
  <x:si>
    <x:t xml:space="preserve">Спрощена система — 3 група</x:t>
  </x:si>
  <x:si>
    <x:r>
      <x:rPr>
        <x:sz val="12"/>
        <x:color rgb="FF000000"/>
        <x:rFont val="Times New Roman"/>
        <x:family val="1"/>
      </x:rPr>
      <x:t xml:space="preserve"> зазначте систему оподаткування, яку застосовує заявник на дату підготовки бізнес-плану або планує застосовувати під час реалізації проєкту - </x:t>
    </x:r>
    <x:r>
      <x:rPr>
        <x:b/>
        <x:sz val="12"/>
        <x:color rgb="FF000000"/>
        <x:rFont val="Times New Roman"/>
        <x:family val="1"/>
      </x:rPr>
      <x:t xml:space="preserve">зазначте систему оподаткування, яка застосовуватиметься під час реалізації проєкту: загальна система або відповідна група спрощеної системи оподаткування. Обраний варіант має відповідати розрахункам податків у фінансовій частині бізнес-плану</x:t>
    </x:r>
  </x:si>
  <x:si>
    <x:r>
      <x:rPr>
        <x:sz val="12"/>
        <x:color rgb="FF000000"/>
        <x:rFont val="Times New Roman"/>
        <x:family val="1"/>
      </x:rPr>
      <x:t xml:space="preserve"> зазначте, чи є заявник платником ПДВ на дату підготовки бізнес-плану або чи планує зареєструватися платником ПДВ під час реалізації проєкту - </x:t>
    </x:r>
    <x:r>
      <x:rPr>
        <x:b/>
        <x:sz val="12"/>
        <x:color rgb="FF000000"/>
        <x:rFont val="Times New Roman"/>
        <x:family val="1"/>
      </x:rPr>
      <x:t xml:space="preserve">зазначте статус платника ПДВ, який застосовуватиметься під час реалізації проєкту: Платник ПДВ або Неплатник ПДВ. Це поле використовується для фінансового планування і не впливає на підвищення максимально допустимої суми гранту</x:t>
    </x:r>
  </x:si>
  <x:si>
    <x:t xml:space="preserve">основна мета проекту:</x:t>
  </x:si>
  <x:si>
    <x:r>
      <x:rPr>
        <x:sz val="12"/>
        <x:color rgb="FF000000"/>
        <x:rFont val="Times New Roman"/>
        <x:family val="1"/>
      </x:rPr>
      <x:t xml:space="preserve">Опис ключового завдання, яке планується реалізувати в рамках проекту. Опишіть основну мету проєкту з урахуванням обраного типу проєкту — започаткування або масштабування власної справи — та зазначте, як реалізація проєкту сприятиме створенню або розвитку бізнесу. </x:t>
    </x:r>
    <x:r>
      <x:rPr>
        <x:b/>
        <x:sz val="12"/>
        <x:color rgb="FF000000"/>
        <x:rFont val="Times New Roman"/>
        <x:family val="1"/>
      </x:rPr>
      <x:t xml:space="preserve">Опишіть, чого ви плануєте досягти завдяки проєкту. Зазначте, чи йдеться про започаткування нового бізнесу або масштабування вже діючого, та коротко поясніть, як проєкт допоможе створити або розвинути справу</x:t>
    </x:r>
  </x:si>
  <x:si>
    <x:t xml:space="preserve">коротка характеристика продукції або послуг:</x:t>
  </x:si>
  <x:si>
    <x:r>
      <x:t xml:space="preserve">короткий опис характеристик товарів або послуг, що пропонуються в рамкаї проекту (за наявності). </x:t>
    </x:r>
    <x:r>
      <x:rPr>
        <x:b/>
        <x:sz val="12"/>
        <x:rFont val="Times New Roman"/>
        <x:family val="1"/>
      </x:rPr>
      <x:t xml:space="preserve">Коротко опишіть товари або послуги, які плануєте пропонувати в межах проєкту (за наявності)</x:t>
    </x:r>
    <x:r>
      <x:rPr>
        <x:sz val="12"/>
        <x:rFont val="Times New Roman"/>
        <x:family val="1"/>
      </x:rPr>
      <x:t xml:space="preserve">
</x:t>
    </x:r>
  </x:si>
  <x:si>
    <x:t xml:space="preserve">визначення цільової аудиторії:</x:t>
  </x:si>
  <x:si>
    <x:r>
      <x:t xml:space="preserve">опис потенційних споживачів товарів або послуг за віком, місцем проживання, професією, інтересам, тощо. </x:t>
    </x:r>
    <x:r>
      <x:rPr>
        <x:b/>
        <x:sz val="12"/>
        <x:rFont val="Times New Roman"/>
        <x:family val="1"/>
      </x:rPr>
      <x:t xml:space="preserve">Опишіть, хто є вашими потенційними клієнтами: їхній вік, місце проживання, професію, інтереси та інші важливі характеристики</x:t>
    </x:r>
    <x:r>
      <x:rPr>
        <x:sz val="12"/>
        <x:rFont val="Times New Roman"/>
        <x:family val="1"/>
      </x:rPr>
      <x:t xml:space="preserve">
</x:t>
    </x:r>
  </x:si>
  <x:si>
    <x:t xml:space="preserve">місцезнаходження реалізації проекту:</x:t>
  </x:si>
  <x:si>
    <x:r>
      <x:t xml:space="preserve">Зазначити область, територіальну громаду, населений пункт та, за наявності, адресу місця фактичної реалізації проєкту. </x:t>
    </x:r>
    <x:r>
      <x:rPr>
        <x:b/>
        <x:sz val="12"/>
        <x:rFont val="Times New Roman"/>
        <x:family val="1"/>
      </x:rPr>
      <x:t xml:space="preserve">Вкажіть, де фактично реалізовуватиметься проєкт: область, громаду, населений пункт та, за наявності, адресу</x:t>
    </x:r>
  </x:si>
  <x:si>
    <x:t xml:space="preserve">графік реалізації проекту:</x:t>
  </x:si>
  <x:si>
    <x:t xml:space="preserve">Опишіть етапи реалізації проєкту та зазначте строки їх виконання. Для кожного етапу вкажіть орієнтовний місяць і рік</x:t>
  </x:si>
  <x:si>
    <x:t xml:space="preserve">Початок: місяць і рік початку реалізації проєкту.
Ключові етапи: основні етапи реалізації проєкту із зазначенням строків їх виконання.
Проміжні етапи: проміжні кроки між основними етапами із зазначенням строків.
Завершення: місяць і рік завершення реалізації проєкту. Дата завершення повинна відповідати обраному строку реалізації — 24, 36 або 60 місяців.</x:t>
  </x:si>
  <x:si>
    <x:t xml:space="preserve">загальний бюджет проекту:</x:t>
  </x:si>
  <x:si>
    <x:r>
      <x:t xml:space="preserve">повна вартість реалізації проекту із зазначенням основних статей витрат. Загальний бюджет проєкту має включати запитувану суму гранту та власні/залучені кошти заявника, якщо такі передбачені. </x:t>
    </x:r>
    <x:r>
      <x:rPr>
        <x:b/>
        <x:sz val="12"/>
        <x:rFont val="Times New Roman"/>
        <x:family val="1"/>
      </x:rPr>
      <x:t xml:space="preserve">Зазначте повну вартість реалізації проєкту та основні статті витрат. До загального бюджету включіть запитувану суму гранту, а також власні або залучені кошти, якщо вони передбачені
</x:t>
    </x:r>
  </x:si>
  <x:si>
    <x:t xml:space="preserve">цінова стратегія продукції:</x:t>
  </x:si>
  <x:si>
    <x:r>
      <x:t xml:space="preserve">принципи та підхід до формування ціни на продукцію або послуги, враховуючи ринкову ситуацію та позиціонування.</x:t>
    </x:r>
    <x:r>
      <x:rPr>
        <x:b/>
        <x:sz val="12"/>
        <x:rFont val="Times New Roman"/>
        <x:family val="1"/>
      </x:rPr>
      <x:t xml:space="preserve"> Опишіть, як формується ціна на товари або послуги: що враховується при розрахунку вартості, які ціни діють на ринку та як ви плануєте позиціонувати свою пропозицію
</x:t>
    </x:r>
  </x:si>
  <x:si>
    <x:t xml:space="preserve">очікувані показники прибутковості:</x:t>
  </x:si>
  <x:si>
    <x:r>
      <x:t xml:space="preserve"> </x:t>
    </x:r>
    <x:r>
      <x:rPr>
        <x:b/>
        <x:sz val="12"/>
        <x:rFont val="Times New Roman"/>
        <x:family val="1"/>
      </x:rPr>
      <x:t xml:space="preserve">Вкажіть, який обсяг товарів або послуг плануєте продавати за визначений період та на яку орієнтовну суму</x:t>
    </x:r>
    <x:r>
      <x:rPr>
        <x:sz val="12"/>
        <x:rFont val="Times New Roman"/>
        <x:family val="1"/>
      </x:rPr>
      <x:t xml:space="preserve">
</x:t>
    </x:r>
  </x:si>
  <x:si>
    <x:t xml:space="preserve"> Зазначте очікуваний рівень рентабельності та покажіть, наскільки прибутковою буде діяльність відносно понесених витрат</x:t>
  </x:si>
  <x:si>
    <x:t xml:space="preserve">Вкажіть очікуваний фінансовий результат після врахування доходів і витрат
</x:t>
  </x:si>
  <x:si>
    <x:t xml:space="preserve">Покажіть надходження і витрати коштів за період та який залишок коштів очікується в результаті
</x:t>
  </x:si>
  <x:si>
    <x:t xml:space="preserve">показники ефективності (показники строку окупності інвестицій, рентабельності інвестицій та внутрішньої норми прибутковості визначаються на підставі фінансових прогнозів за весь строк реалізації проєкту)</x:t>
  </x:si>
  <x:si>
    <x:t xml:space="preserve">Показники ефективності проєкту визначайте на підставі фінансових прогнозів за весь строк його реалізації</x:t>
  </x:si>
  <x:si>
    <x:t xml:space="preserve">Вкажіть, за який орієнтовний період вкладені у проєкт кошти мають повернутися за рахунок отриманого фінансового результату
</x:t>
  </x:si>
  <x:si>
    <x:t xml:space="preserve">Покажіть, наскільки прибутковими є вкладення у проєкт порівняно з обсягом інвестованих коштів
</x:t>
  </x:si>
  <x:si>
    <x:t xml:space="preserve">Зазначте очікуваний показник прибутковості проєкту, розрахований на підставі прогнозних грошових потоків за весь строк його реалізації
</x:t>
  </x:si>
  <x:si>
    <x:t xml:space="preserve">Опишіть, яку користь проєкт матиме для людей і громади, наприклад створення робочих місць, доступ до нових послуг або розвиток місцевої економіки
</x:t>
  </x:si>
  <x:si>
    <x:t xml:space="preserve">Опишіть, чи матиме проєкт позитивний або негативний вплив на довкілля та які заходи передбачені для зменшення такого впливу
</x:t>
  </x:si>
  <x:si>
    <x:t xml:space="preserve">додаткові ефекти від реалізації проекту  створення нового напрямку консалтингових послуг у м. Жашків, дозволить стимулює появу супутніх сервісів — логістики, торгівлі, сфери послуг та фінансів.
</x:t>
  </x:si>
  <x:si>
    <x:t xml:space="preserve">Зазначте інші важливі результати проєкту, які не відображені у фінансових, соціальних або екологічних показниках.</x:t>
  </x:si>
  <x:si>
    <x:t xml:space="preserve">період досягнення точки беззбитковості, місяців:</x:t>
  </x:si>
  <x:si>
    <x:r>
      <x:t xml:space="preserve"> Зазначити місяць реалізації проєкту, починаючи з якого прогнозовані доходи покривають прогнозовані витрати. </x:t>
    </x:r>
    <x:r>
      <x:rPr>
        <x:b/>
        <x:sz val="12"/>
        <x:rFont val="Times New Roman"/>
        <x:family val="1"/>
      </x:rPr>
      <x:t xml:space="preserve">Зазначте, з якого місяця проєкт виходить на беззбитковість — тобто доходи починають покривати витрати</x:t>
    </x:r>
    <x:r>
      <x:rPr>
        <x:sz val="12"/>
        <x:rFont val="Times New Roman"/>
        <x:family val="1"/>
      </x:rPr>
      <x:t xml:space="preserve">
</x:t>
    </x:r>
  </x:si>
  <x:si>
    <x:t xml:space="preserve">версія І</x:t>
  </x:si>
  <x:si>
    <x:r>
      <x:t xml:space="preserve"> зазначте номер або позначення поточної версії бізнес-плану, наприклад: «Версія 1», «Версія 2». Вкажіть номер версії бізнес-плану. </x:t>
    </x:r>
    <x:r>
      <x:rPr>
        <x:b/>
        <x:sz val="12"/>
        <x:rFont val="Times New Roman"/>
        <x:family val="1"/>
      </x:rPr>
      <x:t xml:space="preserve">Перший підготовлений варіант — “Версія 1”, після внесення змін або доопрацювання — “Версія 2” і далі по порядку
</x:t>
    </x:r>
  </x:si>
  <x:si>
    <x:r>
      <x:t xml:space="preserve"> зазначте дату, коли бізнес-план був підготовлений або востаннє змінений. </x:t>
    </x:r>
    <x:r>
      <x:rPr>
        <x:b/>
        <x:sz val="12"/>
        <x:rFont val="Times New Roman"/>
        <x:family val="1"/>
      </x:rPr>
      <x:t xml:space="preserve">Зазначте дату підготовки бізнес-плану або, якщо його змінювали, дату останнього оновлення</x:t>
    </x:r>
    <x:r>
      <x:rPr>
        <x:sz val="12"/>
        <x:rFont val="Times New Roman"/>
        <x:family val="1"/>
      </x:rPr>
      <x:t xml:space="preserve">
</x:t>
    </x:r>
  </x:si>
  <x:si>
    <x:t xml:space="preserve">Інвестиційний план:</x:t>
  </x:si>
  <x:si>
    <x:t xml:space="preserve">перелік активів, що планується придбати за рахунок грантових коштів</x:t>
  </x:si>
  <x:si>
    <x:t xml:space="preserve">Стаття витрат </x:t>
  </x:si>
  <x:si>
    <x:t xml:space="preserve">Сума  (грн)</x:t>
  </x:si>
  <x:si>
    <x:t xml:space="preserve">Обгрунтування</x:t>
  </x:si>
  <x:si>
    <x:t xml:space="preserve">Витрати, що плануються за рахунок грантових коштів, повинні відповідати напрямам використання гранту, визначеним пунктом 7 Порядку, та бути передбачені бізнес-планом. Для кожної позиції зазначте найменування, орієнтовну марку/модель або основні характеристики та вартість. Зміна погоджених позицій, характеристик, марки/моделі або структури витрат під час реалізації проєкту здійснюється у порядку, визначеному Порядком та договором гранту; не вважайте таку заміну автоматично дозволеною.</x:t>
  </x:si>
  <x:si>
    <x:t xml:space="preserve">оренда приміщення
</x:t>
  </x:si>
  <x:si>
    <x:t xml:space="preserve">ремонт приіщення 
</x:t>
  </x:si>
  <x:si>
    <x:t xml:space="preserve">згідно кошторису</x:t>
  </x:si>
  <x:si>
    <x:t xml:space="preserve">обладнання</x:t>
  </x:si>
  <x:si>
    <x:t xml:space="preserve">ноутбуки 2, комп'ютер 1, принтер 2, опалювальні пристрої 2, безперебійне живлення</x:t>
  </x:si>
  <x:si>
    <x:t xml:space="preserve">меблі</x:t>
  </x:si>
  <x:si>
    <x:t xml:space="preserve">три офісних столи, два шкафа, три стільцв офісних, диван для очікування</x:t>
  </x:si>
  <x:si>
    <x:t xml:space="preserve">маркетинг та реклама </x:t>
  </x:si>
  <x:si>
    <x:t xml:space="preserve">ліцензійне програмне забезпечення</x:t>
  </x:si>
  <x:si>
    <x:t xml:space="preserve">Ліга 360, YouControl</x:t>
  </x:si>
  <x:si>
    <x:t xml:space="preserve">веб-сайт</x:t>
  </x:si>
  <x:si>
    <x:t xml:space="preserve">розроблення веб-сайту </x:t>
  </x:si>
  <x:si>
    <x:t xml:space="preserve">Разом:</x:t>
  </x:si>
  <x:si>
    <x:t xml:space="preserve">власні / залучені кошти (за наявності, не є обов’язковою умовою):</x:t>
  </x:si>
  <x:si>
    <x:t xml:space="preserve">Стаття витрат</x:t>
  </x:si>
  <x:si>
    <x:t xml:space="preserve">Цей блок заповнюється лише за наявності власних або інших залучених коштів. Співфінансування не є обов’язковою умовою отримання гранту за Порядком. Якщо додаткові кошти передбачені — зазначте суму, джерело та напрями їх використання; якщо не передбачені — зазначте 0 грн.</x:t>
  </x:si>
  <x:si>
    <x:t xml:space="preserve">навчання</x:t>
  </x:si>
  <x:si>
    <x:t xml:space="preserve">Розширений сертифікат ІСА з управління, ризиків та комплаєнсу </x:t>
  </x:si>
  <x:si>
    <x:t xml:space="preserve">навчання </x:t>
  </x:si>
  <x:si>
    <x:t xml:space="preserve">Диплом ІСА з управління, ризиків та комплаєнсу</x:t>
  </x:si>
  <x:si>
    <x:t xml:space="preserve">Кадровий план:</x:t>
  </x:si>
  <x:si>
    <x:t xml:space="preserve">кількість новостворених робочих місць:</x:t>
  </x:si>
  <x:si>
    <x:r>
      <x:t xml:space="preserve">запланована кількість робочих місць, що будуть створені в результаті реалізації проекту, з обґрунтуванням потреби у кожній посаді.</x:t>
    </x:r>
    <x:r>
      <x:rPr>
        <x:b/>
        <x:sz val="12"/>
        <x:rFont val="Times New Roman"/>
        <x:family val="1"/>
      </x:rPr>
      <x:t xml:space="preserve"> Вкажіть загальну кількість нових робочих місць, які планується створити в межах проєкту. Обґрунтування потреби в кожній новій посаді зазначте нижче у переліку посад</x:t>
    </x:r>
  </x:si>
  <x:si>
    <x:t xml:space="preserve">перелік посад та розмір передбаченої заробітної плати:</x:t>
  </x:si>
  <x:si>
    <x:r>
      <x:t xml:space="preserve">найменування посад, кількість працівників за кожною посадою, орієнтовний розмір щомісячної заробітної плати (до оподаткування або після ⸺ із зазначенням формату), тривалість зайнятості (постійна чи сезонна). Дані мають відповідати розрахункам витрат на оплату праці у фінансовій частині бізнес-плану. </x:t>
    </x:r>
    <x:r>
      <x:rPr>
        <x:b/>
        <x:sz val="12"/>
        <x:rFont val="Times New Roman"/>
        <x:family val="1"/>
      </x:rPr>
      <x:t xml:space="preserve">Зазначте окремо існуючі посади на дату подання заяви та нові посади, які планується створити в межах проєкту. Для кожної посади вкажіть назву, кількість працівників, орієнтовну щомісячну заробітну плату до оподаткування та вид зайнятості — постійна чи сезонна. Коротко поясніть потребу в кожній новій посаді. Дані мають відповідати розрахункам витрат на оплату праці у фінансовій частині бізнес-плану</x:t>
    </x:r>
  </x:si>
  <x:si>
    <x:t xml:space="preserve">Оцінка ризиків:</x:t>
  </x:si>
  <x:si>
    <x:t xml:space="preserve">основні ризики реалізації проекту:</x:t>
  </x:si>
  <x:si>
    <x:r>
      <x:t xml:space="preserve">потенційні внутрішні ризики (організаційні, кадрові, фінансові, технологічні) та зовнішні ризики (економічна нестабільність, зміна законодавства, коливання цін на ресурси, конкуренція, форс-мажорні обставини). </x:t>
    </x:r>
    <x:r>
      <x:rPr>
        <x:b/>
        <x:sz val="12"/>
        <x:rFont val="Times New Roman"/>
        <x:family val="1"/>
      </x:rPr>
      <x:t xml:space="preserve">Опишіть основні ризики, які можуть вплинути на реалізацію проєкту. Це можуть бути внутрішні ризики, пов’язані з організацією роботи, персоналом, фінансами або обладнанням, а також зовнішні — зміна цін, конкуренція, економічна ситуація, зміни законодавства чи форс-мажорні обставини</x:t>
    </x:r>
  </x:si>
  <x:si>
    <x:t xml:space="preserve">механізми управління ризиками та заходи з їх мінімізації:</x:t>
  </x:si>
  <x:si>
    <x:r>
      <x:t xml:space="preserve">можливі дії або запобіжні заходи для кожного ідентифікованого ризику, спрямовані на зменшення ймовірності його виникнення або впливу на проект (наприклад, диверсифікація постачальників, створення резервів, додаткове навчання персоналу). </x:t>
    </x:r>
    <x:r>
      <x:rPr>
        <x:b/>
        <x:sz val="12"/>
        <x:rFont val="Times New Roman"/>
        <x:family val="1"/>
      </x:rPr>
      <x:t xml:space="preserve">Для кожного зазначеного ризику коротко опишіть, що будете робити, щоб зменшити ймовірність його виникнення або його вплив на бізнес. Наприклад: мати кількох постачальників, створити фінансовий резерв, навчати працівників або передбачити альтернативний спосіб роботи</x:t>
    </x:r>
  </x:si>
  <x:si>
    <x:t xml:space="preserve">Соціально-економічні результати реалізації проекту:</x:t>
  </x:si>
  <x:si>
    <x:t xml:space="preserve">кількість створених робочих місць:</x:t>
  </x:si>
  <x:si>
    <x:r>
      <x:t xml:space="preserve">загальна кількість нових робочих місць, що будуть створені в результаті реалізації проекту (з урахуванням прямого та непрямого впливу).</x:t>
    </x:r>
    <x:r>
      <x:rPr>
        <x:b/>
        <x:sz val="12"/>
        <x:rFont val="Times New Roman"/>
        <x:family val="1"/>
      </x:rPr>
      <x:t xml:space="preserve"> Кількість створених робочих місць</x:t>
    </x:r>
  </x:si>
  <x:si>
    <x:t xml:space="preserve">прогнозовані суми податкових та інших обов’язкових платежів:</x:t>
  </x:si>
  <x:si>
    <x:r>
      <x:t xml:space="preserve">Зазначити прогнозовану суму податків, зборів та єдиного внеску на загальнообов’язкове державне соціальне страхування, що очікується до сплати протягом усього строку реалізації проєкту. </x:t>
    </x:r>
    <x:r>
      <x:rPr>
        <x:b/>
        <x:sz val="12"/>
        <x:rFont val="Times New Roman"/>
        <x:family val="1"/>
      </x:rPr>
      <x:t xml:space="preserve">Орієнтовна оцінка  суми сплачених податків, зборів (обов’язкових платежів), єдиного внеску на загальнообов’язкове державне соціальне страхування. </x:t>
    </x:r>
  </x:si>
  <x:si>
    <x:t xml:space="preserve">вплив проекту на розвиток підприємницького середовища в регіоні:</x:t>
  </x:si>
  <x:si>
    <x:t xml:space="preserve">Бізнес є основним рушієм економічної стабільності та розвитку територіальних громад, забезпечуючи надходження до місцевих бюджетів і створення робочих місць. 
Кошти від надходження податків від даного бізнесу формуватимуть місцевий бюджет, що дозволить фінансувати інфраструктуру та комунальні послуги Жашківської територіальної громади.
Створення трьох робочих місць забезпечить зайнятість місцевого населення, зменшуючи рівень безробіття та трудову міграцію. сплата військового збору дозволить наповнити спельний фонд Державного бюджету, який спрямовується на виплту грошового забезпечення військовослужбовцям Збройних Сил України.
Створення нового напрямку консалтингових послуг у м. Жашків, дозволить стимулює появу супутніх сервісів — логістики, торгівлі, сфери послуг та фінансів. </x:t>
  </x:si>
  <x:si>
    <x:r>
      <x:t xml:space="preserve">опис того, як реалізація проекту сприятиме активізації економічної діяльності в регіоні (створення суміжного бізнесу, розвиток локальної логістики, підвищення рівня зайнятості населення, формування попиту на місцеву сировину/ресурси). </x:t>
    </x:r>
    <x:r>
      <x:rPr>
        <x:b/>
        <x:sz val="12"/>
        <x:rFont val="Times New Roman"/>
        <x:family val="1"/>
      </x:rPr>
      <x:t xml:space="preserve">Опишіть, як реалізація проєкту може вплинути на розвиток бізнесу в регіоні: створення робочих місць, співпрацю з місцевими підприємцями, попит на місцеві товари та послуги або розвиток інших напрямів економічної діяльності.</x:t>
    </x:r>
  </x:si>
  <x:si>
    <x:t xml:space="preserve">Назва суб'єкта діяльності/ФОП/ПІБ заявника (для фізичних осіб):</x:t>
  </x:si>
  <x:si>
    <x:t xml:space="preserve">У цьому розділі вкажіть прогнозовані надходження та витрати за кожен місяць реалізації проєкту — 24, 36 або 60 місяців. Дані мають відповідати інформації, зазначеній у бізнес-плані, та відображати всю заплановану діяльність</x:t>
  </x:si>
  <x:si>
    <x:t xml:space="preserve">Сума гранту, грн.</x:t>
  </x:si>
  <x:si>
    <x:t xml:space="preserve">Період реалізації проєкту, місяців</x:t>
  </x:si>
  <x:si>
    <x:t xml:space="preserve">Прогноз доходів формується за кожним видом продукції/послуг окремо на підставі прогнозованого обсягу реалізації та ціни продажу. Дані мають бути узгоджені з описом продукції/послуг, ціновою стратегією та прогнозними обсягами продажів у бізнес-плані.</x:t>
  </x:si>
  <x:si>
    <x:t xml:space="preserve">місяці періоду реалізації бізнес-плана</x:t>
  </x:si>
  <x:si>
    <x:t xml:space="preserve">Статті надходжень</x:t>
  </x:si>
  <x:si>
    <x:t xml:space="preserve">Опис (в разі необхідності)</x:t>
  </x:si>
  <x:si>
    <x:t xml:space="preserve">Залишок коштів/переплат на дату початку</x:t>
  </x:si>
  <x:si>
    <x:t xml:space="preserve">Всього</x:t>
  </x:si>
  <x:si>
    <x:t xml:space="preserve">Розмір гранту</x:t>
  </x:si>
  <x:si>
    <x:t xml:space="preserve">Власні або залучені кошти, вкладені у проєкт</x:t>
  </x:si>
  <x:si>
    <x:t xml:space="preserve">Дохід від реалізації продукції, товарів або послуг (за наявності кількох видів товарів або послуг розрахуйте дохід за кожним видом окремо, а в таблиці зазначте загальну суму прогнозованого доходу за місяць)</x:t>
  </x:si>
  <x:si>
    <x:t xml:space="preserve">дохід від надання послуг за основним видом діяльності </x:t>
  </x:si>
  <x:si>
    <x:t xml:space="preserve">Додаткові доходи від реалізації товарів або послуг (зазначайте лише додаткові доходи, які не включені до основного прогнозу доходу від реалізації)</x:t>
  </x:si>
  <x:si>
    <x:t xml:space="preserve">надання юридичних консультацій фізичним та юридичним особам</x:t>
  </x:si>
  <x:si>
    <x:t xml:space="preserve">Доходи від реалізації майна</x:t>
  </x:si>
  <x:si>
    <x:t xml:space="preserve">Інші джерела надходжень грошових коштів</x:t>
  </x:si>
  <x:si>
    <x:t xml:space="preserve">Всього надходжень</x:t>
  </x:si>
  <x:si>
    <x:t xml:space="preserve">1. Прогноз витрат формується за основними категоріями витрат за кожен місяць реалізації проєкту. Витрати мають бути обґрунтованими, пов’язаними з господарською діяльністю за проєктом та узгодженими з інвестиційним, кадровим і операційним планами бізнес-плану.                2. Одноразові інвестиційні витрати та поточні операційні витрати відображаються окремо. Не допускається повторне включення однієї й тієї самої витрати до обох категорій.</x:t>
  </x:si>
  <x:si>
    <x:t xml:space="preserve">Вкажіть прогнозований дохід за кожен місяць окремо. Розрахунок бажано робити на основі очікуваного обсягу продажів × ціна товару або послуги</x:t>
  </x:si>
  <x:si>
    <x:t xml:space="preserve">Статті витрат, пов’язані з реалізацією проєкту, грн.</x:t>
  </x:si>
  <x:si>
    <x:t xml:space="preserve">Залишок коштів/переплат на дату початку </x:t>
  </x:si>
  <x:si>
    <x:t xml:space="preserve">`</x:t>
  </x:si>
  <x:si>
    <x:t xml:space="preserve">Витрати, пов’язані з реалізацією продукції / наданням послуг</x:t>
  </x:si>
  <x:si>
    <x:t xml:space="preserve">Придбання майна для здійснення діяльності</x:t>
  </x:si>
  <x:si>
    <x:t xml:space="preserve">закупівля канцеляських товарів та обслуговування оргтехніки </x:t>
  </x:si>
  <x:si>
    <x:t xml:space="preserve">Оренда нежитлових приміщень та/або земельної ділянки</x:t>
  </x:si>
  <x:si>
    <x:t xml:space="preserve">Оренда обладнання</x:t>
  </x:si>
  <x:si>
    <x:t xml:space="preserve">Інші обов’язкові або господарські платежі, пов’язані з діяльністю бізнесу, які не віднесені до окремих статей вище, у тому числі платежі за фінансовим лізингом</x:t>
  </x:si>
  <x:si>
    <x:t xml:space="preserve">банківське обслуговування</x:t>
  </x:si>
  <x:si>
    <x:t xml:space="preserve">Комунальні послуги (газ, світло, вода)</x:t>
  </x:si>
  <x:si>
    <x:t xml:space="preserve">світло, вода</x:t>
  </x:si>
  <x:si>
    <x:t xml:space="preserve">Страхування</x:t>
  </x:si>
  <x:si>
    <x:t xml:space="preserve">Маркетинг та реклама, грн</x:t>
  </x:si>
  <x:si>
    <x:t xml:space="preserve">за рахунок грантових коштів оплата послуг з маркетинку та реклами</x:t>
  </x:si>
  <x:si>
    <x:t xml:space="preserve">Зв’язок, інтернет, охорона та інші супутні послуги, грн</x:t>
  </x:si>
  <x:si>
    <x:t xml:space="preserve">оплата послуг інтернет зв'язку</x:t>
  </x:si>
  <x:si>
    <x:t xml:space="preserve">Основні засоби, обладнання та облаштування робочих місць</x:t>
  </x:si>
  <x:si>
    <x:t xml:space="preserve">за рахунок грантових коштів придбання ноутбуки 2, комп'ютер 1, принтер 2, опалювальні пристрої 2, безперебійне живлення, офісні столи 3, два шкафа, три стільці офісних, диван для очікування</x:t>
  </x:si>
  <x:si>
    <x:t xml:space="preserve"> Ремонт приміщень та обладнання, матеріали та послуги, грн</x:t>
  </x:si>
  <x:si>
    <x:t xml:space="preserve">за рахунок грантових коштів оплата за договором підряду згідно кошторису  </x:t>
  </x:si>
  <x:si>
    <x:t xml:space="preserve">Транспорт і доставка</x:t>
  </x:si>
  <x:si>
    <x:t xml:space="preserve">Професійні послуги, програмне забезпечення, цифровізація, франшиза та оформлення прав інтелектуальної власності</x:t>
  </x:si>
  <x:si>
    <x:t xml:space="preserve">Амортизаційні відрахування (частина вартості обладнання, техніки та інших основних засобів, яка поступово включається до витрат протягом строку їх використання)</x:t>
  </x:si>
  <x:si>
    <x:t xml:space="preserve">Всього витрат на оплату праці</x:t>
  </x:si>
  <x:si>
    <x:t xml:space="preserve">***Заробітна плата заявника (для ФОП)</x:t>
  </x:si>
  <x:si>
    <x:t xml:space="preserve">Оплата праці працівників, які працюють на дату початку реалізації проєкту</x:t>
  </x:si>
  <x:si>
    <x:t xml:space="preserve">Оплата праці працівників, працевлаштованих протягом строку реалізації проєкту</x:t>
  </x:si>
  <x:si>
    <x:t xml:space="preserve">Податки та обов’язкові платежі за працівників, які працюють на дату початку реалізації проєкту:</x:t>
  </x:si>
  <x:si>
    <x:t xml:space="preserve">ПДФО за діючих працівників, грн</x:t>
  </x:si>
  <x:si>
    <x:t xml:space="preserve">Військовий збір за діючих працівників, грн</x:t>
  </x:si>
  <x:si>
    <x:t xml:space="preserve">ЄСВ за діючих працівників, грн</x:t>
  </x:si>
  <x:si>
    <x:t xml:space="preserve">Податки та обов’язкові платежі за працівників, працевлаштованих протягом строку реалізації проєкту:</x:t>
  </x:si>
  <x:si>
    <x:t xml:space="preserve">ПДФО за працівників, працевлаштованих протягом строку реалізації проєкту, грн</x:t>
  </x:si>
  <x:si>
    <x:t xml:space="preserve">Військовий збір за працівників, працевлаштованих протягом строку реалізації проєкту, грн</x:t>
  </x:si>
  <x:si>
    <x:t xml:space="preserve">ЄСВ за працівників, працевлаштованих протягом строку реалізації проєкту, грн</x:t>
  </x:si>
  <x:si>
    <x:t xml:space="preserve">*Податки та обов’язкові платежі заявника / підприємства:</x:t>
  </x:si>
  <x:si>
    <x:t xml:space="preserve">Заповнюйте лише платежі, які застосовуються до вашої організаційно-правової форми та системи оподаткування. Ставки податків у цьому шаблоні не фіксуються автоматично, оскільки вони визначаються податковим законодавством та можуть змінюватися.</x:t>
  </x:si>
  <x:si>
    <x:t xml:space="preserve">Спрощена система — єдиний податок, грн</x:t>
  </x:si>
  <x:si>
    <x:t xml:space="preserve">Військовий збір ФОП на спрощеній системі, грн</x:t>
  </x:si>
  <x:si>
    <x:t xml:space="preserve">**Загальна система (ФОП) — оподатковуваний дохід, грн</x:t>
  </x:si>
  <x:si>
    <x:t xml:space="preserve">ПДФО від підприємницької діяльності ФОП, грн</x:t>
  </x:si>
  <x:si>
    <x:t xml:space="preserve">Військовий збір ФОП на загальній системі, грн</x:t>
  </x:si>
  <x:si>
    <x:t xml:space="preserve">ЄСВ за ФОП, грн</x:t>
  </x:si>
  <x:si>
    <x:t xml:space="preserve">**Загальна система (підприємство) — оподатковуваний прибуток, грн</x:t>
  </x:si>
  <x:si>
    <x:t xml:space="preserve">Податок на прибуток підприємств, грн</x:t>
  </x:si>
  <x:si>
    <x:t xml:space="preserve">Екологічний податок, грн</x:t>
  </x:si>
  <x:si>
    <x:t xml:space="preserve">Рентна плата, грн</x:t>
  </x:si>
  <x:si>
    <x:t xml:space="preserve">Разом податки та обов’язкові платежі за місяць, грн</x:t>
  </x:si>
  <x:si>
    <x:t xml:space="preserve">Всього витрати</x:t>
  </x:si>
  <x:si>
    <x:t xml:space="preserve">  </x:t>
  </x:si>
  <x:si>
    <x:t xml:space="preserve">Залишок / дефіцит коштів на початок місяця, грн</x:t>
  </x:si>
  <x:si>
    <x:t xml:space="preserve">Залишок / дефіцит коштів на кінець місяця, грн</x:t>
  </x:si>
  <x:si>
    <x:t xml:space="preserve">Ваші нотатки та коментарі</x:t>
  </x:si>
  <x:si>
    <x:t xml:space="preserve">**</x:t>
  </x:si>
  <x:si>
    <x:t xml:space="preserve">За потреби зазначте також суму оподатковуваного доходу або прибутку, від якої розрахований відповідний податок</x:t>
  </x:si>
  <x:si>
    <x:t xml:space="preserve">***</x:t>
  </x:si>
  <x:si>
    <x:t xml:space="preserve">Для ФОП зазначте суму коштів, яку плануєте отримувати для особистого використання. Цей показник використовується для фінансового планування і не є заробітною платою найманого працівника</x:t>
  </x:si>
  <x:si>
    <x:t xml:space="preserve">Амортизаційні відрахування - Облікова сума зносу основних засобів. Не є фактичною виплатою коштів і не включається до розрахунку грошового залишку.</x:t>
  </x:si>
  <x:si>
    <x:t xml:space="preserve">ІНСТРУКЦІЯ</x:t>
  </x:si>
  <x:si>
    <x:t xml:space="preserve">ЗАПОЧАТКУВАННЯ ВЛАСНОЇ СПРАВИ</x:t>
  </x:si>
  <x:si>
    <x:t xml:space="preserve">Постанова КМУ № 616 від 15.05.2026 (умови застосовуються з 01.09.2026)</x:t>
  </x:si>
  <x:si>
    <x:t xml:space="preserve">Офіційний текст: https://zakon.rada.gov.ua/laws/show/616-2026-%D0%BF</x:t>
  </x:si>
  <x:si>
    <x:t xml:space="preserve">ХТО МОЖЕ ОТРИМАТИ</x:t>
  </x:si>
  <x:si>
    <x:t xml:space="preserve">1. Фізичні особи — громадяни України віком від 18 років.</x:t>
  </x:si>
  <x:si>
    <x:t xml:space="preserve">До цієї категорії для цілей Порядку належать також визначені Порядком:</x:t>
  </x:si>
  <x:si>
    <x:t xml:space="preserve">• учасники бойових дій;</x:t>
  </x:si>
  <x:si>
    <x:t xml:space="preserve">• особи з інвалідністю внаслідок війни;</x:t>
  </x:si>
  <x:si>
    <x:t xml:space="preserve">• члени сімей зазначених осіб та члени сімей загиблих (померлих) Захисників і Захисниць України — у випадках і порядку, визначених законодавством та Порядком.</x:t>
  </x:si>
  <x:si>
    <x:t xml:space="preserve">Після прийняття рішення про надання гранту фізична особа протягом 20 календарних днів повинна зареєструватися як ФОП або створити юридичну особу приватного права, укласти договір гранту та подати до уповноваженого банку документи для відкриття рахунка.</x:t>
  </x:si>
  <x:si>
    <x:t xml:space="preserve">2. Також грант на започаткування може надаватися суб’єктам ветеранського підприємництва — ветеранам війни, які провадять незалежну професійну діяльність та взяті на податковий облік як самозайняті особи.</x:t>
  </x:si>
  <x:si>
    <x:t xml:space="preserve">РОЗМІР</x:t>
  </x:si>
  <x:si>
    <x:t xml:space="preserve">Від 100 000 до 300 000 грн включно — відповідно до запиту заявника.</x:t>
  </x:si>
  <x:si>
    <x:t xml:space="preserve">Максимальна сума з урахуванням передбачених Порядком збільшень — 500 000 грн.</x:t>
  </x:si>
  <x:si>
    <x:t xml:space="preserve">ЗБІЛЬШЕННЯ РОЗМІРУ ГРАНТУ</x:t>
  </x:si>
  <x:si>
    <x:t xml:space="preserve">+5% — для отримувача віком від 18 до 25 років включно.</x:t>
  </x:si>
  <x:si>
    <x:t xml:space="preserve">+20% — за кожної окремої умови:</x:t>
  </x:si>
  <x:si>
    <x:t xml:space="preserve">• отримувач є суб’єктом ветеранського підприємництва;</x:t>
  </x:si>
  <x:si>
    <x:t xml:space="preserve">• отримувач станом на дату подання заяви зареєстрований платником ПДВ;</x:t>
  </x:si>
  <x:si>
    <x:t xml:space="preserve">• отримувач є власником чинного патенту України на винахід та/або корисну модель, безпосередньо пов’язаних з реалізацією бізнес-проєкту;</x:t>
  </x:si>
  <x:si>
    <x:t xml:space="preserve">• отримувач є ВПО та має досвід провадження підприємницької діяльності понад 6 місяців, або заявником є релоковане підприємство;</x:t>
  </x:si>
  <x:si>
    <x:t xml:space="preserve">• отримувач бере на себе зобов’язання створити 2 нових робочих місця.</x:t>
  </x:si>
  <x:si>
    <x:t xml:space="preserve">+30% — за кожної окремої умови:</x:t>
  </x:si>
  <x:si>
    <x:t xml:space="preserve">• отримувач зареєстрований та провадить/планує провадити підприємницьку діяльність на визначених Порядком прифронтових територіях або на території Славутицької міської територіальної громади Київської області;</x:t>
  </x:si>
  <x:si>
    <x:t xml:space="preserve">• грант спрямовується на оновлення основних засобів виробництва, знищених чи пошкоджених внаслідок збройної агресії Російської Федерації проти України.</x:t>
  </x:si>
  <x:si>
    <x:t xml:space="preserve">+50% — для проєкту у пріоритетному секторі економіки, визначеному додатком до Порядку. Належність проєкту до такого сектору визначає Державний центр зайнятості.</x:t>
  </x:si>
  <x:si>
    <x:t xml:space="preserve">За одночасної наявності двох і більше умов відповідні відсотки сумуються.</x:t>
  </x:si>
  <x:si>
    <x:t xml:space="preserve">Гранична сума для започаткування після всіх збільшень — 500 000 грн.</x:t>
  </x:si>
  <x:si>
    <x:t xml:space="preserve">ВИКОРИСТАННЯ КОШТІВ</x:t>
  </x:si>
  <x:si>
    <x:t xml:space="preserve">Грант використовується лише на витрати, пов’язані із започаткуванням власної справи, за напрямами, визначеними пунктом 7 Порядку, відповідно до бізнес-плану та договору гранту.</x:t>
  </x:si>
  <x:si>
    <x:t xml:space="preserve">ОБМЕЖЕННЯ ЗА ОКРЕМИМИ НАПРЯМАМИ</x:t>
  </x:si>
  <x:si>
    <x:t xml:space="preserve">• ремонт приміщень та/або обладнання — не більше 50% розміру гранту;</x:t>
  </x:si>
  <x:si>
    <x:t xml:space="preserve">• тварини, птиця, багаторічні насадження, саджанці, посівний матеріал, сировина, матеріали, товари та пов’язані з реалізацією бізнес-плану послуги — сумарно не більше 50%;</x:t>
  </x:si>
  <x:si>
    <x:t xml:space="preserve">• фінансовий лізинг обладнання — не більше 50%;</x:t>
  </x:si>
  <x:si>
    <x:t xml:space="preserve">• оренда нежитлового приміщення та/або земельної ділянки — не більше 25%;</x:t>
  </x:si>
  <x:si>
    <x:t xml:space="preserve">• оренда обладнання — не більше 10%;</x:t>
  </x:si>
  <x:si>
    <x:t xml:space="preserve">• ліцензійне програмне забезпечення — не більше 25%;</x:t>
  </x:si>
  <x:si>
    <x:t xml:space="preserve">• веб-сайт/інтернет-магазин та цифрові інструменти автоматизації — не більше 10%;</x:t>
  </x:si>
  <x:si>
    <x:t xml:space="preserve">• налаштування, інтеграція та супровід цифрових рішень — не більше 20%;</x:t>
  </x:si>
  <x:si>
    <x:t xml:space="preserve">• маркетинг і реклама — не більше 10%;</x:t>
  </x:si>
  <x:si>
    <x:t xml:space="preserve">• айдентика, бренд, дизайн пакування, макети і друк промоматеріалів, фото-/відеоконтент, обробка аудіо-/відеопродукції, постпродакшн — не більше 50%;</x:t>
  </x:si>
  <x:si>
    <x:t xml:space="preserve">• роялті — сумарно не більше 20%;</x:t>
  </x:si>
  <x:si>
    <x:t xml:space="preserve">• створення об’єктів авторського права на замовлення — сумарно не більше 20%;</x:t>
  </x:si>
  <x:si>
    <x:t xml:space="preserve">• редагування, коректура та макетування друкованої продукції для представників креативних індустрій — не більше 50%;</x:t>
  </x:si>
  <x:si>
    <x:t xml:space="preserve">• послуги та платежі, пов’язані з оформленням прав інтелектуальної власності, — сумарно не більше 20%.</x:t>
  </x:si>
  <x:si>
    <x:t xml:space="preserve">БЕЗ ОКРЕМО ВСТАНОВЛЕНОГО В П. 7 ВІДСОТКОВОГО ОБМЕЖЕННЯ</x:t>
  </x:si>
  <x:si>
    <x:t xml:space="preserve">• меблі, обладнання, інструменти, машини та механізми, інші основні засоби;</x:t>
  </x:si>
  <x:si>
    <x:t xml:space="preserve">• транспортні засоби для комерційних та/або виробничих цілей — з урахуванням умов Порядку;</x:t>
  </x:si>
  <x:si>
    <x:t xml:space="preserve">• облаштування робочих місць — якщо такі витрати передбачені бізнес-планом.</x:t>
  </x:si>
  <x:si>
    <x:t xml:space="preserve">РОБОЧІ МІСЦЯ — ВАЖЛИВО</x:t>
  </x:si>
  <x:si>
    <x:t xml:space="preserve">Для гранту на започаткування власної справи у базовому розмірі 100 000–300 000 грн створення нового робочого місця саме по собі не є обов’язковою умовою.</x:t>
  </x:si>
  <x:si>
    <x:t xml:space="preserve">Якщо заявник обирає підставу для збільшення розміру гранту на 20% за робочі місця, він бере на себе окреме зобов’язання створити 2 нових робочих місця.</x:t>
  </x:si>
  <x:si>
    <x:t xml:space="preserve">Такі робочі місця створюються протягом 3 місяців з дня зарахування коштів на рахунок отримувача в уповноваженому банку.</x:t>
  </x:si>
  <x:si>
    <x:t xml:space="preserve">Новими вважаються робочі місця понад штатну чисельність працівників на дату подання заяви або робочі місця, створені у зв’язку з утворенням нового суб’єкта господарювання.</x:t>
  </x:si>
  <x:si>
    <x:t xml:space="preserve">Для виконання обов’язкової умови не може бути працевлаштована особа, яка перебувала у трудових відносинах з отримувачем гранту протягом 180 календарних днів до такого працевлаштування.</x:t>
  </x:si>
  <x:si>
    <x:t xml:space="preserve">Строк працевлаштування на обов’язково створених робочих місцях — не менш як 18, 24 або 54 місяці протягом строку реалізації проєкту відповідно до умов договору гранту.</x:t>
  </x:si>
  <x:si>
    <x:t xml:space="preserve">СТРОК ПРОЄКТУ</x:t>
  </x:si>
  <x:si>
    <x:t xml:space="preserve">2, 3 або 5 років (24, 36 або 60 місяців). Обраний строк зазначається у заяві та/або бізнес-плані.</x:t>
  </x:si>
  <x:si>
    <x:t xml:space="preserve">ГРАНТОВЕ ЗОБОВ’ЯЗАННЯ</x:t>
  </x:si>
  <x:si>
    <x:t xml:space="preserve">Протягом строку реалізації проєкту отримувач виконує обов’язкові умови договору гранту, у тому числі щодо сплати передбачених Порядком податків, зборів та ЄСВ. Невиконання умов може мати наслідком повернення коштів у випадках і розмірах, визначених Порядком.</x:t>
  </x:si>
  <x:si>
    <x:t xml:space="preserve">Перед поданням перевірте, щоб умови, обрані в матриці розрахунку гранту, відповідали фактичному статусу заявника та зобов’язанням, які він готовий виконувати.</x:t>
  </x:si>
  <x:si>
    <x:t xml:space="preserve">МАСШТАБУВАННЯ ВЛАСНОЇ СПРАВИ</x:t>
  </x:si>
  <x:si>
    <x:t xml:space="preserve">Суб’єкти господарювання:</x:t>
  </x:si>
  <x:si>
    <x:t xml:space="preserve">• фізичні особи — підприємці;</x:t>
  </x:si>
  <x:si>
    <x:t xml:space="preserve">• юридичні особи приватного права;</x:t>
  </x:si>
  <x:si>
    <x:t xml:space="preserve">• у тому числі суб’єкти ветеранського підприємництва.</x:t>
  </x:si>
  <x:si>
    <x:t xml:space="preserve">Обов’язкові вимоги до заявника:</x:t>
  </x:si>
  <x:si>
    <x:t xml:space="preserve">• відповідність критеріям суб’єкта малого або середнього підприємництва, визначеним Порядком;</x:t>
  </x:si>
  <x:si>
    <x:t xml:space="preserve">• заявник не належить до державного або комунального сектору економіки.</x:t>
  </x:si>
  <x:si>
    <x:t xml:space="preserve">Від 500 000 до 1 500 000 грн включно — відповідно до запиту заявника.</x:t>
  </x:si>
  <x:si>
    <x:t xml:space="preserve">Базова обов’язкова умова масштабування — створення 1 нового робочого місця.</x:t>
  </x:si>
  <x:si>
    <x:t xml:space="preserve">Максимальна сума з урахуванням передбачених Порядком збільшень — 2 500 000 грн.</x:t>
  </x:si>
  <x:si>
    <x:t xml:space="preserve">Гранична сума для масштабування після всіх збільшень — 2 500 000 грн.</x:t>
  </x:si>
  <x:si>
    <x:t xml:space="preserve">Грант використовується лише на витрати, пов’язані з масштабуванням власної справи, за напрямами, визначеними пунктом 7 Порядку, відповідно до бізнес-плану та договору гранту.</x:t>
  </x:si>
  <x:si>
    <x:t xml:space="preserve">Для гранту на масштабування власної справи у базовому розмірі 500 000–1 500 000 грн обов’язковою умовою є створення 1 нового робочого місця.</x:t>
  </x:si>
  <x:si>
    <x:t xml:space="preserve">Якщо заявник обирає підставу для збільшення розміру гранту на 20% за робочі місця, він бере на себе зобов’язання створити 2 нових робочих місця. Це зобов’язання зазначається окремо від базової умови масштабування.</x:t>
  </x:si>
  <x:si>
    <x:t xml:space="preserve">Обов’язкові робочі місця створюються протягом 3 місяців з дня зарахування коштів на рахунок отримувача в уповноваженому банку.</x:t>
  </x:si>
  <x:si>
    <x:t xml:space="preserve">Новими вважаються робочі місця понад штатну чисельність працівників на дату подання заяви.</x:t>
  </x:si>
  <x:si>
    <x:t xml:space="preserve">Протягом строку реалізації проєкту отримувач виконує обов’язкові умови договору гранту, у тому числі щодо створення робочого місця/місць та сплати передбачених Порядком податків, зборів та ЄСВ. Невиконання умов може мати наслідком повернення коштів у випадках і розмірах, визначених Порядком.</x:t>
  </x:si>
  <x:si>
    <x:t xml:space="preserve">ДОВІДНИК ДОПУСТИМИХ ВИТРАТ ЗА ПУНКТОМ 7 ПОРЯДКУ</x:t>
  </x:si>
  <x:si>
    <x:t xml:space="preserve">Позначення 100% у колонці «Максимальна частка» означає лише відсутність окремого спеціального відсоткового ліміту для цього напряму в пункті 7 Порядку; воно не означає безумовного права спрямувати весь грант на будь-яку позицію. Витрата повинна відповідати Порядку, бізнес-плану та договору гранту.</x:t>
  </x:si>
  <x:si>
    <x:t xml:space="preserve">Джерело: https://zakon.rada.gov.ua/laws/show/616-2026-%D0%BF</x:t>
  </x:si>
  <x:si>
    <x:t xml:space="preserve">Категорія для вибору</x:t>
  </x:si>
  <x:si>
    <x:t xml:space="preserve">Напрям витрат</x:t>
  </x:si>
  <x:si>
    <x:t xml:space="preserve">Максимальна частка</x:t>
  </x:si>
  <x:si>
    <x:t xml:space="preserve">Обладнання</x:t>
  </x:si>
  <x:si>
    <x:t xml:space="preserve">Обладнання та виробничі активи</x:t>
  </x:si>
  <x:si>
    <x:t xml:space="preserve">Меблі, обладнання, інструменти, машини, механізми та інші основні засоби. Окремий відсотковий ліміт не встановлено.</x:t>
  </x:si>
  <x:si>
    <x:t xml:space="preserve">Транспорт</x:t>
  </x:si>
  <x:si>
    <x:t xml:space="preserve">Транспортні засоби для комерційних та/або виробничих цілей; діє заборона відчуження до виконання умов договору гранту.</x:t>
  </x:si>
  <x:si>
    <x:t xml:space="preserve">Ремонт</x:t>
  </x:si>
  <x:si>
    <x:t xml:space="preserve">Матеріали та послуги для ремонту приміщень та/або обладнання — не більше 50% розміру гранту.</x:t>
  </x:si>
  <x:si>
    <x:t xml:space="preserve">Сировина/матеріали</x:t>
  </x:si>
  <x:si>
    <x:t xml:space="preserve">Тварини, птиця, насадження, саджанці, посівний матеріал, сировина, матеріали, товари й послуги — сумарно не більше 50%.</x:t>
  </x:si>
  <x:si>
    <x:t xml:space="preserve">Фінлізинг</x:t>
  </x:si>
  <x:si>
    <x:t xml:space="preserve">Фінансовий лізинг обладнання, крім транспортних засобів особистого користування — не більше 50%.</x:t>
  </x:si>
  <x:si>
    <x:t xml:space="preserve">Оренда приміщень</x:t>
  </x:si>
  <x:si>
    <x:t xml:space="preserve">Оренда виробничих/офісних приміщень</x:t>
  </x:si>
  <x:si>
    <x:t xml:space="preserve">Оренда нежитлового приміщення та/або земельної ділянки — не більше 25%.</x:t>
  </x:si>
  <x:si>
    <x:t xml:space="preserve">Орендна плата за обладнання — не більше 10%.</x:t>
  </x:si>
  <x:si>
    <x:t xml:space="preserve">ПЗ</x:t>
  </x:si>
  <x:si>
    <x:t xml:space="preserve">Автоматизація та цифровізація</x:t>
  </x:si>
  <x:si>
    <x:t xml:space="preserve">Ліцензійне програмне забезпечення — не більше 25%.</x:t>
  </x:si>
  <x:si>
    <x:t xml:space="preserve">Веб/автоматизація</x:t>
  </x:si>
  <x:si>
    <x:t xml:space="preserve">Веб-сайт, інтернет-магазин і цифрові інструменти автоматизації — не більше 10%.</x:t>
  </x:si>
  <x:si>
    <x:t xml:space="preserve">Цифрові послуги</x:t>
  </x:si>
  <x:si>
    <x:t xml:space="preserve">Налаштування, інтеграція та супровід цифрових рішень — не більше 20%.</x:t>
  </x:si>
  <x:si>
    <x:t xml:space="preserve">Маркетинг</x:t>
  </x:si>
  <x:si>
    <x:t xml:space="preserve">Пакування, брендинг, маркетинг</x:t>
  </x:si>
  <x:si>
    <x:t xml:space="preserve">Послуги маркетингу та реклами — не більше 10%.</x:t>
  </x:si>
  <x:si>
    <x:t xml:space="preserve">Брендинг/контент</x:t>
  </x:si>
  <x:si>
    <x:t xml:space="preserve">Айдентика, пакування, промоматеріали, фото-, відео- та аудіоконтент, постпродакшн — не більше 50%.</x:t>
  </x:si>
  <x:si>
    <x:t xml:space="preserve">Роялті</x:t>
  </x:si>
  <x:si>
    <x:t xml:space="preserve">Роялті за об’єкти авторського права, суміжних прав та промислові зразки — сумарно не більше 20%.</x:t>
  </x:si>
  <x:si>
    <x:t xml:space="preserve">Авторський об’єкт</x:t>
  </x:si>
  <x:si>
    <x:t xml:space="preserve">Створення за замовленням об’єктів авторського права — сумарно не більше 20%.</x:t>
  </x:si>
  <x:si>
    <x:t xml:space="preserve">Редагування</x:t>
  </x:si>
  <x:si>
    <x:t xml:space="preserve">Редагування, коректура й макетування друкованої продукції — лише для креативних індустрій, не більше 50%.</x:t>
  </x:si>
  <x:si>
    <x:t xml:space="preserve">Робочі місця</x:t>
  </x:si>
  <x:si>
    <x:t xml:space="preserve">Облаштування робочих місць</x:t>
  </x:si>
  <x:si>
    <x:t xml:space="preserve">Меблі, обладнання, інструменти, спецодяг і засоби індивідуального захисту. Окремий відсотковий ліміт не встановлено.</x:t>
  </x:si>
  <x:si>
    <x:t xml:space="preserve">Реєстрація ІВ</x:t>
  </x:si>
  <x:si>
    <x:t xml:space="preserve">Права інтелектуальної власності</x:t>
  </x:si>
  <x:si>
    <x:t xml:space="preserve">Реєстрація торговельної марки чи промислового зразка, послуги патентного повіреного та інші платежі — сумарно не більше 20%.</x:t>
  </x:si>
</x:sst>
</file>

<file path=xl/styles.xml><?xml version="1.0" encoding="utf-8"?>
<x:styleSheet xmlns:x="http://schemas.openxmlformats.org/spreadsheetml/2006/main">
  <x:numFmts count="8">
    <x:numFmt numFmtId="44" formatCode="_-* #,##0.00\ &quot;₴&quot;_-;\-* #,##0.00\ &quot;₴&quot;_-;_-* &quot;-&quot;??\ &quot;₴&quot;_-;_-@_-"/>
    <x:numFmt numFmtId="164" formatCode="_-* #,##0.00_-;\-* #,##0.00_-;_-* &quot;-&quot;??_-;_-@_-"/>
    <x:numFmt numFmtId="165" formatCode="_-* #,##0\ _₴_-;\-* #,##0\ _₴_-;_-* &quot;-&quot;??\ _₴_-;_-@"/>
    <x:numFmt numFmtId="166" formatCode="#,##0;[Red]\(#,##0\);\-"/>
    <x:numFmt numFmtId="200" formatCode="#,##0.00;[Red](#,##0.00);&quot;–&quot;"/>
    <x:numFmt numFmtId="201" formatCode="0.0%"/>
    <x:numFmt numFmtId="202" formatCode="#,##0.00&quot; грн&quot;"/>
    <x:numFmt numFmtId="203" formatCode="0.00"/>
  </x:numFmts>
  <x:fonts count="42">
    <x:font>
      <x:sz val="11"/>
      <x:color rgb="FF000000"/>
      <x:name val="Arial"/>
    </x:font>
    <x:font>
      <x:sz val="11"/>
      <x:color rgb="FF000000"/>
      <x:name val="Arial"/>
    </x:font>
    <x:font>
      <x:sz val="12"/>
      <x:color theme="1"/>
      <x:name val="Times New Roman"/>
    </x:font>
    <x:font>
      <x:sz val="12"/>
      <x:color rgb="FF000000"/>
      <x:name val="Times New Roman"/>
    </x:font>
    <x:font>
      <x:b/>
      <x:sz val="12"/>
      <x:name val="Times New Roman"/>
    </x:font>
    <x:font>
      <x:sz val="12"/>
      <x:color rgb="FF142855"/>
      <x:name val="Times New Roman"/>
    </x:font>
    <x:font>
      <x:sz val="12"/>
      <x:name val="Times New Roman"/>
    </x:font>
    <x:font>
      <x:sz val="12"/>
      <x:name val="Times New Roman"/>
    </x:font>
    <x:font>
      <x:sz val="12"/>
      <x:color rgb="FF000000"/>
      <x:name val="Times New Roman"/>
    </x:font>
    <x:font>
      <x:b/>
      <x:sz val="12"/>
      <x:color theme="0"/>
      <x:name val="Times New Roman"/>
    </x:font>
    <x:font>
      <x:b/>
      <x:sz val="12"/>
      <x:name val="Times New Roman"/>
    </x:font>
    <x:font>
      <x:sz val="12"/>
      <x:color theme="0"/>
      <x:name val="Times New Roman"/>
    </x:font>
    <x:font>
      <x:b/>
      <x:sz val="12"/>
      <x:color rgb="FFFFFFFF"/>
      <x:name val="Times New Roman"/>
    </x:font>
    <x:font>
      <x:b/>
      <x:i/>
      <x:sz val="12"/>
      <x:name val="Times New Roman"/>
    </x:font>
    <x:font>
      <x:b/>
      <x:sz val="12"/>
      <x:color theme="2"/>
      <x:name val="Times New Roman"/>
    </x:font>
    <x:font>
      <x:b/>
      <x:sz val="12"/>
      <x:color rgb="FF000000"/>
      <x:name val="Times New Roman"/>
    </x:font>
    <x:font>
      <x:sz val="12"/>
      <x:color theme="1"/>
      <x:name val="Times New Roman"/>
    </x:font>
    <x:font>
      <x:b/>
      <x:sz val="12"/>
      <x:color theme="1"/>
      <x:name val="Times New Roman"/>
    </x:font>
    <x:font>
      <x:b/>
      <x:sz val="12"/>
      <x:name val="Times New Roman"/>
      <x:family val="1"/>
    </x:font>
    <x:font>
      <x:sz val="12"/>
      <x:name val="Times New Roman"/>
      <x:family val="1"/>
    </x:font>
    <x:font>
      <x:sz val="12"/>
      <x:color rgb="FF000000"/>
      <x:name val="Times New Roman"/>
      <x:family val="1"/>
    </x:font>
    <x:font>
      <x:b/>
      <x:sz val="12"/>
      <x:color rgb="FF000000"/>
      <x:name val="Times New Roman"/>
      <x:family val="1"/>
    </x:font>
    <x:font>
      <x:b/>
      <x:sz val="12"/>
      <x:color rgb="FF000000"/>
      <x:name val="Times New Roman"/>
      <x:family val="1"/>
    </x:font>
    <x:font>
      <x:sz val="12"/>
      <x:color rgb="FF000000"/>
      <x:name val="Times New Roman"/>
      <x:family val="1"/>
    </x:font>
    <x:font>
      <x:b/>
      <x:sz val="12"/>
      <x:color rgb="FFFFFFFF"/>
      <x:name val="Times New Roman"/>
      <x:family val="1"/>
    </x:font>
    <x:font>
      <x:sz val="12"/>
      <x:name val="Times New Roman"/>
      <x:family val="1"/>
    </x:font>
    <x:font>
      <x:b/>
      <x:i/>
      <x:sz val="12"/>
      <x:name val="Times New Roman"/>
      <x:family val="1"/>
    </x:font>
    <x:font>
      <x:sz val="11"/>
      <x:color rgb="FF000000"/>
      <x:name val="Calibri"/>
    </x:font>
    <x:font>
      <x:b/>
      <x:sz val="11"/>
      <x:color rgb="FFFFFFFF"/>
      <x:name val="Calibri"/>
    </x:font>
    <x:font>
      <x:sz val="11"/>
      <x:color rgb="FF9C2531"/>
      <x:name val="Calibri"/>
    </x:font>
    <x:font>
      <x:sz val="11"/>
      <x:color rgb="FF1754B9"/>
      <x:name val="Calibri"/>
    </x:font>
    <x:font>
      <x:sz val="11"/>
      <x:color rgb="FF202C3B"/>
      <x:name val="Calibri"/>
    </x:font>
    <x:font>
      <x:sz val="11"/>
      <x:color rgb="FF157347"/>
      <x:name val="Calibri"/>
    </x:font>
    <x:font>
      <x:b/>
      <x:sz val="11"/>
      <x:color rgb="FF157347"/>
      <x:name val="Calibri"/>
    </x:font>
    <x:font>
      <x:b/>
      <x:sz val="11"/>
      <x:color rgb="FF17324D"/>
      <x:name val="Calibri"/>
    </x:font>
    <x:font>
      <x:sz val="12"/>
      <x:color rgb="FF143B48"/>
      <x:name val="Times New Roman"/>
      <x:family val="1"/>
    </x:font>
    <x:font>
      <x:sz val="12"/>
      <x:color rgb="FF143B48"/>
      <x:name val="Times New Roman"/>
    </x:font>
    <x:font>
      <x:b/>
      <x:i/>
      <x:sz val="12"/>
      <x:color rgb="FF143B48"/>
      <x:name val="Times New Roman"/>
    </x:font>
    <x:font>
      <x:b/>
      <x:i/>
      <x:sz val="12"/>
      <x:color rgb="FF143B48"/>
      <x:name val="Times New Roman"/>
      <x:family val="1"/>
    </x:font>
    <x:font>
      <x:b/>
      <x:sz val="12"/>
      <x:color rgb="FF143B48"/>
      <x:name val="Times New Roman"/>
    </x:font>
    <x:font>
      <x:sz val="12"/>
      <x:color rgb="FF9C2531"/>
      <x:name val="Times New Roman"/>
    </x:font>
    <x:font>
      <x:b/>
      <x:sz val="11"/>
      <x:color rgb="FF9C2531"/>
      <x:name val="Calibri"/>
    </x:font>
  </x:fonts>
  <x:fills count="28">
    <x:fill>
      <x:patternFill patternType="none"/>
    </x:fill>
    <x:fill>
      <x:patternFill patternType="gray125"/>
    </x:fill>
    <x:fill>
      <x:patternFill patternType="solid">
        <x:fgColor rgb="FF50C5A7"/>
      </x:patternFill>
    </x:fill>
    <x:fill>
      <x:patternFill patternType="solid">
        <x:fgColor rgb="FF142855"/>
      </x:patternFill>
    </x:fill>
    <x:fill>
      <x:patternFill patternType="solid">
        <x:fgColor rgb="FF142855"/>
      </x:patternFill>
    </x:fill>
    <x:fill>
      <x:patternFill patternType="solid">
        <x:fgColor theme="0"/>
      </x:patternFill>
    </x:fill>
    <x:fill>
      <x:patternFill patternType="solid">
        <x:fgColor rgb="FFFFFF00"/>
      </x:patternFill>
    </x:fill>
    <x:fill>
      <x:patternFill patternType="solid">
        <x:fgColor theme="0"/>
      </x:patternFill>
    </x:fill>
    <x:fill>
      <x:patternFill patternType="solid">
        <x:fgColor theme="5" tint="-0.49992"/>
      </x:patternFill>
    </x:fill>
    <x:fill>
      <x:patternFill patternType="solid">
        <x:fgColor theme="5" tint="-0.49992"/>
      </x:patternFill>
    </x:fill>
    <x:fill>
      <x:patternFill patternType="solid">
        <x:fgColor theme="5" tint="-0.24998"/>
      </x:patternFill>
    </x:fill>
    <x:fill>
      <x:patternFill patternType="solid">
        <x:fgColor theme="7" tint="0.59993"/>
      </x:patternFill>
    </x:fill>
    <x:fill>
      <x:patternFill patternType="solid">
        <x:fgColor theme="7" tint="0.59993"/>
      </x:patternFill>
    </x:fill>
    <x:fill>
      <x:patternFill patternType="solid">
        <x:fgColor rgb="FF0B2F5B"/>
      </x:patternFill>
    </x:fill>
    <x:fill>
      <x:patternFill patternType="solid">
        <x:fgColor rgb="FFC6EAE2"/>
      </x:patternFill>
    </x:fill>
    <x:fill>
      <x:patternFill patternType="solid">
        <x:fgColor theme="5" tint="-0.49992"/>
      </x:patternFill>
    </x:fill>
    <x:fill>
      <x:patternFill patternType="solid">
        <x:fgColor theme="6" tint="0.59993"/>
      </x:patternFill>
    </x:fill>
    <x:fill>
      <x:patternFill patternType="solid">
        <x:fgColor theme="6" tint="0.59996"/>
      </x:patternFill>
    </x:fill>
    <x:fill>
      <x:patternFill patternType="solid">
        <x:fgColor theme="7" tint="0.59996"/>
      </x:patternFill>
    </x:fill>
    <x:fill>
      <x:patternFill patternType="solid">
        <x:fgColor theme="4"/>
      </x:patternFill>
    </x:fill>
    <x:fill>
      <x:patternFill patternType="solid">
        <x:fgColor rgb="FF142855"/>
      </x:patternFill>
    </x:fill>
    <x:fill>
      <x:patternFill patternType="solid">
        <x:fgColor theme="0"/>
      </x:patternFill>
    </x:fill>
    <x:fill>
      <x:patternFill patternType="solid">
        <x:fgColor rgb="FF17324D"/>
      </x:patternFill>
    </x:fill>
    <x:fill>
      <x:patternFill patternType="solid">
        <x:fgColor rgb="FFFFF1CB"/>
      </x:patternFill>
    </x:fill>
    <x:fill>
      <x:patternFill patternType="solid">
        <x:fgColor rgb="FF087F8C"/>
      </x:patternFill>
    </x:fill>
    <x:fill>
      <x:patternFill patternType="solid">
        <x:fgColor rgb="FFF2F7FF"/>
      </x:patternFill>
    </x:fill>
    <x:fill>
      <x:patternFill patternType="solid">
        <x:fgColor rgb="FFEAF3F5"/>
      </x:patternFill>
    </x:fill>
    <x:fill>
      <x:patternFill patternType="solid">
        <x:fgColor rgb="FFFDE9E7"/>
      </x:patternFill>
    </x:fill>
  </x:fills>
  <x:borders count="64">
    <x:border>
      <x:left/>
      <x:right/>
      <x:top/>
      <x:bottom/>
      <x:diagonal/>
    </x:border>
    <x:border>
      <x:left style="medium">
        <x:color rgb="FFBFBFBF"/>
      </x:left>
      <x:right/>
      <x:top style="medium">
        <x:color rgb="FFBFBFBF"/>
      </x:top>
      <x:bottom style="medium">
        <x:color rgb="FFBFBFBF"/>
      </x:bottom>
      <x:diagonal/>
    </x:border>
    <x:border>
      <x:left/>
      <x:right/>
      <x:top style="medium">
        <x:color rgb="FFBFBFBF"/>
      </x:top>
      <x:bottom style="medium">
        <x:color rgb="FFBFBFBF"/>
      </x:bottom>
      <x:diagonal/>
    </x:border>
    <x:border>
      <x:left/>
      <x:right style="medium">
        <x:color rgb="FFBFBFBF"/>
      </x:right>
      <x:top style="medium">
        <x:color rgb="FFBFBFBF"/>
      </x:top>
      <x:bottom style="medium">
        <x:color rgb="FFBFBFBF"/>
      </x:bottom>
      <x:diagonal/>
    </x:border>
    <x:border>
      <x:left/>
      <x:right/>
      <x:top/>
      <x:bottom style="double">
        <x:color rgb="FF000000"/>
      </x:bottom>
      <x:diagonal/>
    </x:border>
    <x:border>
      <x:left/>
      <x:right/>
      <x:top/>
      <x:bottom/>
      <x:diagonal/>
    </x:border>
    <x:border>
      <x:left/>
      <x:right/>
      <x:top/>
      <x:bottom/>
      <x:diagonal/>
    </x:border>
    <x:border>
      <x:left/>
      <x:right/>
      <x:top/>
      <x:bottom/>
      <x:diagonal/>
    </x:border>
    <x:border>
      <x:left/>
      <x:right/>
      <x:top/>
      <x:bottom style="medium">
        <x:color rgb="FF7F7F7F"/>
      </x:bottom>
      <x:diagonal/>
    </x:border>
    <x:border>
      <x:left/>
      <x:right/>
      <x:top/>
      <x:bottom style="thin">
        <x:color rgb="FF000000"/>
      </x:bottom>
      <x:diagonal/>
    </x:border>
    <x:border>
      <x:left/>
      <x:right/>
      <x:top style="thin">
        <x:color rgb="FF000000"/>
      </x:top>
      <x:bottom style="thin">
        <x:color rgb="FF000000"/>
      </x:bottom>
      <x:diagonal/>
    </x:border>
    <x:border>
      <x:left style="medium">
        <x:color rgb="FF000000"/>
      </x:left>
      <x:right/>
      <x:top/>
      <x:bottom/>
      <x:diagonal/>
    </x:border>
    <x:border>
      <x:left/>
      <x:right style="medium">
        <x:color rgb="FF000000"/>
      </x:right>
      <x:top/>
      <x:bottom/>
      <x:diagonal/>
    </x:border>
    <x:border>
      <x:left/>
      <x:right style="medium">
        <x:color rgb="FFA89497"/>
      </x:right>
      <x:top style="medium">
        <x:color rgb="FFA89497"/>
      </x:top>
      <x:bottom/>
      <x:diagonal/>
    </x:border>
    <x:border>
      <x:left style="medium">
        <x:color rgb="FFA89497"/>
      </x:left>
      <x:right/>
      <x:top/>
      <x:bottom/>
      <x:diagonal/>
    </x:border>
    <x:border>
      <x:left/>
      <x:right style="medium">
        <x:color rgb="FFA89497"/>
      </x:right>
      <x:top/>
      <x:bottom/>
      <x:diagonal/>
    </x:border>
    <x:border>
      <x:left/>
      <x:right/>
      <x:top/>
      <x:bottom style="medium">
        <x:color rgb="FFA89497"/>
      </x:bottom>
      <x:diagonal/>
    </x:border>
    <x:border>
      <x:left/>
      <x:right style="medium">
        <x:color rgb="FFA89497"/>
      </x:right>
      <x:top/>
      <x:bottom style="medium">
        <x:color rgb="FFA89497"/>
      </x:bottom>
      <x:diagonal/>
    </x:border>
    <x:border>
      <x:left/>
      <x:right/>
      <x:top style="medium">
        <x:color rgb="FFA89497"/>
      </x:top>
      <x:bottom style="medium">
        <x:color rgb="FFA89497"/>
      </x:bottom>
      <x:diagonal/>
    </x:border>
    <x:border>
      <x:left/>
      <x:right style="medium">
        <x:color rgb="FFA89497"/>
      </x:right>
      <x:top style="medium">
        <x:color rgb="FFA89497"/>
      </x:top>
      <x:bottom style="medium">
        <x:color rgb="FFA89497"/>
      </x:bottom>
      <x:diagonal/>
    </x:border>
    <x:border>
      <x:left style="medium">
        <x:color rgb="FFA89497"/>
      </x:left>
      <x:right/>
      <x:top style="medium">
        <x:color rgb="FFA89497"/>
      </x:top>
      <x:bottom style="medium">
        <x:color rgb="FFA89497"/>
      </x:bottom>
      <x:diagonal/>
    </x:border>
    <x:border>
      <x:left style="thin">
        <x:color rgb="FF000000"/>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style="medium">
        <x:color rgb="FFA89497"/>
      </x:left>
      <x:right/>
      <x:top/>
      <x:bottom/>
      <x:diagonal/>
    </x:border>
    <x:border>
      <x:left/>
      <x:right/>
      <x:top/>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style="thin">
        <x:color rgb="FF000000"/>
      </x:right>
      <x:top/>
      <x:bottom style="thin">
        <x:color rgb="FF000000"/>
      </x:bottom>
      <x:diagonal/>
    </x:border>
    <x:border>
      <x:left/>
      <x:right/>
      <x:top style="thin">
        <x:color rgb="FF000000"/>
      </x:top>
      <x:bottom/>
      <x:diagonal/>
    </x:border>
    <x:border>
      <x:left/>
      <x:right style="medium">
        <x:color rgb="FFA89497"/>
      </x:right>
      <x:top/>
      <x:bottom/>
      <x:diagonal/>
    </x:border>
    <x:border>
      <x:left style="medium">
        <x:color rgb="FFA89497"/>
      </x:left>
      <x:right/>
      <x:top style="medium">
        <x:color rgb="FFA89497"/>
      </x:top>
      <x:bottom/>
      <x:diagonal/>
    </x:border>
    <x:border>
      <x:left/>
      <x:right/>
      <x:top style="medium">
        <x:color rgb="FFA89497"/>
      </x:top>
      <x:bottom/>
      <x:diagonal/>
    </x:border>
    <x:border>
      <x:left/>
      <x:right style="medium">
        <x:color rgb="FFA89497"/>
      </x:right>
      <x:top style="medium">
        <x:color rgb="FFA89497"/>
      </x:top>
      <x:bottom/>
      <x:diagonal/>
    </x:border>
    <x:border>
      <x:left/>
      <x:right style="thin">
        <x:color rgb="FF595959"/>
      </x:right>
      <x:top style="thin">
        <x:color rgb="FF595959"/>
      </x:top>
      <x:bottom style="thin">
        <x:color rgb="FF595959"/>
      </x:bottom>
      <x:diagonal/>
    </x:border>
    <x:border>
      <x:left style="thin">
        <x:color rgb="FF000000"/>
      </x:left>
      <x:right/>
      <x:top style="thin">
        <x:color rgb="FF000000"/>
      </x:top>
      <x:bottom/>
      <x:diagonal/>
    </x:border>
    <x:border>
      <x:left/>
      <x:right style="thin">
        <x:color rgb="FF000000"/>
      </x:right>
      <x:top style="thin">
        <x:color rgb="FF000000"/>
      </x:top>
      <x:bottom/>
      <x:diagonal/>
    </x:border>
    <x:border>
      <x:left style="thin">
        <x:color indexed="64"/>
      </x:left>
      <x:right style="thin">
        <x:color indexed="64"/>
      </x:right>
      <x:top style="thin">
        <x:color indexed="64"/>
      </x:top>
      <x:bottom style="thin">
        <x:color indexed="64"/>
      </x:bottom>
      <x:diagonal/>
    </x:border>
    <x:border>
      <x:left/>
      <x:right/>
      <x:top style="thin">
        <x:color rgb="FF595959"/>
      </x:top>
      <x:bottom style="thin">
        <x:color rgb="FF595959"/>
      </x:bottom>
      <x:diagonal/>
    </x:border>
    <x:border>
      <x:left style="medium">
        <x:color rgb="FFA89497"/>
      </x:left>
      <x:right style="thin">
        <x:color theme="1" tint="0.49989"/>
      </x:right>
      <x:top style="medium">
        <x:color rgb="FFA89497"/>
      </x:top>
      <x:bottom style="thin">
        <x:color theme="1" tint="0.49989"/>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medium">
        <x:color rgb="FFA89497"/>
      </x:left>
      <x:right/>
      <x:top/>
      <x:bottom style="thin">
        <x:color rgb="FF000000"/>
      </x:bottom>
      <x:diagonal/>
    </x:border>
    <x:border>
      <x:left style="thin">
        <x:color indexed="64"/>
      </x:left>
      <x:right style="thin">
        <x:color indexed="64"/>
      </x:right>
      <x:top/>
      <x:bottom style="thin">
        <x:color indexed="64"/>
      </x:bottom>
      <x:diagonal/>
    </x:border>
    <x:border>
      <x:left style="thin">
        <x:color indexed="64"/>
      </x:left>
      <x:right style="thin">
        <x:color indexed="64"/>
      </x:right>
      <x:top style="thin">
        <x:color indexed="64"/>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x:top style="thin">
        <x:color indexed="64"/>
      </x:top>
      <x:bottom style="thin">
        <x:color indexed="64"/>
      </x:bottom>
      <x:diagonal/>
    </x:border>
    <x:border>
      <x:left style="thin">
        <x:color indexed="64"/>
      </x:left>
      <x:right/>
      <x:top/>
      <x:bottom/>
      <x:diagonal/>
    </x:border>
    <x:border>
      <x:left/>
      <x:right style="thin">
        <x:color indexed="64"/>
      </x:right>
      <x:top/>
      <x:bottom/>
      <x:diagonal/>
    </x:border>
    <x:border>
      <x:left style="thin">
        <x:color indexed="64"/>
      </x:left>
      <x:right/>
      <x:top style="medium">
        <x:color rgb="FFA89497"/>
      </x:top>
      <x:bottom/>
      <x:diagonal/>
    </x:border>
    <x:border>
      <x:left style="medium">
        <x:color rgb="FFA89497"/>
      </x:left>
      <x:right/>
      <x:top/>
      <x:bottom style="thin">
        <x:color indexed="64"/>
      </x:bottom>
      <x:diagonal/>
    </x:border>
    <x:border>
      <x:left/>
      <x:right style="medium">
        <x:color rgb="FFA89497"/>
      </x:right>
      <x:top/>
      <x:bottom style="thin">
        <x:color indexed="64"/>
      </x:bottom>
      <x:diagonal/>
    </x:border>
    <x:border>
      <x:left/>
      <x:right style="medium">
        <x:color rgb="FFA89497"/>
      </x:right>
      <x:top/>
      <x:bottom style="thin">
        <x:color rgb="FF000000"/>
      </x:bottom>
      <x:diagonal/>
    </x:border>
    <x:border>
      <x:left style="thin">
        <x:color rgb="FF808080"/>
      </x:left>
      <x:right style="thin">
        <x:color rgb="FF808080"/>
      </x:right>
      <x:top style="thin">
        <x:color rgb="FF808080"/>
      </x:top>
      <x:bottom/>
      <x:diagonal/>
    </x:border>
    <x:border>
      <x:left style="thin">
        <x:color rgb="FF808080"/>
      </x:left>
      <x:right/>
      <x:top style="thin">
        <x:color rgb="FF808080"/>
      </x:top>
      <x:bottom/>
      <x:diagonal/>
    </x:border>
    <x:border>
      <x:left style="thin">
        <x:color rgb="FF808080"/>
      </x:left>
      <x:right style="thin">
        <x:color rgb="FF808080"/>
      </x:right>
      <x:top style="thin">
        <x:color rgb="FF808080"/>
      </x:top>
      <x:bottom style="thin">
        <x:color rgb="FF808080"/>
      </x:bottom>
      <x:diagonal/>
    </x:border>
    <x:border>
      <x:left/>
      <x:right style="thin">
        <x:color indexed="64"/>
      </x:right>
      <x:top style="thin">
        <x:color rgb="FF000000"/>
      </x:top>
      <x:bottom style="thin">
        <x:color rgb="FF000000"/>
      </x:bottom>
      <x:diagonal/>
    </x:border>
    <x:border>
      <x:left/>
      <x:right/>
      <x:top/>
      <x:bottom style="thin">
        <x:color rgb="FFBDCED8"/>
      </x:bottom>
      <x:diagonal/>
    </x:border>
  </x:borders>
  <x:cellStyleXfs count="3">
    <x:xf numFmtId="0" fontId="0" fillId="0" borderId="0"/>
    <x:xf numFmtId="164" fontId="1" fillId="0" borderId="0" applyFont="0" applyFill="0" applyBorder="0" applyAlignment="0" applyProtection="0"/>
    <x:xf numFmtId="44" fontId="1" fillId="0" borderId="0" applyFont="0" applyFill="0" applyBorder="0" applyAlignment="0" applyProtection="0"/>
  </x:cellStyleXfs>
  <x:cellXfs count="493">
    <x:xf numFmtId="0" fontId="0" fillId="0" borderId="0" xfId="0"/>
    <x:xf numFmtId="0" fontId="2" fillId="0" borderId="0" xfId="0" applyFont="1" applyAlignment="1">
      <x:alignment horizontal="left" vertical="top"/>
    </x:xf>
    <x:xf numFmtId="0" fontId="3" fillId="0" borderId="0" xfId="0" applyFont="1"/>
    <x:xf numFmtId="0" fontId="2" fillId="0" borderId="0" xfId="0" applyFont="1" applyAlignment="1">
      <x:alignment vertical="top"/>
    </x:xf>
    <x:xf numFmtId="0" fontId="5" fillId="0" borderId="0" xfId="0" applyFont="1" applyAlignment="1">
      <x:alignment horizontal="left" vertical="top"/>
    </x:xf>
    <x:xf numFmtId="0" fontId="2" fillId="0" borderId="0" xfId="0" applyFont="1" applyAlignment="1">
      <x:alignment vertical="top" wrapText="1"/>
    </x:xf>
    <x:xf numFmtId="0" fontId="6" fillId="0" borderId="0" xfId="0" applyFont="1" applyAlignment="1">
      <x:alignment vertical="top"/>
    </x:xf>
    <x:xf numFmtId="0" fontId="6" fillId="0" borderId="0" xfId="0" applyFont="1" applyAlignment="1">
      <x:alignment horizontal="left" vertical="top"/>
    </x:xf>
    <x:xf numFmtId="0" fontId="4" fillId="0" borderId="0" xfId="0" applyFont="1" applyAlignment="1">
      <x:alignment horizontal="left" vertical="top" wrapText="1"/>
    </x:xf>
    <x:xf numFmtId="17" fontId="6" fillId="0" borderId="4" xfId="0" applyNumberFormat="1" applyFont="1" applyBorder="1" applyAlignment="1">
      <x:alignment horizontal="left" vertical="top"/>
    </x:xf>
    <x:xf numFmtId="0" fontId="6" fillId="0" borderId="4" xfId="0" applyFont="1" applyBorder="1" applyAlignment="1">
      <x:alignment vertical="top"/>
    </x:xf>
    <x:xf numFmtId="0" fontId="6" fillId="0" borderId="0" xfId="0" applyFont="1" applyAlignment="1">
      <x:alignment horizontal="left" vertical="top" wrapText="1"/>
    </x:xf>
    <x:xf numFmtId="0" fontId="4" fillId="0" borderId="0" xfId="0" applyFont="1" applyAlignment="1">
      <x:alignment horizontal="left" vertical="top"/>
    </x:xf>
    <x:xf numFmtId="0" fontId="6" fillId="0" borderId="0" xfId="0" applyFont="1" applyAlignment="1">
      <x:alignment vertical="top" wrapText="1"/>
    </x:xf>
    <x:xf numFmtId="0" fontId="6" fillId="0" borderId="0" xfId="0" applyFont="1"/>
    <x:xf numFmtId="0" fontId="8" fillId="0" borderId="0" xfId="0" applyFont="1"/>
    <x:xf numFmtId="0" fontId="8" fillId="0" borderId="25" xfId="0" applyFont="1" applyBorder="1"/>
    <x:xf numFmtId="0" fontId="12" fillId="0" borderId="0" xfId="0" applyFont="1" applyAlignment="1">
      <x:alignment vertical="center" wrapText="1"/>
    </x:xf>
    <x:xf numFmtId="0" fontId="10" fillId="0" borderId="46" xfId="0" applyFont="1" applyBorder="1" applyAlignment="1">
      <x:alignment horizontal="center" vertical="center"/>
    </x:xf>
    <x:xf numFmtId="0" fontId="7" fillId="0" borderId="47" xfId="0" applyFont="1" applyBorder="1" applyAlignment="1">
      <x:alignment horizontal="left" vertical="top"/>
    </x:xf>
    <x:xf numFmtId="0" fontId="7" fillId="0" borderId="48" xfId="0" applyFont="1" applyBorder="1" applyAlignment="1">
      <x:alignment horizontal="left" vertical="top"/>
    </x:xf>
    <x:xf numFmtId="0" fontId="10" fillId="0" borderId="41" xfId="0" applyFont="1" applyBorder="1" applyAlignment="1">
      <x:alignment horizontal="center" vertical="center"/>
    </x:xf>
    <x:xf numFmtId="0" fontId="7" fillId="0" borderId="52" xfId="0" applyFont="1" applyBorder="1" applyAlignment="1">
      <x:alignment horizontal="center" vertical="top"/>
    </x:xf>
    <x:xf numFmtId="0" fontId="7" fillId="0" borderId="42" xfId="0" applyFont="1" applyBorder="1" applyAlignment="1">
      <x:alignment horizontal="center" vertical="top"/>
    </x:xf>
    <x:xf numFmtId="0" fontId="10" fillId="11" borderId="38" xfId="0" applyFont="1" applyFill="1" applyBorder="1" applyAlignment="1">
      <x:alignment horizontal="center" vertical="center" wrapText="1"/>
    </x:xf>
    <x:xf numFmtId="0" fontId="7" fillId="0" borderId="38" xfId="0" applyFont="1" applyBorder="1" applyAlignment="1">
      <x:alignment horizontal="center" vertical="center"/>
    </x:xf>
    <x:xf numFmtId="0" fontId="7" fillId="0" borderId="44" xfId="0" applyFont="1" applyBorder="1" applyAlignment="1">
      <x:alignment horizontal="center" vertical="top"/>
    </x:xf>
    <x:xf numFmtId="0" fontId="7" fillId="0" borderId="38" xfId="0" applyFont="1" applyBorder="1" applyAlignment="1">
      <x:alignment horizontal="center" vertical="top"/>
    </x:xf>
    <x:xf numFmtId="9" fontId="7" fillId="0" borderId="38" xfId="0" applyNumberFormat="1" applyFont="1" applyFill="1" applyBorder="1" applyAlignment="1">
      <x:alignment horizontal="center" vertical="top"/>
    </x:xf>
    <x:xf numFmtId="0" fontId="10" fillId="0" borderId="38" xfId="0" applyFont="1" applyBorder="1" applyAlignment="1">
      <x:alignment horizontal="center" vertical="center" wrapText="1"/>
    </x:xf>
    <x:xf numFmtId="3" fontId="7" fillId="0" borderId="38" xfId="0" applyNumberFormat="1" applyFont="1" applyBorder="1" applyAlignment="1">
      <x:alignment horizontal="center" vertical="center" wrapText="1"/>
    </x:xf>
    <x:xf numFmtId="3" fontId="7" fillId="0" borderId="45" xfId="0" applyNumberFormat="1" applyFont="1" applyBorder="1" applyAlignment="1">
      <x:alignment horizontal="center" vertical="center" wrapText="1"/>
    </x:xf>
    <x:xf numFmtId="3" fontId="10" fillId="0" borderId="45" xfId="0" applyNumberFormat="1" applyFont="1" applyBorder="1" applyAlignment="1">
      <x:alignment horizontal="center" vertical="center" wrapText="1"/>
    </x:xf>
    <x:xf numFmtId="0" fontId="10" fillId="0" borderId="23" xfId="0" applyFont="1" applyBorder="1" applyAlignment="1">
      <x:alignment horizontal="center" vertical="center" wrapText="1"/>
    </x:xf>
    <x:xf numFmtId="3" fontId="7" fillId="0" borderId="23" xfId="0" applyNumberFormat="1" applyFont="1" applyBorder="1" applyAlignment="1">
      <x:alignment horizontal="center" vertical="center" wrapText="1"/>
    </x:xf>
    <x:xf numFmtId="3" fontId="7" fillId="0" borderId="26" xfId="0" applyNumberFormat="1" applyFont="1" applyBorder="1" applyAlignment="1">
      <x:alignment horizontal="center" vertical="center" wrapText="1"/>
    </x:xf>
    <x:xf numFmtId="3" fontId="10" fillId="0" borderId="38" xfId="0" applyNumberFormat="1" applyFont="1" applyBorder="1" applyAlignment="1">
      <x:alignment horizontal="center" vertical="center" wrapText="1"/>
    </x:xf>
    <x:xf numFmtId="0" fontId="7" fillId="0" borderId="0" xfId="0" applyFont="1"/>
    <x:xf numFmtId="166" fontId="7" fillId="0" borderId="0" xfId="0" applyNumberFormat="1" applyFont="1" applyFill="1" applyBorder="1" applyAlignment="1">
      <x:alignment horizontal="center"/>
    </x:xf>
    <x:xf numFmtId="166" fontId="7" fillId="0" borderId="38" xfId="0" applyNumberFormat="1" applyFont="1" applyFill="1" applyBorder="1" applyAlignment="1">
      <x:alignment horizontal="center" vertical="center"/>
    </x:xf>
    <x:xf numFmtId="0" fontId="7" fillId="5" borderId="53" xfId="0" applyFont="1" applyFill="1" applyBorder="1" applyAlignment="1"/>
    <x:xf numFmtId="0" fontId="7" fillId="5" borderId="25" xfId="0" applyFont="1" applyFill="1" applyBorder="1" applyAlignment="1"/>
    <x:xf numFmtId="0" fontId="7" fillId="5" borderId="54" xfId="0" applyFont="1" applyFill="1" applyBorder="1" applyAlignment="1"/>
    <x:xf numFmtId="0" fontId="7" fillId="0" borderId="38" xfId="0" applyFont="1" applyBorder="1" applyAlignment="1">
      <x:alignment horizontal="center" wrapText="1"/>
    </x:xf>
    <x:xf numFmtId="166" fontId="7" fillId="0" borderId="38" xfId="0" applyNumberFormat="1" applyFont="1" applyFill="1" applyBorder="1" applyAlignment="1">
      <x:alignment horizontal="center"/>
    </x:xf>
    <x:xf numFmtId="0" fontId="7" fillId="0" borderId="38" xfId="0" applyFont="1" applyBorder="1" applyAlignment="1">
      <x:alignment horizontal="center" vertical="center" wrapText="1"/>
    </x:xf>
    <x:xf numFmtId="166" fontId="7" fillId="0" borderId="0" xfId="0" applyNumberFormat="1" applyFont="1" applyFill="1" applyBorder="1" applyAlignment="1">
      <x:alignment horizontal="center" vertical="center"/>
    </x:xf>
    <x:xf numFmtId="9" fontId="7" fillId="0" borderId="38" xfId="0" applyNumberFormat="1" applyFont="1" applyFill="1" applyBorder="1" applyAlignment="1">
      <x:alignment horizontal="center"/>
    </x:xf>
    <x:xf numFmtId="0" fontId="7" fillId="0" borderId="38" xfId="0" applyFont="1" applyBorder="1" applyAlignment="1">
      <x:alignment horizontal="center"/>
    </x:xf>
    <x:xf numFmtId="9" fontId="7" fillId="0" borderId="38" xfId="0" applyNumberFormat="1" applyFont="1" applyFill="1" applyBorder="1" applyAlignment="1">
      <x:alignment horizontal="center" vertical="center"/>
    </x:xf>
    <x:xf numFmtId="0" fontId="7" fillId="0" borderId="38" xfId="0" applyFont="1" applyBorder="1"/>
    <x:xf numFmtId="166" fontId="7" fillId="0" borderId="45" xfId="0" applyNumberFormat="1" applyFont="1" applyFill="1" applyBorder="1" applyAlignment="1">
      <x:alignment horizontal="center" vertical="center"/>
    </x:xf>
    <x:xf numFmtId="9" fontId="7" fillId="0" borderId="0" xfId="0" applyNumberFormat="1" applyFont="1" applyFill="1" applyBorder="1" applyAlignment="1">
      <x:alignment horizontal="center"/>
    </x:xf>
    <x:xf numFmtId="3" fontId="7" fillId="0" borderId="38" xfId="0" applyNumberFormat="1" applyFont="1" applyFill="1" applyBorder="1" applyAlignment="1">
      <x:alignment horizontal="center" wrapText="1"/>
    </x:xf>
    <x:xf numFmtId="0" fontId="7" fillId="5" borderId="49" xfId="0" applyNumberFormat="1" applyFont="1" applyFill="1" applyBorder="1" applyAlignment="1">
      <x:alignment wrapText="1"/>
    </x:xf>
    <x:xf numFmtId="0" fontId="7" fillId="5" borderId="50" xfId="0" applyFont="1" applyFill="1" applyBorder="1" applyAlignment="1"/>
    <x:xf numFmtId="0" fontId="7" fillId="5" borderId="51" xfId="0" applyFont="1" applyFill="1" applyBorder="1" applyAlignment="1"/>
    <x:xf numFmtId="0" fontId="16" fillId="0" borderId="0" xfId="0" applyFont="1"/>
    <x:xf numFmtId="0" fontId="7" fillId="0" borderId="0" xfId="0" applyFont="1" applyAlignment="1">
      <x:alignment horizontal="center"/>
    </x:xf>
    <x:xf numFmtId="3" fontId="7" fillId="0" borderId="0" xfId="0" applyNumberFormat="1" applyFont="1" applyAlignment="1">
      <x:alignment horizontal="center"/>
    </x:xf>
    <x:xf numFmtId="0" fontId="17" fillId="0" borderId="0" xfId="0" applyFont="1"/>
    <x:xf numFmtId="0" fontId="10" fillId="0" borderId="0" xfId="0" applyFont="1" applyAlignment="1">
      <x:alignment horizontal="left" vertical="center"/>
    </x:xf>
    <x:xf numFmtId="0" fontId="10" fillId="0" borderId="0" xfId="0" applyFont="1" applyAlignment="1">
      <x:alignment horizontal="center"/>
    </x:xf>
    <x:xf numFmtId="0" fontId="10" fillId="0" borderId="0" xfId="0" applyFont="1"/>
    <x:xf numFmtId="3" fontId="10" fillId="0" borderId="0" xfId="0" applyNumberFormat="1" applyFont="1" applyAlignment="1">
      <x:alignment horizontal="center"/>
    </x:xf>
    <x:xf numFmtId="0" fontId="10" fillId="0" borderId="0" xfId="0" applyFont="1" applyAlignment="1">
      <x:alignment vertical="center"/>
    </x:xf>
    <x:xf numFmtId="0" fontId="16" fillId="0" borderId="0" xfId="0" applyFont="1" applyAlignment="1">
      <x:alignment horizontal="left" vertical="top"/>
    </x:xf>
    <x:xf numFmtId="0" fontId="7" fillId="0" borderId="9" xfId="0" applyFont="1" applyBorder="1" applyAlignment="1">
      <x:alignment horizontal="center" vertical="top"/>
    </x:xf>
    <x:xf numFmtId="3" fontId="10" fillId="0" borderId="0" xfId="0" applyNumberFormat="1" applyFont="1"/>
    <x:xf numFmtId="0" fontId="17" fillId="0" borderId="0" xfId="0" applyFont="1" applyAlignment="1">
      <x:alignment horizontal="center"/>
    </x:xf>
    <x:xf numFmtId="0" fontId="7" fillId="0" borderId="39" xfId="0" applyFont="1" applyBorder="1" applyAlignment="1">
      <x:alignment vertical="center" wrapText="1"/>
    </x:xf>
    <x:xf numFmtId="3" fontId="7" fillId="0" borderId="35" xfId="0" applyNumberFormat="1" applyFont="1" applyBorder="1"/>
    <x:xf numFmtId="0" fontId="7" fillId="0" borderId="39" xfId="0" applyFont="1" applyBorder="1" applyAlignment="1">
      <x:alignment horizontal="left" vertical="center" wrapText="1"/>
    </x:xf>
    <x:xf numFmtId="0" fontId="10" fillId="0" borderId="25" xfId="0" applyFont="1" applyBorder="1" applyAlignment="1">
      <x:alignment horizontal="left" vertical="center"/>
    </x:xf>
    <x:xf numFmtId="0" fontId="10" fillId="0" borderId="25" xfId="0" applyFont="1" applyBorder="1" applyAlignment="1">
      <x:alignment horizontal="center"/>
    </x:xf>
    <x:xf numFmtId="0" fontId="7" fillId="0" borderId="25" xfId="0" applyFont="1" applyBorder="1"/>
    <x:xf numFmtId="0" fontId="10" fillId="0" borderId="4" xfId="0" applyFont="1" applyBorder="1" applyAlignment="1">
      <x:alignment horizontal="center"/>
    </x:xf>
    <x:xf numFmtId="3" fontId="10" fillId="0" borderId="4" xfId="0" applyNumberFormat="1" applyFont="1" applyBorder="1" applyAlignment="1">
      <x:alignment horizontal="center"/>
    </x:xf>
    <x:xf numFmtId="0" fontId="7" fillId="0" borderId="27" xfId="0" applyFont="1" applyBorder="1" applyAlignment="1">
      <x:alignment horizontal="left"/>
    </x:xf>
    <x:xf numFmtId="165" fontId="7" fillId="0" borderId="27" xfId="0" applyNumberFormat="1" applyFont="1" applyBorder="1" applyAlignment="1">
      <x:alignment horizontal="center" vertical="center"/>
    </x:xf>
    <x:xf numFmtId="0" fontId="7" fillId="0" borderId="23" xfId="0" applyFont="1" applyBorder="1" applyAlignment="1">
      <x:alignment horizontal="left"/>
    </x:xf>
    <x:xf numFmtId="165" fontId="7" fillId="0" borderId="23" xfId="0" applyNumberFormat="1" applyFont="1" applyBorder="1" applyAlignment="1">
      <x:alignment horizontal="right"/>
    </x:xf>
    <x:xf numFmtId="0" fontId="9" fillId="4" borderId="40" xfId="0" applyFont="1" applyFill="1" applyBorder="1" applyAlignment="1">
      <x:alignment horizontal="center" vertical="center"/>
    </x:xf>
    <x:xf numFmtId="0" fontId="9" fillId="3" borderId="36" xfId="0" applyFont="1" applyFill="1" applyBorder="1" applyAlignment="1">
      <x:alignment horizontal="center" vertical="center" wrapText="1"/>
    </x:xf>
    <x:xf numFmtId="0" fontId="9" fillId="3" borderId="37" xfId="0" applyFont="1" applyFill="1" applyBorder="1" applyAlignment="1">
      <x:alignment horizontal="center" vertical="center" wrapText="1"/>
    </x:xf>
    <x:xf numFmtId="0" fontId="9" fillId="3" borderId="23" xfId="0" applyFont="1" applyFill="1" applyBorder="1" applyAlignment="1">
      <x:alignment horizontal="center" vertical="center"/>
    </x:xf>
    <x:xf numFmtId="3" fontId="9" fillId="3" borderId="26" xfId="0" applyNumberFormat="1" applyFont="1" applyFill="1" applyBorder="1" applyAlignment="1">
      <x:alignment horizontal="center" vertical="center"/>
    </x:xf>
    <x:xf numFmtId="0" fontId="10" fillId="12" borderId="38" xfId="0" applyFont="1" applyFill="1" applyBorder="1" applyAlignment="1">
      <x:alignment vertical="center"/>
    </x:xf>
    <x:xf numFmtId="0" fontId="7" fillId="12" borderId="22" xfId="0" applyFont="1" applyFill="1" applyBorder="1" applyAlignment="1">
      <x:alignment vertical="center"/>
    </x:xf>
    <x:xf numFmtId="166" fontId="10" fillId="11" borderId="29" xfId="0" applyNumberFormat="1" applyFont="1" applyFill="1" applyBorder="1" applyAlignment="1">
      <x:alignment horizontal="left" vertical="center" wrapText="1"/>
    </x:xf>
    <x:xf numFmtId="166" fontId="7" fillId="11" borderId="59" xfId="0" applyNumberFormat="1" applyFont="1" applyFill="1" applyBorder="1" applyAlignment="1">
      <x:alignment horizontal="center" vertical="center"/>
    </x:xf>
    <x:xf numFmtId="166" fontId="7" fillId="11" borderId="60" xfId="0" applyNumberFormat="1" applyFont="1" applyFill="1" applyBorder="1" applyAlignment="1">
      <x:alignment horizontal="center" vertical="center"/>
    </x:xf>
    <x:xf numFmtId="166" fontId="7" fillId="11" borderId="38" xfId="0" applyNumberFormat="1" applyFont="1" applyFill="1" applyBorder="1" applyAlignment="1">
      <x:alignment horizontal="center" vertical="center"/>
    </x:xf>
    <x:xf numFmtId="0" fontId="10" fillId="12" borderId="0" xfId="0" applyFont="1" applyFill="1"/>
    <x:xf numFmtId="166" fontId="10" fillId="11" borderId="9" xfId="0" applyNumberFormat="1" applyFont="1" applyFill="1" applyBorder="1" applyAlignment="1">
      <x:alignment horizontal="left" vertical="center" wrapText="1"/>
    </x:xf>
    <x:xf numFmtId="166" fontId="7" fillId="11" borderId="41" xfId="0" applyNumberFormat="1" applyFont="1" applyFill="1" applyBorder="1" applyAlignment="1">
      <x:alignment horizontal="center" vertical="center"/>
    </x:xf>
    <x:xf numFmtId="0" fontId="10" fillId="12" borderId="38" xfId="0" applyFont="1" applyFill="1" applyBorder="1" applyAlignment="1">
      <x:alignment vertical="center" wrapText="1"/>
    </x:xf>
    <x:xf numFmtId="166" fontId="7" fillId="0" borderId="23" xfId="0" applyNumberFormat="1" applyFont="1" applyFill="1" applyBorder="1" applyAlignment="1">
      <x:alignment horizontal="center" vertical="center"/>
    </x:xf>
    <x:xf numFmtId="166" fontId="7" fillId="0" borderId="27" xfId="0" applyNumberFormat="1" applyFont="1" applyFill="1" applyBorder="1" applyAlignment="1">
      <x:alignment horizontal="center" vertical="center"/>
    </x:xf>
    <x:xf numFmtId="166" fontId="7" fillId="0" borderId="28" xfId="0" applyNumberFormat="1" applyFont="1" applyFill="1" applyBorder="1" applyAlignment="1">
      <x:alignment horizontal="center" vertical="center"/>
    </x:xf>
    <x:xf numFmtId="166" fontId="7" fillId="0" borderId="21" xfId="0" applyNumberFormat="1" applyFont="1" applyFill="1" applyBorder="1" applyAlignment="1">
      <x:alignment horizontal="center" vertical="center"/>
    </x:xf>
    <x:xf numFmtId="0" fontId="7" fillId="0" borderId="37" xfId="0" applyFont="1" applyBorder="1" applyAlignment="1">
      <x:alignment vertical="center"/>
    </x:xf>
    <x:xf numFmtId="166" fontId="7" fillId="0" borderId="26" xfId="0" applyNumberFormat="1" applyFont="1" applyFill="1" applyBorder="1" applyAlignment="1">
      <x:alignment horizontal="center" vertical="center"/>
    </x:xf>
    <x:xf numFmtId="166" fontId="7" fillId="11" borderId="27" xfId="0" applyNumberFormat="1" applyFont="1" applyFill="1" applyBorder="1" applyAlignment="1">
      <x:alignment horizontal="center" vertical="center"/>
    </x:xf>
    <x:xf numFmtId="0" fontId="7" fillId="0" borderId="42" xfId="0" applyFont="1" applyBorder="1" applyAlignment="1">
      <x:alignment vertical="center"/>
    </x:xf>
    <x:xf numFmtId="166" fontId="7" fillId="0" borderId="22" xfId="0" applyNumberFormat="1" applyFont="1" applyFill="1" applyBorder="1" applyAlignment="1">
      <x:alignment horizontal="center" vertical="center"/>
    </x:xf>
    <x:xf numFmtId="0" fontId="7" fillId="12" borderId="41" xfId="0" applyFont="1" applyFill="1" applyBorder="1" applyAlignment="1">
      <x:alignment vertical="center"/>
    </x:xf>
    <x:xf numFmtId="0" fontId="7" fillId="0" borderId="38" xfId="0" applyFont="1" applyBorder="1" applyAlignment="1">
      <x:alignment vertical="center"/>
    </x:xf>
    <x:xf numFmtId="0" fontId="7" fillId="12" borderId="25" xfId="0" applyFont="1" applyFill="1" applyBorder="1" applyAlignment="1">
      <x:alignment vertical="center"/>
    </x:xf>
    <x:xf numFmtId="0" fontId="10" fillId="3" borderId="23" xfId="0" applyFont="1" applyFill="1" applyBorder="1" applyAlignment="1">
      <x:alignment horizontal="left" vertical="center"/>
    </x:xf>
    <x:xf numFmtId="0" fontId="7" fillId="12" borderId="27" xfId="0" applyFont="1" applyFill="1" applyBorder="1"/>
    <x:xf numFmtId="166" fontId="10" fillId="11" borderId="27" xfId="0" applyNumberFormat="1" applyFont="1" applyFill="1" applyBorder="1" applyAlignment="1">
      <x:alignment horizontal="center" vertical="center"/>
    </x:xf>
    <x:xf numFmtId="166" fontId="10" fillId="11" borderId="23" xfId="0" applyNumberFormat="1" applyFont="1" applyFill="1" applyBorder="1" applyAlignment="1">
      <x:alignment horizontal="center" vertical="center"/>
    </x:xf>
    <x:xf numFmtId="166" fontId="7" fillId="0" borderId="0" xfId="0" applyNumberFormat="1" applyFont="1" applyFill="1" applyBorder="1"/>
    <x:xf numFmtId="166" fontId="10" fillId="0" borderId="0" xfId="0" applyNumberFormat="1" applyFont="1" applyFill="1" applyBorder="1"/>
    <x:xf numFmtId="0" fontId="9" fillId="3" borderId="26" xfId="0" applyFont="1" applyFill="1" applyBorder="1" applyAlignment="1">
      <x:alignment horizontal="center" vertical="center"/>
    </x:xf>
    <x:xf numFmtId="0" fontId="9" fillId="3" borderId="26" xfId="0" applyFont="1" applyFill="1" applyBorder="1" applyAlignment="1">
      <x:alignment horizontal="center" vertical="center" wrapText="1"/>
    </x:xf>
    <x:xf numFmtId="166" fontId="9" fillId="3" borderId="26" xfId="0" applyNumberFormat="1" applyFont="1" applyFill="1" applyBorder="1" applyAlignment="1">
      <x:alignment horizontal="center" vertical="center" wrapText="1"/>
    </x:xf>
    <x:xf numFmtId="166" fontId="9" fillId="3" borderId="26" xfId="0" applyNumberFormat="1" applyFont="1" applyFill="1" applyBorder="1" applyAlignment="1">
      <x:alignment horizontal="center" vertical="center"/>
    </x:xf>
    <x:xf numFmtId="166" fontId="9" fillId="3" borderId="13" xfId="0" applyNumberFormat="1" applyFont="1" applyFill="1" applyBorder="1" applyAlignment="1">
      <x:alignment horizontal="center" vertical="center"/>
    </x:xf>
    <x:xf numFmtId="0" fontId="16" fillId="5" borderId="0" xfId="0" applyFont="1" applyFill="1"/>
    <x:xf numFmtId="166" fontId="7" fillId="11" borderId="38" xfId="0" applyNumberFormat="1" applyFont="1" applyFill="1" applyBorder="1" applyAlignment="1">
      <x:alignment horizontal="center"/>
    </x:xf>
    <x:xf numFmtId="0" fontId="7" fillId="16" borderId="38" xfId="0" applyFont="1" applyFill="1" applyBorder="1" applyAlignment="1">
      <x:alignment vertical="center"/>
    </x:xf>
    <x:xf numFmtId="0" fontId="7" fillId="16" borderId="38" xfId="0" applyNumberFormat="1" applyFont="1" applyFill="1" applyBorder="1" applyAlignment="1">
      <x:alignment vertical="center" wrapText="1"/>
    </x:xf>
    <x:xf numFmtId="166" fontId="7" fillId="16" borderId="44" xfId="0" applyNumberFormat="1" applyFont="1" applyFill="1" applyBorder="1" applyAlignment="1">
      <x:alignment horizontal="center" vertical="center" wrapText="1"/>
    </x:xf>
    <x:xf numFmtId="166" fontId="7" fillId="16" borderId="38" xfId="0" applyNumberFormat="1" applyFont="1" applyFill="1" applyBorder="1" applyAlignment="1">
      <x:alignment horizontal="center" vertical="center"/>
    </x:xf>
    <x:xf numFmtId="166" fontId="7" fillId="11" borderId="44" xfId="0" applyNumberFormat="1" applyFont="1" applyFill="1" applyBorder="1" applyAlignment="1">
      <x:alignment horizontal="center" vertical="center"/>
    </x:xf>
    <x:xf numFmtId="166" fontId="7" fillId="16" borderId="44" xfId="0" applyNumberFormat="1" applyFont="1" applyFill="1" applyBorder="1" applyAlignment="1">
      <x:alignment horizontal="center" vertical="center"/>
    </x:xf>
    <x:xf numFmtId="166" fontId="7" fillId="5" borderId="38" xfId="0" applyNumberFormat="1" applyFont="1" applyFill="1" applyBorder="1" applyAlignment="1">
      <x:alignment horizontal="center" vertical="center"/>
    </x:xf>
    <x:xf numFmtId="3" fontId="16" fillId="5" borderId="0" xfId="0" applyNumberFormat="1" applyFont="1" applyFill="1" applyAlignment="1">
      <x:alignment horizontal="center" vertical="center"/>
    </x:xf>
    <x:xf numFmtId="166" fontId="10" fillId="11" borderId="44" xfId="0" applyNumberFormat="1" applyFont="1" applyFill="1" applyBorder="1" applyAlignment="1">
      <x:alignment horizontal="center" vertical="center"/>
    </x:xf>
    <x:xf numFmtId="3" fontId="16" fillId="0" borderId="0" xfId="0" applyNumberFormat="1" applyFont="1" applyAlignment="1">
      <x:alignment horizontal="center" vertical="center"/>
    </x:xf>
    <x:xf numFmtId="3" fontId="7" fillId="5" borderId="0" xfId="0" applyNumberFormat="1" applyFont="1" applyFill="1" applyAlignment="1">
      <x:alignment horizontal="center" vertical="center"/>
    </x:xf>
    <x:xf numFmtId="3" fontId="17" fillId="5" borderId="0" xfId="0" applyNumberFormat="1" applyFont="1" applyFill="1" applyAlignment="1">
      <x:alignment horizontal="center" vertical="center"/>
    </x:xf>
    <x:xf numFmtId="3" fontId="10" fillId="0" borderId="0" xfId="0" applyNumberFormat="1" applyFont="1" applyAlignment="1">
      <x:alignment horizontal="center" vertical="center"/>
    </x:xf>
    <x:xf numFmtId="166" fontId="10" fillId="11" borderId="38" xfId="0" applyNumberFormat="1" applyFont="1" applyFill="1" applyBorder="1" applyAlignment="1">
      <x:alignment horizontal="center" vertical="center"/>
    </x:xf>
    <x:xf numFmtId="3" fontId="17" fillId="0" borderId="0" xfId="0" applyNumberFormat="1" applyFont="1" applyAlignment="1">
      <x:alignment horizontal="center" vertical="center"/>
    </x:xf>
    <x:xf numFmtId="3" fontId="10" fillId="5" borderId="0" xfId="0" applyNumberFormat="1" applyFont="1" applyFill="1" applyAlignment="1">
      <x:alignment horizontal="center" vertical="center"/>
    </x:xf>
    <x:xf numFmtId="166" fontId="10" fillId="5" borderId="0" xfId="0" applyNumberFormat="1" applyFont="1" applyFill="1" applyBorder="1" applyAlignment="1">
      <x:alignment horizontal="center" vertical="center"/>
    </x:xf>
    <x:xf numFmtId="0" fontId="17" fillId="5" borderId="0" xfId="0" applyFont="1" applyFill="1" applyAlignment="1">
      <x:alignment horizontal="center" vertical="center"/>
    </x:xf>
    <x:xf numFmtId="0" fontId="10" fillId="5" borderId="0" xfId="0" applyFont="1" applyFill="1" applyAlignment="1">
      <x:alignment horizontal="center" vertical="center" wrapText="1"/>
    </x:xf>
    <x:xf numFmtId="0" fontId="10" fillId="0" borderId="0" xfId="0" applyFont="1" applyAlignment="1">
      <x:alignment horizontal="center" vertical="center"/>
    </x:xf>
    <x:xf numFmtId="0" fontId="17" fillId="0" borderId="0" xfId="0" applyFont="1" applyAlignment="1">
      <x:alignment horizontal="center" vertical="center"/>
    </x:xf>
    <x:xf numFmtId="3" fontId="7" fillId="0" borderId="0" xfId="0" applyNumberFormat="1" applyFont="1"/>
    <x:xf numFmtId="0" fontId="7" fillId="5" borderId="0" xfId="0" applyFont="1" applyFill="1"/>
    <x:xf numFmtId="0" fontId="16" fillId="6" borderId="0" xfId="0" applyFont="1" applyFill="1"/>
    <x:xf numFmtId="0" fontId="7" fillId="6" borderId="0" xfId="0" applyFont="1" applyFill="1"/>
    <x:xf numFmtId="0" fontId="7" fillId="6" borderId="0" xfId="0" applyNumberFormat="1" applyFont="1" applyFill="1" applyBorder="1" applyAlignment="1">
      <x:alignment wrapText="1"/>
    </x:xf>
    <x:xf numFmtId="166" fontId="7" fillId="11" borderId="0" xfId="0" applyNumberFormat="1" applyFont="1" applyFill="1" applyBorder="1"/>
    <x:xf numFmtId="166" fontId="16" fillId="11" borderId="38" xfId="0" applyNumberFormat="1" applyFont="1" applyFill="1" applyBorder="1" applyAlignment="1">
      <x:alignment horizontal="center"/>
    </x:xf>
    <x:xf numFmtId="166" fontId="8" fillId="11" borderId="38" xfId="0" applyNumberFormat="1" applyFont="1" applyFill="1" applyBorder="1" applyAlignment="1">
      <x:alignment horizontal="center" vertical="center"/>
    </x:xf>
    <x:xf numFmtId="166" fontId="7" fillId="16" borderId="38" xfId="0" applyNumberFormat="1" applyFont="1" applyFill="1" applyBorder="1" applyAlignment="1">
      <x:alignment horizontal="center" vertical="center" wrapText="1"/>
    </x:xf>
    <x:xf numFmtId="166" fontId="8" fillId="11" borderId="0" xfId="0" applyNumberFormat="1" applyFont="1" applyFill="1" applyBorder="1" applyAlignment="1">
      <x:alignment horizontal="center"/>
    </x:xf>
    <x:xf numFmtId="166" fontId="8" fillId="0" borderId="38" xfId="0" applyNumberFormat="1" applyFont="1" applyFill="1" applyBorder="1" applyAlignment="1">
      <x:alignment horizontal="center"/>
    </x:xf>
    <x:xf numFmtId="166" fontId="7" fillId="11" borderId="38" xfId="0" applyNumberFormat="1" applyFont="1" applyFill="1" applyBorder="1"/>
    <x:xf numFmtId="166" fontId="8" fillId="0" borderId="0" xfId="0" applyNumberFormat="1" applyFont="1" applyFill="1" applyBorder="1"/>
    <x:xf numFmtId="0" fontId="8" fillId="0" borderId="0" xfId="0" applyNumberFormat="1" applyFont="1" applyFill="1" applyBorder="1" applyAlignment="1">
      <x:alignment wrapText="1"/>
    </x:xf>
    <x:xf numFmtId="166" fontId="7" fillId="17" borderId="38" xfId="0" applyNumberFormat="1" applyFont="1" applyFill="1" applyBorder="1" applyAlignment="1">
      <x:alignment horizontal="center" vertical="center"/>
    </x:xf>
    <x:xf numFmtId="0" fontId="7" fillId="12" borderId="38" xfId="0" applyFont="1" applyFill="1" applyBorder="1" applyAlignment="1">
      <x:alignment horizontal="left" vertical="center" wrapText="1"/>
    </x:xf>
    <x:xf numFmtId="0" fontId="7" fillId="12" borderId="0" xfId="0" applyFont="1" applyFill="1" applyAlignment="1">
      <x:alignment wrapText="1"/>
    </x:xf>
    <x:xf numFmtId="0" fontId="8" fillId="12" borderId="0" xfId="0" applyFont="1" applyFill="1" applyAlignment="1">
      <x:alignment wrapText="1"/>
    </x:xf>
    <x:xf numFmtId="0" fontId="7" fillId="12" borderId="38" xfId="0" applyFont="1" applyFill="1" applyBorder="1" applyAlignment="1">
      <x:alignment vertical="center" wrapText="1"/>
    </x:xf>
    <x:xf numFmtId="0" fontId="7" fillId="16" borderId="38" xfId="0" applyFont="1" applyFill="1" applyBorder="1" applyAlignment="1">
      <x:alignment vertical="center" wrapText="1"/>
    </x:xf>
    <x:xf numFmtId="0" fontId="7" fillId="12" borderId="38" xfId="0" applyFont="1" applyFill="1" applyBorder="1" applyAlignment="1">
      <x:alignment wrapText="1"/>
    </x:xf>
    <x:xf numFmtId="0" fontId="7" fillId="16" borderId="38" xfId="0" applyFont="1" applyFill="1" applyBorder="1" applyAlignment="1">
      <x:alignment wrapText="1"/>
    </x:xf>
    <x:xf numFmtId="0" fontId="7" fillId="17" borderId="38" xfId="0" applyFont="1" applyFill="1" applyBorder="1" applyAlignment="1">
      <x:alignment vertical="center" wrapText="1"/>
    </x:xf>
    <x:xf numFmtId="0" fontId="7" fillId="18" borderId="38" xfId="0" applyFont="1" applyFill="1" applyBorder="1"/>
    <x:xf numFmtId="3" fontId="9" fillId="20" borderId="20" xfId="0" applyNumberFormat="1" applyFont="1" applyFill="1" applyBorder="1" applyAlignment="1">
      <x:alignment horizontal="center" vertical="center" wrapText="1"/>
    </x:xf>
    <x:xf numFmtId="3" fontId="10" fillId="21" borderId="0" xfId="0" applyNumberFormat="1" applyFont="1" applyFill="1" applyAlignment="1">
      <x:alignment horizontal="center" vertical="center"/>
    </x:xf>
    <x:xf numFmtId="3" fontId="9" fillId="20" borderId="20" xfId="0" applyNumberFormat="1" applyFont="1" applyFill="1" applyBorder="1" applyAlignment="1">
      <x:alignment horizontal="center" vertical="center" wrapText="1"/>
    </x:xf>
    <x:xf numFmtId="0" fontId="10" fillId="21" borderId="0" xfId="0" applyFont="1" applyFill="1" applyAlignment="1">
      <x:alignment horizontal="center" vertical="center" wrapText="1"/>
    </x:xf>
    <x:xf numFmtId="0" fontId="9" fillId="20" borderId="20" xfId="0" applyFont="1" applyFill="1" applyBorder="1" applyAlignment="1">
      <x:alignment horizontal="center" vertical="center" wrapText="1"/>
    </x:xf>
    <x:xf numFmtId="0" fontId="22" fillId="0" borderId="0" xfId="0" applyFont="1" applyAlignment="1">
      <x:alignment wrapText="1"/>
    </x:xf>
    <x:xf numFmtId="0" fontId="23" fillId="0" borderId="0" xfId="0" applyFont="1"/>
    <x:xf numFmtId="0" fontId="23" fillId="0" borderId="0" xfId="0" applyFont="1" applyAlignment="1">
      <x:alignment wrapText="1"/>
    </x:xf>
    <x:xf numFmtId="0" fontId="22" fillId="0" borderId="0" xfId="0" applyFont="1"/>
    <x:xf numFmtId="0" fontId="24" fillId="13" borderId="61" xfId="0" applyFont="1" applyFill="1" applyBorder="1" applyAlignment="1">
      <x:alignment wrapText="1"/>
    </x:xf>
    <x:xf numFmtId="0" fontId="23" fillId="0" borderId="61" xfId="0" applyFont="1" applyBorder="1" applyAlignment="1">
      <x:alignment wrapText="1"/>
    </x:xf>
    <x:xf numFmtId="9" fontId="23" fillId="0" borderId="61" xfId="0" applyNumberFormat="1" applyFont="1" applyBorder="1" applyAlignment="1">
      <x:alignment wrapText="1"/>
    </x:xf>
    <x:xf numFmtId="0" fontId="23" fillId="0" borderId="0" xfId="0" applyFont="1" applyAlignment="1">
      <x:alignment horizontal="left" vertical="center" wrapText="1"/>
    </x:xf>
    <x:xf numFmtId="0" fontId="3" fillId="0" borderId="0" xfId="0" applyFont="1"/>
    <x:xf numFmtId="166" fontId="6" fillId="0" borderId="38" xfId="0" applyNumberFormat="1" applyFont="1" applyFill="1" applyBorder="1" applyAlignment="1">
      <x:alignment horizontal="center" vertical="center"/>
    </x:xf>
    <x:xf numFmtId="0" fontId="4" fillId="0" borderId="41" xfId="0" applyFont="1" applyBorder="1" applyAlignment="1">
      <x:alignment horizontal="center" vertical="center"/>
    </x:xf>
    <x:xf numFmtId="3" fontId="7" fillId="0" borderId="38" xfId="0" applyNumberFormat="1" applyFont="1" applyBorder="1" applyAlignment="1">
      <x:alignment horizontal="center" wrapText="1"/>
    </x:xf>
    <x:xf numFmtId="3" fontId="6" fillId="0" borderId="38" xfId="0" applyNumberFormat="1" applyFont="1" applyBorder="1" applyAlignment="1">
      <x:alignment horizontal="center" vertical="center" wrapText="1"/>
    </x:xf>
    <x:xf numFmtId="0" fontId="6" fillId="0" borderId="38" xfId="0" applyFont="1" applyBorder="1" applyAlignment="1">
      <x:alignment vertical="center"/>
    </x:xf>
    <x:xf numFmtId="166" fontId="25" fillId="0" borderId="38" xfId="0" applyNumberFormat="1" applyFont="1" applyFill="1" applyBorder="1" applyAlignment="1">
      <x:alignment horizontal="center"/>
    </x:xf>
    <x:xf numFmtId="0" fontId="25" fillId="0" borderId="38" xfId="0" applyFont="1" applyBorder="1" applyAlignment="1">
      <x:alignment vertical="center" wrapText="1"/>
    </x:xf>
    <x:xf numFmtId="0" fontId="25" fillId="0" borderId="38" xfId="0" applyFont="1" applyBorder="1" applyAlignment="1">
      <x:alignment vertical="center" wrapText="1"/>
    </x:xf>
    <x:xf numFmtId="0" fontId="6" fillId="0" borderId="22" xfId="0" applyFont="1" applyBorder="1" applyAlignment="1">
      <x:alignment vertical="center" wrapText="1"/>
    </x:xf>
    <x:xf numFmtId="0" fontId="25" fillId="0" borderId="38" xfId="0" applyFont="1" applyBorder="1" applyAlignment="1">
      <x:alignment vertical="center"/>
    </x:xf>
    <x:xf numFmtId="0" fontId="25" fillId="0" borderId="38" xfId="0" applyFont="1" applyBorder="1" applyAlignment="1">
      <x:alignment wrapText="1"/>
    </x:xf>
    <x:xf numFmtId="0" fontId="25" fillId="0" borderId="22" xfId="0" applyFont="1" applyBorder="1" applyAlignment="1">
      <x:alignment vertical="center" wrapText="1"/>
    </x:xf>
    <x:xf numFmtId="0" fontId="6" fillId="0" borderId="0" xfId="0" applyFont="1" applyAlignment="1">
      <x:alignment horizontal="center" vertical="top"/>
    </x:xf>
    <x:xf numFmtId="0" fontId="6" fillId="0" borderId="0" xfId="0" applyFont="1"/>
    <x:xf numFmtId="0" fontId="6" fillId="0" borderId="0" xfId="0" applyFont="1" applyAlignment="1">
      <x:alignment horizontal="center" vertical="top" wrapText="1"/>
    </x:xf>
    <x:xf numFmtId="0" fontId="4" fillId="0" borderId="0" xfId="0" applyFont="1" applyAlignment="1">
      <x:alignment horizontal="left" vertical="top" wrapText="1"/>
    </x:xf>
    <x:xf numFmtId="0" fontId="6" fillId="0" borderId="1"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2" xfId="0" applyFont="1" applyBorder="1" applyAlignment="1">
      <x:alignment vertical="center"/>
    </x:xf>
    <x:xf numFmtId="0" fontId="6" fillId="0" borderId="3" xfId="0" applyFont="1" applyBorder="1" applyAlignment="1">
      <x:alignment vertical="center"/>
    </x:xf>
    <x:xf numFmtId="0" fontId="4" fillId="2" borderId="5" xfId="0" applyFont="1" applyFill="1" applyBorder="1" applyAlignment="1">
      <x:alignment horizontal="center" vertical="top"/>
    </x:xf>
    <x:xf numFmtId="0" fontId="6" fillId="0" borderId="6" xfId="0" applyFont="1" applyBorder="1"/>
    <x:xf numFmtId="0" fontId="6" fillId="0" borderId="7" xfId="0" applyFont="1" applyBorder="1"/>
    <x:xf numFmtId="0" fontId="6"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5" fillId="0" borderId="0" xfId="0" applyFont="1" applyAlignment="1">
      <x:alignment horizontal="left" vertical="top" wrapText="1"/>
    </x:xf>
    <x:xf numFmtId="0" fontId="6" fillId="0" borderId="0" xfId="0" applyFont="1" applyAlignment="1">
      <x:alignment horizontal="left" vertical="top"/>
    </x:xf>
    <x:xf numFmtId="0" fontId="6" fillId="0" borderId="8" xfId="0" applyNumberFormat="1" applyFont="1" applyFill="1" applyBorder="1" applyAlignment="1">
      <x:alignment horizontal="left" vertical="top" wrapText="1"/>
    </x:xf>
    <x:xf numFmtId="0" fontId="6" fillId="0" borderId="8" xfId="0" applyFont="1" applyBorder="1"/>
    <x:xf numFmtId="0" fontId="10" fillId="11" borderId="41" xfId="0" applyFont="1" applyFill="1" applyBorder="1" applyAlignment="1">
      <x:alignment horizontal="left" vertical="center"/>
    </x:xf>
    <x:xf numFmtId="0" fontId="10" fillId="11" borderId="52" xfId="0" applyFont="1" applyFill="1" applyBorder="1" applyAlignment="1">
      <x:alignment horizontal="left" vertical="center"/>
    </x:xf>
    <x:xf numFmtId="0" fontId="10" fillId="11" borderId="42" xfId="0" applyFont="1" applyFill="1" applyBorder="1" applyAlignment="1">
      <x:alignment horizontal="left" vertical="center"/>
    </x:xf>
    <x:xf numFmtId="0" fontId="7" fillId="0" borderId="38" xfId="0" applyFont="1" applyBorder="1" applyAlignment="1">
      <x:alignment horizontal="center" vertical="center" wrapText="1"/>
    </x:xf>
    <x:xf numFmtId="0" fontId="7" fillId="0" borderId="38" xfId="0" applyFont="1" applyBorder="1" applyAlignment="1">
      <x:alignment horizontal="center" vertical="center"/>
    </x:xf>
    <x:xf numFmtId="0" fontId="7" fillId="11" borderId="25" xfId="0" applyFont="1" applyFill="1" applyBorder="1" applyAlignment="1">
      <x:alignment horizontal="center"/>
    </x:xf>
    <x:xf numFmtId="0" fontId="7" fillId="12" borderId="25" xfId="0" applyFont="1" applyFill="1" applyBorder="1"/>
    <x:xf numFmtId="0" fontId="7" fillId="12" borderId="31" xfId="0" applyFont="1" applyFill="1" applyBorder="1"/>
    <x:xf numFmtId="0" fontId="10" fillId="11" borderId="21" xfId="0" applyFont="1" applyFill="1" applyBorder="1" applyAlignment="1">
      <x:alignment horizontal="left" vertical="center" wrapText="1"/>
    </x:xf>
    <x:xf numFmtId="0" fontId="7" fillId="12" borderId="10" xfId="0" applyFont="1" applyFill="1" applyBorder="1"/>
    <x:xf numFmtId="0" fontId="7" fillId="11" borderId="38" xfId="0" applyFont="1" applyFill="1" applyBorder="1" applyAlignment="1">
      <x:alignment horizontal="center"/>
    </x:xf>
    <x:xf numFmtId="0" fontId="7" fillId="12" borderId="38" xfId="0" applyFont="1" applyFill="1" applyBorder="1"/>
    <x:xf numFmtId="0" fontId="25" fillId="0" borderId="38" xfId="0" applyFont="1" applyBorder="1" applyAlignment="1">
      <x:alignment horizontal="left" vertical="top" wrapText="1"/>
    </x:xf>
    <x:xf numFmtId="0" fontId="7" fillId="0" borderId="38" xfId="0" applyFont="1" applyBorder="1" applyAlignment="1">
      <x:alignment wrapText="1"/>
    </x:xf>
    <x:xf numFmtId="0" fontId="9" fillId="9" borderId="38" xfId="0" applyFont="1" applyFill="1" applyBorder="1" applyAlignment="1">
      <x:alignment horizontal="center" vertical="center"/>
    </x:xf>
    <x:xf numFmtId="0" fontId="9" fillId="8" borderId="38" xfId="0" applyFont="1" applyFill="1" applyBorder="1" applyAlignment="1">
      <x:alignment horizontal="center" vertical="center"/>
    </x:xf>
    <x:xf numFmtId="0" fontId="7" fillId="0" borderId="38" xfId="0" applyFont="1" applyBorder="1" applyAlignment="1">
      <x:alignment horizontal="left" vertical="top" wrapText="1"/>
    </x:xf>
    <x:xf numFmtId="0" fontId="6" fillId="0" borderId="38" xfId="0" applyFont="1" applyBorder="1" applyAlignment="1">
      <x:alignment horizontal="center" vertical="center" wrapText="1"/>
    </x:xf>
    <x:xf numFmtId="0" fontId="25" fillId="0" borderId="21" xfId="0" applyFont="1" applyBorder="1" applyAlignment="1">
      <x:alignment horizontal="center" vertical="center" wrapText="1"/>
    </x:xf>
    <x:xf numFmtId="0" fontId="7" fillId="0" borderId="10" xfId="0" applyFont="1" applyBorder="1"/>
    <x:xf numFmtId="0" fontId="7" fillId="0" borderId="22" xfId="0" applyFont="1" applyBorder="1"/>
    <x:xf numFmtId="0" fontId="7" fillId="0" borderId="10" xfId="0" applyFont="1" applyBorder="1" applyAlignment="1">
      <x:alignment horizontal="center" vertical="center" wrapText="1"/>
    </x:xf>
    <x:xf numFmtId="0" fontId="7" fillId="0" borderId="62" xfId="0" applyFont="1" applyBorder="1" applyAlignment="1">
      <x:alignment horizontal="center" vertical="center" wrapText="1"/>
    </x:xf>
    <x:xf numFmtId="0" fontId="25" fillId="0" borderId="36" xfId="0" applyFont="1" applyBorder="1" applyAlignment="1">
      <x:alignment horizontal="center" vertical="center" wrapText="1"/>
    </x:xf>
    <x:xf numFmtId="0" fontId="7" fillId="0" borderId="30" xfId="0" applyFont="1" applyBorder="1"/>
    <x:xf numFmtId="0" fontId="7" fillId="0" borderId="37" xfId="0" applyFont="1" applyBorder="1"/>
    <x:xf numFmtId="0" fontId="26" fillId="0" borderId="41" xfId="0" applyFont="1" applyBorder="1" applyAlignment="1">
      <x:alignment horizontal="left" vertical="top" wrapText="1"/>
    </x:xf>
    <x:xf numFmtId="0" fontId="7" fillId="0" borderId="52" xfId="0" applyFont="1" applyBorder="1" applyAlignment="1">
      <x:alignment wrapText="1"/>
    </x:xf>
    <x:xf numFmtId="0" fontId="7" fillId="0" borderId="42" xfId="0" applyFont="1" applyBorder="1" applyAlignment="1">
      <x:alignment wrapText="1"/>
    </x:xf>
    <x:xf numFmtId="0" fontId="26" fillId="0" borderId="46" xfId="0" applyFont="1" applyBorder="1" applyAlignment="1">
      <x:alignment horizontal="left" vertical="top" wrapText="1"/>
    </x:xf>
    <x:xf numFmtId="0" fontId="7" fillId="0" borderId="47" xfId="0" applyFont="1" applyBorder="1" applyAlignment="1">
      <x:alignment wrapText="1"/>
    </x:xf>
    <x:xf numFmtId="0" fontId="7" fillId="0" borderId="48" xfId="0" applyFont="1" applyBorder="1" applyAlignment="1">
      <x:alignment wrapText="1"/>
    </x:xf>
    <x:xf numFmtId="0" fontId="7" fillId="0" borderId="55" xfId="0" applyFont="1" applyBorder="1" applyAlignment="1">
      <x:alignment horizontal="center" vertical="center" wrapText="1"/>
    </x:xf>
    <x:xf numFmtId="0" fontId="7" fillId="0" borderId="33" xfId="0" applyFont="1" applyBorder="1" applyAlignment="1">
      <x:alignment horizontal="center" vertical="center" wrapText="1"/>
    </x:xf>
    <x:xf numFmtId="0" fontId="7" fillId="0" borderId="34" xfId="0" applyFont="1" applyBorder="1" applyAlignment="1">
      <x:alignment horizontal="center" vertical="center" wrapText="1"/>
    </x:xf>
    <x:xf numFmtId="0" fontId="7" fillId="0" borderId="53" xfId="0" applyFont="1" applyBorder="1" applyAlignment="1">
      <x:alignment horizontal="center" vertical="center" wrapText="1"/>
    </x:xf>
    <x:xf numFmtId="0" fontId="7" fillId="0" borderId="25" xfId="0" applyFont="1" applyBorder="1" applyAlignment="1">
      <x:alignment horizontal="center" vertical="center" wrapText="1"/>
    </x:xf>
    <x:xf numFmtId="0" fontId="7" fillId="0" borderId="31" xfId="0" applyFont="1" applyBorder="1" applyAlignment="1">
      <x:alignment horizontal="center" vertical="center" wrapText="1"/>
    </x:xf>
    <x:xf numFmtId="0" fontId="10" fillId="0" borderId="42" xfId="0" applyFont="1" applyBorder="1" applyAlignment="1">
      <x:alignment horizontal="center" vertical="top" wrapText="1"/>
    </x:xf>
    <x:xf numFmtId="0" fontId="10" fillId="0" borderId="38" xfId="0" applyFont="1" applyBorder="1" applyAlignment="1">
      <x:alignment horizontal="center" vertical="top"/>
    </x:xf>
    <x:xf numFmtId="0" fontId="6" fillId="7" borderId="38" xfId="0" applyFont="1" applyFill="1" applyBorder="1" applyAlignment="1">
      <x:alignment horizontal="left" vertical="center" wrapText="1"/>
    </x:xf>
    <x:xf numFmtId="0" fontId="7" fillId="7" borderId="38" xfId="0" applyFont="1" applyFill="1" applyBorder="1" applyAlignment="1">
      <x:alignment horizontal="left" vertical="center" wrapText="1"/>
    </x:xf>
    <x:xf numFmtId="0" fontId="7" fillId="7" borderId="38" xfId="0" applyFont="1" applyFill="1" applyBorder="1" applyAlignment="1">
      <x:alignment horizontal="center" vertical="center" wrapText="1"/>
    </x:xf>
    <x:xf numFmtId="0" fontId="25" fillId="7" borderId="38" xfId="0" applyFont="1" applyFill="1" applyBorder="1" applyAlignment="1">
      <x:alignment horizontal="left" vertical="center" wrapText="1"/>
    </x:xf>
    <x:xf numFmtId="0" fontId="9" fillId="3" borderId="24" xfId="0" applyFont="1" applyFill="1" applyBorder="1" applyAlignment="1">
      <x:alignment horizontal="left" vertical="center" wrapText="1"/>
    </x:xf>
    <x:xf numFmtId="0" fontId="11" fillId="0" borderId="25" xfId="0" applyFont="1" applyBorder="1"/>
    <x:xf numFmtId="0" fontId="11" fillId="0" borderId="31" xfId="0" applyFont="1" applyBorder="1"/>
    <x:xf numFmtId="0" fontId="11" fillId="0" borderId="14" xfId="0" applyFont="1" applyBorder="1"/>
    <x:xf numFmtId="0" fontId="11" fillId="0" borderId="0" xfId="0" applyFont="1"/>
    <x:xf numFmtId="0" fontId="11" fillId="0" borderId="15" xfId="0" applyFont="1" applyBorder="1"/>
    <x:xf numFmtId="0" fontId="11" fillId="0" borderId="24" xfId="0" applyFont="1" applyBorder="1"/>
    <x:xf numFmtId="0" fontId="9" fillId="3" borderId="24" xfId="0" applyFont="1" applyFill="1" applyBorder="1" applyAlignment="1">
      <x:alignment horizontal="center" vertical="center" wrapText="1"/>
    </x:xf>
    <x:xf numFmtId="0" fontId="10" fillId="11" borderId="38" xfId="0" applyFont="1" applyFill="1" applyBorder="1" applyAlignment="1">
      <x:alignment horizontal="left" vertical="center" wrapText="1"/>
    </x:xf>
    <x:xf numFmtId="0" fontId="6" fillId="7" borderId="41" xfId="0" applyFont="1" applyFill="1" applyBorder="1" applyAlignment="1">
      <x:alignment horizontal="left" vertical="center" wrapText="1"/>
    </x:xf>
    <x:xf numFmtId="0" fontId="7" fillId="7" borderId="52" xfId="0" applyFont="1" applyFill="1" applyBorder="1" applyAlignment="1">
      <x:alignment horizontal="left" vertical="center" wrapText="1"/>
    </x:xf>
    <x:xf numFmtId="0" fontId="7" fillId="7" borderId="42" xfId="0" applyFont="1" applyFill="1" applyBorder="1" applyAlignment="1">
      <x:alignment horizontal="left" vertical="center" wrapText="1"/>
    </x:xf>
    <x:xf numFmtId="0" fontId="7" fillId="7" borderId="41" xfId="0" applyFont="1" applyFill="1" applyBorder="1" applyAlignment="1">
      <x:alignment horizontal="center" vertical="center" wrapText="1"/>
    </x:xf>
    <x:xf numFmtId="0" fontId="7" fillId="7" borderId="52" xfId="0" applyFont="1" applyFill="1" applyBorder="1" applyAlignment="1">
      <x:alignment horizontal="center" vertical="center" wrapText="1"/>
    </x:xf>
    <x:xf numFmtId="0" fontId="7" fillId="7" borderId="42" xfId="0" applyFont="1" applyFill="1" applyBorder="1" applyAlignment="1">
      <x:alignment horizontal="center" vertical="center" wrapText="1"/>
    </x:xf>
    <x:xf numFmtId="0" fontId="9" fillId="15" borderId="32" xfId="0" applyFont="1" applyFill="1" applyBorder="1" applyAlignment="1">
      <x:alignment horizontal="left" vertical="center" wrapText="1"/>
    </x:xf>
    <x:xf numFmtId="0" fontId="9" fillId="8" borderId="33" xfId="0" applyFont="1" applyFill="1" applyBorder="1" applyAlignment="1">
      <x:alignment wrapText="1"/>
    </x:xf>
    <x:xf numFmtId="0" fontId="9" fillId="8" borderId="34" xfId="0" applyFont="1" applyFill="1" applyBorder="1" applyAlignment="1">
      <x:alignment wrapText="1"/>
    </x:xf>
    <x:xf numFmtId="0" fontId="9" fillId="8" borderId="24" xfId="0" applyFont="1" applyFill="1" applyBorder="1" applyAlignment="1">
      <x:alignment wrapText="1"/>
    </x:xf>
    <x:xf numFmtId="0" fontId="9" fillId="8" borderId="25" xfId="0" applyFont="1" applyFill="1" applyBorder="1" applyAlignment="1">
      <x:alignment wrapText="1"/>
    </x:xf>
    <x:xf numFmtId="0" fontId="9" fillId="8" borderId="31" xfId="0" applyFont="1" applyFill="1" applyBorder="1" applyAlignment="1">
      <x:alignment wrapText="1"/>
    </x:xf>
    <x:xf numFmtId="0" fontId="9" fillId="8" borderId="56" xfId="0" applyFont="1" applyFill="1" applyBorder="1" applyAlignment="1">
      <x:alignment wrapText="1"/>
    </x:xf>
    <x:xf numFmtId="0" fontId="9" fillId="8" borderId="50" xfId="0" applyFont="1" applyFill="1" applyBorder="1" applyAlignment="1">
      <x:alignment wrapText="1"/>
    </x:xf>
    <x:xf numFmtId="0" fontId="9" fillId="8" borderId="57" xfId="0" applyFont="1" applyFill="1" applyBorder="1" applyAlignment="1">
      <x:alignment wrapText="1"/>
    </x:xf>
    <x:xf numFmtId="0" fontId="7" fillId="5" borderId="38" xfId="0" applyFont="1" applyFill="1" applyBorder="1" applyAlignment="1">
      <x:alignment horizontal="center" vertical="center" wrapText="1"/>
    </x:xf>
    <x:xf numFmtId="0" fontId="6" fillId="5" borderId="41" xfId="0" applyFont="1" applyFill="1" applyBorder="1" applyAlignment="1">
      <x:alignment horizontal="left" vertical="center" wrapText="1"/>
    </x:xf>
    <x:xf numFmtId="0" fontId="7" fillId="0" borderId="52" xfId="0" applyFont="1" applyBorder="1" applyAlignment="1">
      <x:alignment horizontal="left" vertical="center" wrapText="1"/>
    </x:xf>
    <x:xf numFmtId="0" fontId="7" fillId="0" borderId="42" xfId="0" applyFont="1" applyBorder="1" applyAlignment="1">
      <x:alignment horizontal="left" vertical="center" wrapText="1"/>
    </x:xf>
    <x:xf numFmtId="0" fontId="25" fillId="5" borderId="41" xfId="0" applyFont="1" applyFill="1" applyBorder="1" applyAlignment="1">
      <x:alignment horizontal="left" vertical="center" wrapText="1"/>
    </x:xf>
    <x:xf numFmtId="0" fontId="25" fillId="0" borderId="52" xfId="0" applyFont="1" applyBorder="1" applyAlignment="1">
      <x:alignment horizontal="left" vertical="center" wrapText="1"/>
    </x:xf>
    <x:xf numFmtId="0" fontId="25" fillId="0" borderId="42" xfId="0" applyFont="1" applyBorder="1" applyAlignment="1">
      <x:alignment horizontal="left" vertical="center" wrapText="1"/>
    </x:xf>
    <x:xf numFmtId="0" fontId="10" fillId="11" borderId="41" xfId="0" applyFont="1" applyFill="1" applyBorder="1" applyAlignment="1">
      <x:alignment horizontal="left" vertical="center" wrapText="1"/>
    </x:xf>
    <x:xf numFmtId="0" fontId="10" fillId="11" borderId="52" xfId="0" applyFont="1" applyFill="1" applyBorder="1" applyAlignment="1">
      <x:alignment horizontal="left" vertical="center" wrapText="1"/>
    </x:xf>
    <x:xf numFmtId="0" fontId="10" fillId="11" borderId="42" xfId="0" applyFont="1" applyFill="1" applyBorder="1" applyAlignment="1">
      <x:alignment horizontal="left" vertical="center" wrapText="1"/>
    </x:xf>
    <x:xf numFmtId="0" fontId="10" fillId="11" borderId="38" xfId="0" applyFont="1" applyFill="1" applyBorder="1" applyAlignment="1">
      <x:alignment horizontal="center" vertical="center" wrapText="1"/>
    </x:xf>
    <x:xf numFmtId="0" fontId="10" fillId="12" borderId="38" xfId="0" applyFont="1" applyFill="1" applyBorder="1" applyAlignment="1">
      <x:alignment horizontal="center" vertical="center" wrapText="1"/>
    </x:xf>
    <x:xf numFmtId="0" fontId="7" fillId="0" borderId="38" xfId="0" applyFont="1" applyBorder="1" applyAlignment="1">
      <x:alignment horizontal="center" vertical="top"/>
    </x:xf>
    <x:xf numFmtId="0" fontId="25" fillId="0" borderId="45" xfId="0" applyFont="1" applyBorder="1" applyAlignment="1">
      <x:alignment horizontal="center" vertical="center" wrapText="1"/>
    </x:xf>
    <x:xf numFmtId="0" fontId="7" fillId="0" borderId="45" xfId="0" applyFont="1" applyBorder="1"/>
    <x:xf numFmtId="0" fontId="7" fillId="0" borderId="46" xfId="0" applyFont="1" applyBorder="1"/>
    <x:xf numFmtId="0" fontId="7" fillId="0" borderId="46" xfId="0" applyFont="1" applyBorder="1" applyAlignment="1">
      <x:alignment horizontal="center" vertical="center" wrapText="1"/>
    </x:xf>
    <x:xf numFmtId="0" fontId="7" fillId="0" borderId="47" xfId="0" applyFont="1" applyBorder="1" applyAlignment="1">
      <x:alignment horizontal="center" vertical="center" wrapText="1"/>
    </x:xf>
    <x:xf numFmtId="0" fontId="7" fillId="0" borderId="48" xfId="0" applyFont="1" applyBorder="1" applyAlignment="1">
      <x:alignment horizontal="center" vertical="center" wrapText="1"/>
    </x:xf>
    <x:xf numFmtId="0" fontId="7" fillId="0" borderId="54" xfId="0" applyFont="1" applyBorder="1" applyAlignment="1">
      <x:alignment horizontal="center" vertical="center" wrapText="1"/>
    </x:xf>
    <x:xf numFmtId="0" fontId="7" fillId="0" borderId="49" xfId="0" applyFont="1" applyBorder="1" applyAlignment="1">
      <x:alignment horizontal="center" vertical="center" wrapText="1"/>
    </x:xf>
    <x:xf numFmtId="0" fontId="7" fillId="0" borderId="50" xfId="0" applyFont="1" applyBorder="1" applyAlignment="1">
      <x:alignment horizontal="center" vertical="center" wrapText="1"/>
    </x:xf>
    <x:xf numFmtId="0" fontId="7" fillId="0" borderId="51" xfId="0" applyFont="1" applyBorder="1" applyAlignment="1">
      <x:alignment horizontal="center" vertical="center" wrapText="1"/>
    </x:xf>
    <x:xf numFmtId="0" fontId="7" fillId="0" borderId="11" xfId="0" applyFont="1" applyBorder="1" applyAlignment="1">
      <x:alignment horizontal="left" vertical="top" wrapText="1"/>
    </x:xf>
    <x:xf numFmtId="0" fontId="7" fillId="0" borderId="0" xfId="0" applyFont="1"/>
    <x:xf numFmtId="0" fontId="7" fillId="0" borderId="12" xfId="0" applyFont="1" applyBorder="1"/>
    <x:xf numFmtId="0" fontId="25" fillId="7" borderId="41" xfId="0" applyFont="1" applyFill="1" applyBorder="1" applyAlignment="1">
      <x:alignment horizontal="left" vertical="center" wrapText="1"/>
    </x:xf>
    <x:xf numFmtId="0" fontId="6" fillId="7" borderId="41" xfId="0" applyFont="1" applyFill="1" applyBorder="1" applyAlignment="1">
      <x:alignment horizontal="center" vertical="center" wrapText="1"/>
    </x:xf>
    <x:xf numFmtId="0" fontId="9" fillId="9" borderId="38" xfId="0" applyFont="1" applyFill="1" applyBorder="1" applyAlignment="1">
      <x:alignment horizontal="left" vertical="center"/>
    </x:xf>
    <x:xf numFmtId="0" fontId="9" fillId="15" borderId="24" xfId="0" applyFont="1" applyFill="1" applyBorder="1" applyAlignment="1">
      <x:alignment horizontal="center" vertical="center" wrapText="1"/>
    </x:xf>
    <x:xf numFmtId="0" fontId="9" fillId="8" borderId="25" xfId="0" applyFont="1" applyFill="1" applyBorder="1" applyAlignment="1">
      <x:alignment horizontal="center" vertical="center" wrapText="1"/>
    </x:xf>
    <x:xf numFmtId="0" fontId="9" fillId="8" borderId="24" xfId="0" applyFont="1" applyFill="1" applyBorder="1" applyAlignment="1">
      <x:alignment horizontal="center" vertical="center" wrapText="1"/>
    </x:xf>
    <x:xf numFmtId="0" fontId="9" fillId="8" borderId="56" xfId="0" applyFont="1" applyFill="1" applyBorder="1" applyAlignment="1">
      <x:alignment horizontal="center" vertical="center" wrapText="1"/>
    </x:xf>
    <x:xf numFmtId="0" fontId="9" fillId="8" borderId="50" xfId="0" applyFont="1" applyFill="1" applyBorder="1" applyAlignment="1">
      <x:alignment horizontal="center" vertical="center" wrapText="1"/>
    </x:xf>
    <x:xf numFmtId="0" fontId="25" fillId="0" borderId="38" xfId="0" applyFont="1" applyBorder="1" applyAlignment="1">
      <x:alignment vertical="center" wrapText="1"/>
    </x:xf>
    <x:xf numFmtId="0" fontId="7" fillId="0" borderId="38" xfId="0" applyFont="1" applyBorder="1" applyAlignment="1">
      <x:alignment vertical="center" wrapText="1"/>
    </x:xf>
    <x:xf numFmtId="0" fontId="10" fillId="0" borderId="38" xfId="0" applyFont="1" applyBorder="1" applyAlignment="1">
      <x:alignment horizontal="center" vertical="top" wrapText="1"/>
    </x:xf>
    <x:xf numFmtId="0" fontId="10" fillId="11" borderId="16" xfId="0" applyFont="1" applyFill="1" applyBorder="1" applyAlignment="1">
      <x:alignment horizontal="center" wrapText="1"/>
    </x:xf>
    <x:xf numFmtId="0" fontId="10" fillId="12" borderId="16" xfId="0" applyFont="1" applyFill="1" applyBorder="1" applyAlignment="1">
      <x:alignment wrapText="1"/>
    </x:xf>
    <x:xf numFmtId="0" fontId="10" fillId="12" borderId="17" xfId="0" applyFont="1" applyFill="1" applyBorder="1" applyAlignment="1">
      <x:alignment wrapText="1"/>
    </x:xf>
    <x:xf numFmtId="0" fontId="13" fillId="0" borderId="41" xfId="0" applyFont="1" applyBorder="1" applyAlignment="1">
      <x:alignment horizontal="left" vertical="top" wrapText="1"/>
    </x:xf>
    <x:xf numFmtId="0" fontId="7" fillId="0" borderId="38" xfId="0" applyFont="1" applyBorder="1" applyAlignment="1">
      <x:alignment horizontal="center" wrapText="1"/>
    </x:xf>
    <x:xf numFmtId="0" fontId="7" fillId="0" borderId="38" xfId="0" applyFont="1" applyBorder="1" applyAlignment="1">
      <x:alignment horizontal="center"/>
    </x:xf>
    <x:xf numFmtId="0" fontId="25" fillId="0" borderId="41" xfId="0" applyFont="1" applyBorder="1" applyAlignment="1">
      <x:alignment wrapText="1"/>
    </x:xf>
    <x:xf numFmtId="0" fontId="7" fillId="0" borderId="38" xfId="0" applyFont="1" applyBorder="1" applyAlignment="1">
      <x:alignment horizontal="center" vertical="top" wrapText="1"/>
    </x:xf>
    <x:xf numFmtId="0" fontId="10" fillId="11" borderId="38" xfId="0" applyFont="1" applyFill="1" applyBorder="1" applyAlignment="1">
      <x:alignment horizontal="left" vertical="center"/>
    </x:xf>
    <x:xf numFmtId="0" fontId="25" fillId="0" borderId="41" xfId="0" applyFont="1" applyBorder="1" applyAlignment="1">
      <x:alignment horizontal="left" vertical="top" wrapText="1"/>
    </x:xf>
    <x:xf numFmtId="0" fontId="14" fillId="9" borderId="38" xfId="0" applyFont="1" applyFill="1" applyBorder="1" applyAlignment="1">
      <x:alignment horizontal="left" vertical="center"/>
    </x:xf>
    <x:xf numFmtId="0" fontId="25" fillId="0" borderId="38" xfId="0" applyFont="1" applyBorder="1" applyAlignment="1">
      <x:alignment vertical="top" wrapText="1"/>
    </x:xf>
    <x:xf numFmtId="0" fontId="7" fillId="0" borderId="38" xfId="0" applyFont="1" applyBorder="1" applyAlignment="1">
      <x:alignment vertical="top" wrapText="1"/>
    </x:xf>
    <x:xf numFmtId="0" fontId="25" fillId="0" borderId="38" xfId="0" applyFont="1" applyBorder="1" applyAlignment="1">
      <x:alignment horizontal="center" vertical="center" wrapText="1"/>
    </x:xf>
    <x:xf numFmtId="0" fontId="7" fillId="0" borderId="38" xfId="0" applyFont="1" applyBorder="1"/>
    <x:xf numFmtId="0" fontId="7" fillId="0" borderId="41" xfId="0" applyFont="1" applyBorder="1" applyAlignment="1">
      <x:alignment wrapText="1"/>
    </x:xf>
    <x:xf numFmtId="0" fontId="6" fillId="0" borderId="45" xfId="0" applyFont="1" applyBorder="1" applyAlignment="1">
      <x:alignment horizontal="center" vertical="center" wrapText="1"/>
    </x:xf>
    <x:xf numFmtId="0" fontId="10" fillId="0" borderId="21" xfId="0" applyFont="1" applyBorder="1" applyAlignment="1">
      <x:alignment horizontal="center" vertical="center" wrapText="1"/>
    </x:xf>
    <x:xf numFmtId="0" fontId="10" fillId="0" borderId="38" xfId="0" applyFont="1" applyBorder="1" applyAlignment="1">
      <x:alignment horizontal="center" vertical="center" wrapText="1"/>
    </x:xf>
    <x:xf numFmtId="0" fontId="10" fillId="0" borderId="45" xfId="0" applyFont="1" applyBorder="1" applyAlignment="1">
      <x:alignment horizontal="center" vertical="center" wrapText="1"/>
    </x:xf>
    <x:xf numFmtId="0" fontId="10" fillId="0" borderId="45" xfId="0" applyFont="1" applyBorder="1"/>
    <x:xf numFmtId="0" fontId="7" fillId="0" borderId="45" xfId="0" applyFont="1" applyBorder="1" applyAlignment="1">
      <x:alignment horizontal="center" vertical="center" wrapText="1"/>
    </x:xf>
    <x:xf numFmtId="0" fontId="7" fillId="12" borderId="46" xfId="0" applyFont="1" applyFill="1" applyBorder="1" applyAlignment="1">
      <x:alignment horizontal="center" vertical="center"/>
    </x:xf>
    <x:xf numFmtId="0" fontId="7" fillId="12" borderId="47" xfId="0" applyFont="1" applyFill="1" applyBorder="1" applyAlignment="1">
      <x:alignment horizontal="center" vertical="center"/>
    </x:xf>
    <x:xf numFmtId="0" fontId="7" fillId="12" borderId="48" xfId="0" applyFont="1" applyFill="1" applyBorder="1" applyAlignment="1">
      <x:alignment horizontal="center" vertical="center"/>
    </x:xf>
    <x:xf numFmtId="0" fontId="7" fillId="0" borderId="41" xfId="0" applyFont="1" applyBorder="1"/>
    <x:xf numFmtId="0" fontId="25" fillId="0" borderId="38" xfId="0" applyFont="1" applyBorder="1" applyAlignment="1">
      <x:alignment horizontal="center" vertical="top" wrapText="1"/>
    </x:xf>
    <x:xf numFmtId="0" fontId="7" fillId="0" borderId="38" xfId="0" applyFont="1" applyBorder="1" applyAlignment="1">
      <x:alignment vertical="top"/>
    </x:xf>
    <x:xf numFmtId="0" fontId="10" fillId="0" borderId="38" xfId="0" applyFont="1" applyBorder="1"/>
    <x:xf numFmtId="0" fontId="6" fillId="0" borderId="38" xfId="0" applyFont="1" applyBorder="1" applyAlignment="1">
      <x:alignment horizontal="left" vertical="top" wrapText="1"/>
    </x:xf>
    <x:xf numFmtId="0" fontId="10" fillId="11" borderId="41" xfId="0" applyNumberFormat="1" applyFont="1" applyFill="1" applyBorder="1" applyAlignment="1">
      <x:alignment horizontal="center" vertical="center" wrapText="1"/>
    </x:xf>
    <x:xf numFmtId="0" fontId="10" fillId="0" borderId="52" xfId="0" applyNumberFormat="1" applyFont="1" applyFill="1" applyBorder="1" applyAlignment="1">
      <x:alignment horizontal="center" vertical="center" wrapText="1"/>
    </x:xf>
    <x:xf numFmtId="0" fontId="8" fillId="0" borderId="52" xfId="0" applyNumberFormat="1" applyFont="1" applyFill="1" applyBorder="1" applyAlignment="1">
      <x:alignment wrapText="1"/>
    </x:xf>
    <x:xf numFmtId="0" fontId="8" fillId="0" borderId="42" xfId="0" applyNumberFormat="1" applyFont="1" applyFill="1" applyBorder="1" applyAlignment="1">
      <x:alignment wrapText="1"/>
    </x:xf>
    <x:xf numFmtId="0" fontId="10" fillId="12" borderId="41" xfId="0" applyFont="1" applyFill="1" applyBorder="1" applyAlignment="1">
      <x:alignment horizontal="center" vertical="center" wrapText="1"/>
    </x:xf>
    <x:xf numFmtId="0" fontId="15" fillId="0" borderId="52" xfId="0" applyFont="1" applyBorder="1" applyAlignment="1">
      <x:alignment horizontal="center" vertical="center" wrapText="1"/>
    </x:xf>
    <x:xf numFmtId="0" fontId="15" fillId="0" borderId="42" xfId="0" applyFont="1" applyBorder="1" applyAlignment="1">
      <x:alignment horizontal="center" vertical="center" wrapText="1"/>
    </x:xf>
    <x:xf numFmtId="0" fontId="8" fillId="0" borderId="38" xfId="0" applyFont="1" applyBorder="1" applyAlignment="1">
      <x:alignment horizontal="center" vertical="center" wrapText="1"/>
    </x:xf>
    <x:xf numFmtId="0" fontId="7" fillId="0" borderId="52" xfId="0" applyFont="1" applyBorder="1" applyAlignment="1">
      <x:alignment horizontal="left" vertical="top" wrapText="1"/>
    </x:xf>
    <x:xf numFmtId="0" fontId="7" fillId="0" borderId="42" xfId="0" applyFont="1" applyBorder="1" applyAlignment="1">
      <x:alignment horizontal="left" vertical="top" wrapText="1"/>
    </x:xf>
    <x:xf numFmtId="0" fontId="7" fillId="5" borderId="38" xfId="0" applyNumberFormat="1" applyFont="1" applyFill="1" applyBorder="1" applyAlignment="1">
      <x:alignment horizontal="center" vertical="center" wrapText="1"/>
    </x:xf>
    <x:xf numFmtId="0" fontId="10" fillId="7" borderId="46" xfId="0" applyFont="1" applyFill="1" applyBorder="1" applyAlignment="1">
      <x:alignment horizontal="center" vertical="center" wrapText="1"/>
    </x:xf>
    <x:xf numFmtId="0" fontId="10" fillId="5" borderId="47" xfId="0" applyFont="1" applyFill="1" applyBorder="1" applyAlignment="1">
      <x:alignment vertical="center" wrapText="1"/>
    </x:xf>
    <x:xf numFmtId="0" fontId="10" fillId="5" borderId="48" xfId="0" applyFont="1" applyFill="1" applyBorder="1" applyAlignment="1">
      <x:alignment vertical="center" wrapText="1"/>
    </x:xf>
    <x:xf numFmtId="0" fontId="10" fillId="5" borderId="53" xfId="0" applyFont="1" applyFill="1" applyBorder="1" applyAlignment="1">
      <x:alignment vertical="center" wrapText="1"/>
    </x:xf>
    <x:xf numFmtId="0" fontId="10" fillId="5" borderId="25" xfId="0" applyFont="1" applyFill="1" applyBorder="1" applyAlignment="1">
      <x:alignment vertical="center" wrapText="1"/>
    </x:xf>
    <x:xf numFmtId="0" fontId="10" fillId="5" borderId="54" xfId="0" applyFont="1" applyFill="1" applyBorder="1" applyAlignment="1">
      <x:alignment vertical="center" wrapText="1"/>
    </x:xf>
    <x:xf numFmtId="0" fontId="10" fillId="5" borderId="49" xfId="0" applyFont="1" applyFill="1" applyBorder="1" applyAlignment="1">
      <x:alignment vertical="center" wrapText="1"/>
    </x:xf>
    <x:xf numFmtId="0" fontId="10" fillId="5" borderId="50" xfId="0" applyFont="1" applyFill="1" applyBorder="1" applyAlignment="1">
      <x:alignment vertical="center" wrapText="1"/>
    </x:xf>
    <x:xf numFmtId="0" fontId="10" fillId="5" borderId="51" xfId="0" applyFont="1" applyFill="1" applyBorder="1" applyAlignment="1">
      <x:alignment vertical="center" wrapText="1"/>
    </x:xf>
    <x:xf numFmtId="0" fontId="7" fillId="0" borderId="52" xfId="0" applyFont="1" applyBorder="1" applyAlignment="1">
      <x:alignment horizontal="center" vertical="top" wrapText="1"/>
    </x:xf>
    <x:xf numFmtId="0" fontId="0" fillId="0" borderId="52" xfId="0" applyBorder="1" applyAlignment="1">
      <x:alignment horizontal="center" vertical="top" wrapText="1"/>
    </x:xf>
    <x:xf numFmtId="0" fontId="0" fillId="0" borderId="42" xfId="0" applyBorder="1" applyAlignment="1">
      <x:alignment horizontal="center" vertical="top" wrapText="1"/>
    </x:xf>
    <x:xf numFmtId="3" fontId="9" fillId="19" borderId="38" xfId="0" applyNumberFormat="1" applyFont="1" applyFill="1" applyBorder="1" applyAlignment="1">
      <x:alignment horizontal="center" vertical="center"/>
    </x:xf>
    <x:xf numFmtId="0" fontId="9" fillId="4" borderId="20" xfId="0" applyFont="1" applyFill="1" applyBorder="1" applyAlignment="1">
      <x:alignment horizontal="left" vertical="center"/>
    </x:xf>
    <x:xf numFmtId="0" fontId="9" fillId="4" borderId="18" xfId="0" applyFont="1" applyFill="1" applyBorder="1" applyAlignment="1">
      <x:alignment horizontal="left" vertical="center"/>
    </x:xf>
    <x:xf numFmtId="0" fontId="9" fillId="4" borderId="19" xfId="0" applyFont="1" applyFill="1" applyBorder="1" applyAlignment="1">
      <x:alignment horizontal="left" vertical="center"/>
    </x:xf>
    <x:xf numFmtId="0" fontId="10" fillId="0" borderId="20" xfId="0" applyFont="1" applyBorder="1" applyAlignment="1">
      <x:alignment horizontal="left" vertical="center"/>
    </x:xf>
    <x:xf numFmtId="0" fontId="10" fillId="0" borderId="18" xfId="0" applyFont="1" applyBorder="1" applyAlignment="1">
      <x:alignment horizontal="left" vertical="center"/>
    </x:xf>
    <x:xf numFmtId="0" fontId="10" fillId="0" borderId="19" xfId="0" applyFont="1" applyBorder="1" applyAlignment="1">
      <x:alignment horizontal="left" vertical="center"/>
    </x:xf>
    <x:xf numFmtId="0" fontId="7" fillId="5" borderId="20" xfId="0" applyFont="1" applyFill="1" applyBorder="1" applyAlignment="1">
      <x:alignment horizontal="left" vertical="top"/>
    </x:xf>
    <x:xf numFmtId="0" fontId="7" fillId="5" borderId="18" xfId="0" applyFont="1" applyFill="1" applyBorder="1" applyAlignment="1">
      <x:alignment horizontal="left" vertical="top"/>
    </x:xf>
    <x:xf numFmtId="0" fontId="7" fillId="5" borderId="19" xfId="0" applyFont="1" applyFill="1" applyBorder="1" applyAlignment="1">
      <x:alignment horizontal="left" vertical="top"/>
    </x:xf>
    <x:xf numFmtId="166" fontId="9" fillId="3" borderId="43" xfId="0" applyNumberFormat="1" applyFont="1" applyFill="1" applyBorder="1" applyAlignment="1">
      <x:alignment horizontal="left" vertical="center" wrapText="1"/>
    </x:xf>
    <x:xf numFmtId="166" fontId="11" fillId="0" borderId="9" xfId="0" applyNumberFormat="1" applyFont="1" applyFill="1" applyBorder="1" applyAlignment="1">
      <x:alignment horizontal="left" vertical="center" wrapText="1"/>
    </x:xf>
    <x:xf numFmtId="166" fontId="11" fillId="0" borderId="9" xfId="0" applyNumberFormat="1" applyFont="1" applyFill="1" applyBorder="1" applyAlignment="1">
      <x:alignment horizontal="left" wrapText="1"/>
    </x:xf>
    <x:xf numFmtId="0" fontId="7" fillId="12" borderId="9" xfId="0" applyFont="1" applyFill="1" applyBorder="1" applyAlignment="1">
      <x:alignment horizontal="center" vertical="center" wrapText="1"/>
    </x:xf>
    <x:xf numFmtId="166" fontId="7" fillId="11" borderId="58" xfId="0" applyNumberFormat="1" applyFont="1" applyFill="1" applyBorder="1" applyAlignment="1">
      <x:alignment horizontal="center" vertical="center" wrapText="1"/>
    </x:xf>
    <x:xf numFmtId="0" fontId="7" fillId="17" borderId="38" xfId="0" applyNumberFormat="1" applyFont="1" applyFill="1" applyBorder="1" applyAlignment="1">
      <x:alignment vertical="center" wrapText="1"/>
    </x:xf>
    <x:xf numFmtId="166" fontId="7" fillId="17" borderId="44" xfId="0" applyNumberFormat="1" applyFont="1" applyFill="1" applyBorder="1" applyAlignment="1">
      <x:alignment horizontal="center" vertical="center" wrapText="1"/>
    </x:xf>
    <x:xf numFmtId="166" fontId="7" fillId="17" borderId="38" xfId="0" applyNumberFormat="1" applyFont="1" applyFill="1" applyBorder="1" applyAlignment="1">
      <x:alignment horizontal="center" vertical="center" wrapText="1"/>
    </x:xf>
    <x:xf numFmtId="0" fontId="9" fillId="3" borderId="43" xfId="0" applyFont="1" applyFill="1" applyBorder="1" applyAlignment="1">
      <x:alignment horizontal="left" vertical="center" wrapText="1"/>
    </x:xf>
    <x:xf numFmtId="0" fontId="11" fillId="0" borderId="9" xfId="0" applyFont="1" applyBorder="1" applyAlignment="1">
      <x:alignment horizontal="left" vertical="center" wrapText="1"/>
    </x:xf>
    <x:xf numFmtId="0" fontId="11" fillId="0" borderId="9" xfId="0" applyFont="1" applyBorder="1" applyAlignment="1">
      <x:alignment horizontal="left" wrapText="1"/>
    </x:xf>
    <x:xf numFmtId="0" fontId="9" fillId="10" borderId="38" xfId="0" applyFont="1" applyFill="1" applyBorder="1" applyAlignment="1">
      <x:alignment horizontal="center" vertical="center" wrapText="1"/>
    </x:xf>
    <x:xf numFmtId="0" fontId="11" fillId="10" borderId="38" xfId="0" applyFont="1" applyFill="1" applyBorder="1" applyAlignment="1">
      <x:alignment horizontal="center" vertical="center" wrapText="1"/>
    </x:xf>
    <x:xf numFmtId="0" fontId="10" fillId="12" borderId="38" xfId="0" applyFont="1" applyFill="1" applyBorder="1" applyAlignment="1">
      <x:alignment horizontal="left" vertical="center" wrapText="1"/>
    </x:xf>
    <x:xf numFmtId="0" fontId="7" fillId="12" borderId="38" xfId="0" applyFont="1" applyFill="1" applyBorder="1" applyAlignment="1">
      <x:alignment horizontal="center" vertical="center" wrapText="1"/>
    </x:xf>
    <x:xf numFmtId="0" fontId="7" fillId="12" borderId="25" xfId="0" applyFont="1" applyFill="1" applyBorder="1" applyAlignment="1">
      <x:alignment horizontal="center" vertical="center" wrapText="1"/>
    </x:xf>
    <x:xf numFmtId="0" fontId="7" fillId="12" borderId="31" xfId="0" applyFont="1" applyFill="1" applyBorder="1" applyAlignment="1">
      <x:alignment horizontal="center" vertical="center" wrapText="1"/>
    </x:xf>
    <x:xf numFmtId="0" fontId="24" fillId="13" borderId="25" xfId="0" applyFont="1" applyFill="1" applyBorder="1" applyAlignment="1">
      <x:alignment horizontal="center"/>
    </x:xf>
    <x:xf numFmtId="0" fontId="23" fillId="14" borderId="0" xfId="0" applyNumberFormat="1" applyFont="1" applyFill="1" applyBorder="1" applyAlignment="1">
      <x:alignment wrapText="1"/>
    </x:xf>
    <x:xf numFmtId="0" fontId="23" fillId="14" borderId="25" xfId="0" applyFont="1" applyFill="1" applyBorder="1" applyAlignment="1">
      <x:alignment wrapText="1"/>
    </x:xf>
    <x:xf numFmtId="0" fontId="27" fillId="0" borderId="0" xfId="0" applyNumberFormat="1" applyFont="1" applyFill="1" applyBorder="1"/>
    <x:xf numFmtId="0" fontId="27" fillId="22" borderId="0" xfId="0" applyNumberFormat="1" applyFont="1" applyFill="1" applyBorder="1"/>
    <x:xf numFmtId="0" fontId="28" fillId="22" borderId="0" xfId="0" applyNumberFormat="1" applyFont="1" applyFill="1" applyBorder="1"/>
    <x:xf numFmtId="0" fontId="28" fillId="22" borderId="0" xfId="0" applyNumberFormat="1" applyFont="1" applyFill="1" applyBorder="1" applyAlignment="1">
      <x:alignment wrapText="1"/>
    </x:xf>
    <x:xf numFmtId="0" fontId="27" fillId="23" borderId="0" xfId="0" applyNumberFormat="1" applyFont="1" applyFill="1" applyBorder="1"/>
    <x:xf numFmtId="0" fontId="29" fillId="23" borderId="0" xfId="0" applyNumberFormat="1" applyFont="1" applyFill="1" applyBorder="1"/>
    <x:xf numFmtId="0" fontId="29" fillId="23" borderId="0" xfId="0" applyNumberFormat="1" applyFont="1" applyFill="1" applyBorder="1" applyAlignment="1">
      <x:alignment wrapText="1"/>
    </x:xf>
    <x:xf numFmtId="0" fontId="30" fillId="0" borderId="0" xfId="0" applyNumberFormat="1" applyFont="1" applyFill="1" applyBorder="1"/>
    <x:xf numFmtId="200" fontId="30" fillId="0" borderId="0" xfId="0" applyNumberFormat="1" applyFont="1" applyFill="1" applyBorder="1"/>
    <x:xf numFmtId="0" fontId="27" fillId="24" borderId="0" xfId="0" applyNumberFormat="1" applyFont="1" applyFill="1" applyBorder="1"/>
    <x:xf numFmtId="0" fontId="28" fillId="24" borderId="0" xfId="0" applyNumberFormat="1" applyFont="1" applyFill="1" applyBorder="1"/>
    <x:xf numFmtId="0" fontId="27" fillId="0" borderId="0" xfId="0" applyNumberFormat="1" applyFont="1" applyFill="1" applyBorder="1" applyAlignment="1">
      <x:alignment wrapText="1"/>
    </x:xf>
    <x:xf numFmtId="0" fontId="27" fillId="25" borderId="0" xfId="0" applyNumberFormat="1" applyFont="1" applyFill="1" applyBorder="1" applyAlignment="1">
      <x:alignment wrapText="1"/>
    </x:xf>
    <x:xf numFmtId="0" fontId="30" fillId="25" borderId="0" xfId="0" applyNumberFormat="1" applyFont="1" applyFill="1" applyBorder="1" applyAlignment="1">
      <x:alignment wrapText="1"/>
    </x:xf>
    <x:xf numFmtId="0" fontId="31" fillId="25" borderId="0" xfId="0" applyNumberFormat="1" applyFont="1" applyFill="1" applyBorder="1" applyAlignment="1">
      <x:alignment wrapText="1"/>
    </x:xf>
    <x:xf numFmtId="0" fontId="32" fillId="25" borderId="0" xfId="0" applyNumberFormat="1" applyFont="1" applyFill="1" applyBorder="1" applyAlignment="1">
      <x:alignment wrapText="1"/>
    </x:xf>
    <x:xf numFmtId="201" fontId="30" fillId="25" borderId="0" xfId="0" applyNumberFormat="1" applyFont="1" applyFill="1" applyBorder="1" applyAlignment="1">
      <x:alignment wrapText="1"/>
    </x:xf>
    <x:xf numFmtId="200" fontId="30" fillId="25" borderId="0" xfId="0" applyNumberFormat="1" applyFont="1" applyFill="1" applyBorder="1" applyAlignment="1">
      <x:alignment wrapText="1"/>
    </x:xf>
    <x:xf numFmtId="200" fontId="32" fillId="25" borderId="0" xfId="0" applyNumberFormat="1" applyFont="1" applyFill="1" applyBorder="1" applyAlignment="1">
      <x:alignment wrapText="1"/>
    </x:xf>
    <x:xf numFmtId="0" fontId="27" fillId="26" borderId="0" xfId="0" applyNumberFormat="1" applyFont="1" applyFill="1" applyBorder="1"/>
    <x:xf numFmtId="0" fontId="33" fillId="26" borderId="0" xfId="0" applyNumberFormat="1" applyFont="1" applyFill="1" applyBorder="1"/>
    <x:xf numFmtId="200" fontId="27" fillId="0" borderId="0" xfId="0" applyNumberFormat="1" applyFont="1" applyFill="1" applyBorder="1" applyAlignment="1">
      <x:alignment wrapText="1"/>
    </x:xf>
    <x:xf numFmtId="0" fontId="27" fillId="26" borderId="0" xfId="0" applyNumberFormat="1" applyFont="1" applyFill="1" applyBorder="1" applyAlignment="1">
      <x:alignment wrapText="1"/>
    </x:xf>
    <x:xf numFmtId="0" fontId="32" fillId="0" borderId="0" xfId="0" applyNumberFormat="1" applyFont="1" applyFill="1" applyBorder="1"/>
    <x:xf numFmtId="0" fontId="31" fillId="0" borderId="0" xfId="0" applyNumberFormat="1" applyFont="1" applyFill="1" applyBorder="1"/>
    <x:xf numFmtId="200" fontId="32" fillId="0" borderId="0" xfId="0" applyNumberFormat="1" applyFont="1" applyFill="1" applyBorder="1"/>
    <x:xf numFmtId="200" fontId="31" fillId="0" borderId="0" xfId="0" applyNumberFormat="1" applyFont="1" applyFill="1" applyBorder="1"/>
    <x:xf numFmtId="200" fontId="27" fillId="0" borderId="0" xfId="0" applyNumberFormat="1" applyFont="1" applyFill="1" applyBorder="1"/>
    <x:xf numFmtId="200" fontId="31" fillId="26" borderId="0" xfId="0" applyNumberFormat="1" applyFont="1" applyFill="1" applyBorder="1"/>
    <x:xf numFmtId="0" fontId="34" fillId="26" borderId="0" xfId="0" applyNumberFormat="1" applyFont="1" applyFill="1" applyBorder="1" applyAlignment="1">
      <x:alignment wrapText="1"/>
    </x:xf>
    <x:xf numFmtId="200" fontId="34" fillId="26" borderId="0" xfId="0" applyNumberFormat="1" applyFont="1" applyFill="1" applyBorder="1"/>
    <x:xf numFmtId="0" fontId="34" fillId="26" borderId="63" xfId="0" applyNumberFormat="1" applyFont="1" applyFill="1" applyBorder="1" applyAlignment="1">
      <x:alignment wrapText="1"/>
    </x:xf>
    <x:xf numFmtId="200" fontId="34" fillId="26" borderId="63" xfId="0" applyNumberFormat="1" applyFont="1" applyFill="1" applyBorder="1"/>
    <x:xf numFmtId="0" fontId="35" fillId="5" borderId="41" xfId="0" applyNumberFormat="1" applyFont="1" applyFill="1" applyBorder="1" applyAlignment="1">
      <x:alignment horizontal="left" vertical="center" wrapText="1"/>
    </x:xf>
    <x:xf numFmtId="0" fontId="6" fillId="5" borderId="52" xfId="0" applyNumberFormat="1" applyFont="1" applyFill="1" applyBorder="1" applyAlignment="1">
      <x:alignment horizontal="left" vertical="center" wrapText="1"/>
    </x:xf>
    <x:xf numFmtId="0" fontId="6" fillId="5" borderId="42" xfId="0" applyNumberFormat="1" applyFont="1" applyFill="1" applyBorder="1" applyAlignment="1">
      <x:alignment horizontal="left" vertical="center" wrapText="1"/>
    </x:xf>
    <x:xf numFmtId="0" fontId="36" fillId="5" borderId="41" xfId="0" applyNumberFormat="1" applyFont="1" applyFill="1" applyBorder="1" applyAlignment="1">
      <x:alignment horizontal="left" vertical="center" wrapText="1"/>
    </x:xf>
    <x:xf numFmtId="0" fontId="36" fillId="5" borderId="38" xfId="0" applyNumberFormat="1" applyFont="1" applyFill="1" applyBorder="1" applyAlignment="1">
      <x:alignment horizontal="left" vertical="center" wrapText="1"/>
    </x:xf>
    <x:xf numFmtId="0" fontId="6" fillId="5" borderId="38" xfId="0" applyNumberFormat="1" applyFont="1" applyFill="1" applyBorder="1" applyAlignment="1">
      <x:alignment horizontal="left" vertical="center" wrapText="1"/>
    </x:xf>
    <x:xf numFmtId="0" fontId="35" fillId="5" borderId="38" xfId="0" applyNumberFormat="1" applyFont="1" applyFill="1" applyBorder="1" applyAlignment="1">
      <x:alignment horizontal="left" vertical="center" wrapText="1"/>
    </x:xf>
    <x:xf numFmtId="0" fontId="35" fillId="0" borderId="41" xfId="0" applyNumberFormat="1" applyFont="1" applyFill="1" applyBorder="1" applyAlignment="1">
      <x:alignment horizontal="left" vertical="top" wrapText="1"/>
    </x:xf>
    <x:xf numFmtId="0" fontId="6" fillId="0" borderId="52" xfId="0" applyNumberFormat="1" applyFont="1" applyFill="1" applyBorder="1" applyAlignment="1">
      <x:alignment horizontal="left" vertical="top" wrapText="1"/>
    </x:xf>
    <x:xf numFmtId="0" fontId="6" fillId="0" borderId="42" xfId="0" applyNumberFormat="1" applyFont="1" applyFill="1" applyBorder="1" applyAlignment="1">
      <x:alignment horizontal="left" vertical="top" wrapText="1"/>
    </x:xf>
    <x:xf numFmtId="0" fontId="35" fillId="0" borderId="41" xfId="0" applyNumberFormat="1" applyFont="1" applyFill="1" applyBorder="1" applyAlignment="1">
      <x:alignment wrapText="1"/>
    </x:xf>
    <x:xf numFmtId="0" fontId="6" fillId="0" borderId="52" xfId="0" applyNumberFormat="1" applyFont="1" applyFill="1" applyBorder="1" applyAlignment="1">
      <x:alignment wrapText="1"/>
    </x:xf>
    <x:xf numFmtId="0" fontId="6" fillId="0" borderId="42" xfId="0" applyNumberFormat="1" applyFont="1" applyFill="1" applyBorder="1" applyAlignment="1">
      <x:alignment wrapText="1"/>
    </x:xf>
    <x:xf numFmtId="0" fontId="37" fillId="0" borderId="41" xfId="0" applyNumberFormat="1" applyFont="1" applyFill="1" applyBorder="1" applyAlignment="1">
      <x:alignment horizontal="left" vertical="top" wrapText="1"/>
    </x:xf>
    <x:xf numFmtId="0" fontId="38" fillId="0" borderId="41" xfId="0" applyNumberFormat="1" applyFont="1" applyFill="1" applyBorder="1" applyAlignment="1">
      <x:alignment horizontal="left" vertical="top" wrapText="1"/>
    </x:xf>
    <x:xf numFmtId="0" fontId="38" fillId="0" borderId="46" xfId="0" applyNumberFormat="1" applyFont="1" applyFill="1" applyBorder="1" applyAlignment="1">
      <x:alignment horizontal="left" vertical="top" wrapText="1"/>
    </x:xf>
    <x:xf numFmtId="0" fontId="6" fillId="0" borderId="47" xfId="0" applyNumberFormat="1" applyFont="1" applyFill="1" applyBorder="1" applyAlignment="1">
      <x:alignment wrapText="1"/>
    </x:xf>
    <x:xf numFmtId="0" fontId="6" fillId="0" borderId="48" xfId="0" applyNumberFormat="1" applyFont="1" applyFill="1" applyBorder="1" applyAlignment="1">
      <x:alignment wrapText="1"/>
    </x:xf>
    <x:xf numFmtId="0" fontId="35" fillId="0" borderId="38" xfId="0" applyNumberFormat="1" applyFont="1" applyFill="1" applyBorder="1" applyAlignment="1">
      <x:alignment horizontal="left" vertical="top" wrapText="1"/>
    </x:xf>
    <x:xf numFmtId="0" fontId="6" fillId="0" borderId="38" xfId="0" applyNumberFormat="1" applyFont="1" applyFill="1" applyBorder="1" applyAlignment="1">
      <x:alignment wrapText="1"/>
    </x:xf>
    <x:xf numFmtId="0" fontId="35" fillId="0" borderId="38" xfId="0" applyNumberFormat="1" applyFont="1" applyFill="1" applyBorder="1" applyAlignment="1">
      <x:alignment vertical="center" wrapText="1"/>
    </x:xf>
    <x:xf numFmtId="0" fontId="6" fillId="0" borderId="38" xfId="0" applyNumberFormat="1" applyFont="1" applyFill="1" applyBorder="1" applyAlignment="1">
      <x:alignment vertical="center" wrapText="1"/>
    </x:xf>
    <x:xf numFmtId="0" fontId="35" fillId="0" borderId="38" xfId="0" applyNumberFormat="1" applyFont="1" applyFill="1" applyBorder="1" applyAlignment="1">
      <x:alignment vertical="top" wrapText="1"/>
    </x:xf>
    <x:xf numFmtId="0" fontId="6" fillId="0" borderId="38" xfId="0" applyNumberFormat="1" applyFont="1" applyFill="1" applyBorder="1" applyAlignment="1">
      <x:alignment vertical="top" wrapText="1"/>
    </x:xf>
    <x:xf numFmtId="0" fontId="36" fillId="0" borderId="38" xfId="0" applyNumberFormat="1" applyFont="1" applyFill="1" applyBorder="1" applyAlignment="1">
      <x:alignment horizontal="left" vertical="top" wrapText="1"/>
    </x:xf>
    <x:xf numFmtId="0" fontId="39" fillId="11" borderId="41" xfId="0" applyNumberFormat="1" applyFont="1" applyFill="1" applyBorder="1" applyAlignment="1">
      <x:alignment horizontal="left" vertical="center"/>
    </x:xf>
    <x:xf numFmtId="0" fontId="39" fillId="11" borderId="41" xfId="0" applyNumberFormat="1" applyFont="1" applyFill="1" applyBorder="1" applyAlignment="1">
      <x:alignment horizontal="left" vertical="center" wrapText="1"/>
    </x:xf>
    <x:xf numFmtId="0" fontId="4" fillId="11" borderId="52" xfId="0" applyNumberFormat="1" applyFont="1" applyFill="1" applyBorder="1" applyAlignment="1">
      <x:alignment horizontal="left" vertical="center" wrapText="1"/>
    </x:xf>
    <x:xf numFmtId="0" fontId="4" fillId="11" borderId="42" xfId="0" applyNumberFormat="1" applyFont="1" applyFill="1" applyBorder="1" applyAlignment="1">
      <x:alignment horizontal="left" vertical="center" wrapText="1"/>
    </x:xf>
    <x:xf numFmtId="202" fontId="19" fillId="0" borderId="38" xfId="0" applyNumberFormat="1" applyFont="1" applyFill="1" applyBorder="1" applyAlignment="1">
      <x:alignment horizontal="center"/>
    </x:xf>
    <x:xf numFmtId="202" fontId="19" fillId="0" borderId="38" xfId="0" applyNumberFormat="1" applyFont="1" applyFill="1" applyBorder="1" applyAlignment="1">
      <x:alignment horizontal="center" wrapText="1"/>
    </x:xf>
    <x:xf numFmtId="3" fontId="6" fillId="0" borderId="38" xfId="0" applyNumberFormat="1" applyFont="1" applyFill="1" applyBorder="1" applyAlignment="1">
      <x:alignment horizontal="center" wrapText="1"/>
    </x:xf>
    <x:xf numFmtId="0" fontId="6" fillId="5" borderId="49" xfId="0" applyNumberFormat="1" applyFont="1" applyFill="1" applyBorder="1" applyAlignment="1">
      <x:alignment wrapText="1"/>
    </x:xf>
    <x:xf numFmtId="0" fontId="6" fillId="5" borderId="50" xfId="0" applyNumberFormat="1" applyFont="1" applyFill="1" applyBorder="1" applyAlignment="1">
      <x:alignment wrapText="1"/>
    </x:xf>
    <x:xf numFmtId="0" fontId="6" fillId="5" borderId="51" xfId="0" applyNumberFormat="1" applyFont="1" applyFill="1" applyBorder="1" applyAlignment="1">
      <x:alignment wrapText="1"/>
    </x:xf>
    <x:xf numFmtId="202" fontId="19" fillId="0" borderId="38" xfId="0" applyNumberFormat="1" applyFont="1" applyFill="1" applyBorder="1" applyAlignment="1">
      <x:alignment horizontal="center" vertical="center" wrapText="1"/>
    </x:xf>
    <x:xf numFmtId="3" fontId="6" fillId="0" borderId="38" xfId="0" applyNumberFormat="1" applyFont="1" applyFill="1" applyBorder="1" applyAlignment="1">
      <x:alignment horizontal="center" vertical="center" wrapText="1"/>
    </x:xf>
    <x:xf numFmtId="0" fontId="6" fillId="5" borderId="49" xfId="0" applyNumberFormat="1" applyFont="1" applyFill="1" applyBorder="1" applyAlignment="1">
      <x:alignment vertical="center" wrapText="1"/>
    </x:xf>
    <x:xf numFmtId="0" fontId="6" fillId="5" borderId="50" xfId="0" applyNumberFormat="1" applyFont="1" applyFill="1" applyBorder="1" applyAlignment="1">
      <x:alignment vertical="center" wrapText="1"/>
    </x:xf>
    <x:xf numFmtId="0" fontId="6" fillId="5" borderId="51" xfId="0" applyNumberFormat="1" applyFont="1" applyFill="1" applyBorder="1" applyAlignment="1">
      <x:alignment vertical="center" wrapText="1"/>
    </x:xf>
    <x:xf numFmtId="0" fontId="4" fillId="11" borderId="41" xfId="0" applyNumberFormat="1" applyFont="1" applyFill="1" applyBorder="1" applyAlignment="1">
      <x:alignment horizontal="center" vertical="center" wrapText="1"/>
    </x:xf>
    <x:xf numFmtId="0" fontId="4" fillId="0" borderId="52" xfId="0" applyNumberFormat="1" applyFont="1" applyFill="1" applyBorder="1" applyAlignment="1">
      <x:alignment horizontal="center" vertical="center" wrapText="1"/>
    </x:xf>
    <x:xf numFmtId="0" fontId="3" fillId="0" borderId="52" xfId="0" applyNumberFormat="1" applyFont="1" applyFill="1" applyBorder="1" applyAlignment="1">
      <x:alignment wrapText="1"/>
    </x:xf>
    <x:xf numFmtId="0" fontId="3" fillId="0" borderId="42" xfId="0" applyNumberFormat="1" applyFont="1" applyFill="1" applyBorder="1" applyAlignment="1">
      <x:alignment wrapText="1"/>
    </x:xf>
    <x:xf numFmtId="0" fontId="19" fillId="0" borderId="38" xfId="0" applyNumberFormat="1" applyFont="1" applyFill="1" applyBorder="1" applyAlignment="1">
      <x:alignment horizontal="center" vertical="top" wrapText="1"/>
    </x:xf>
    <x:xf numFmtId="0" fontId="19" fillId="0" borderId="38" xfId="0" applyNumberFormat="1" applyFont="1" applyFill="1" applyBorder="1" applyAlignment="1">
      <x:alignment horizontal="center" vertical="center" wrapText="1"/>
    </x:xf>
    <x:xf numFmtId="0" fontId="6" fillId="0" borderId="41" xfId="0" applyNumberFormat="1" applyFont="1" applyFill="1" applyBorder="1" applyAlignment="1">
      <x:alignment wrapText="1"/>
    </x:xf>
    <x:xf numFmtId="0" fontId="6" fillId="23" borderId="11" xfId="0" applyNumberFormat="1" applyFont="1" applyFill="1" applyBorder="1" applyAlignment="1">
      <x:alignment horizontal="left" vertical="top" wrapText="1"/>
    </x:xf>
    <x:xf numFmtId="0" fontId="6" fillId="23" borderId="0" xfId="0" applyNumberFormat="1" applyFont="1" applyFill="1" applyBorder="1"/>
    <x:xf numFmtId="0" fontId="6" fillId="23" borderId="12" xfId="0" applyNumberFormat="1" applyFont="1" applyFill="1" applyBorder="1"/>
    <x:xf numFmtId="0" fontId="40" fillId="23" borderId="11" xfId="0" applyNumberFormat="1" applyFont="1" applyFill="1" applyBorder="1" applyAlignment="1">
      <x:alignment horizontal="left" vertical="top" wrapText="1"/>
    </x:xf>
    <x:xf numFmtId="0" fontId="40" fillId="23" borderId="0" xfId="0" applyNumberFormat="1" applyFont="1" applyFill="1" applyBorder="1"/>
    <x:xf numFmtId="0" fontId="40" fillId="23" borderId="12" xfId="0" applyNumberFormat="1" applyFont="1" applyFill="1" applyBorder="1"/>
    <x:xf numFmtId="0" fontId="40" fillId="23" borderId="0" xfId="0" applyNumberFormat="1" applyFont="1" applyFill="1" applyBorder="1" applyAlignment="1">
      <x:alignment wrapText="1"/>
    </x:xf>
    <x:xf numFmtId="0" fontId="40" fillId="23" borderId="12" xfId="0" applyNumberFormat="1" applyFont="1" applyFill="1" applyBorder="1" applyAlignment="1">
      <x:alignment wrapText="1"/>
    </x:xf>
    <x:xf numFmtId="0" fontId="27" fillId="23" borderId="0" xfId="0" applyNumberFormat="1" applyFont="1" applyFill="1" applyBorder="1" applyAlignment="1">
      <x:alignment wrapText="1"/>
    </x:xf>
    <x:xf numFmtId="0" fontId="28" fillId="24" borderId="0" xfId="0" applyNumberFormat="1" applyFont="1" applyFill="1" applyBorder="1" applyAlignment="1">
      <x:alignment wrapText="1"/>
    </x:xf>
    <x:xf numFmtId="0" fontId="27" fillId="0" borderId="0" xfId="0" applyNumberFormat="1" applyFont="1" applyFill="1" applyBorder="1" applyAlignment="1">
      <x:alignment vertical="top" wrapText="1"/>
    </x:xf>
    <x:xf numFmtId="0" fontId="27" fillId="27" borderId="0" xfId="0" applyNumberFormat="1" applyFont="1" applyFill="1" applyBorder="1" applyAlignment="1">
      <x:alignment vertical="top" wrapText="1"/>
    </x:xf>
    <x:xf numFmtId="0" fontId="41" fillId="27" borderId="0" xfId="0" applyNumberFormat="1" applyFont="1" applyFill="1" applyBorder="1" applyAlignment="1">
      <x:alignment vertical="top" wrapText="1"/>
    </x:xf>
    <x:xf numFmtId="203" fontId="27" fillId="0" borderId="0" xfId="0" applyNumberFormat="1" applyFont="1" applyFill="1" applyBorder="1" applyAlignment="1">
      <x:alignment wrapText="1"/>
    </x:xf>
  </x:cellXfs>
  <x:cellStyles count="3">
    <x:cellStyle name="Грошовий" xfId="2"/>
    <x:cellStyle name="Обычный" xfId="0"/>
    <x:cellStyle name="Фінансовий" xfId="1"/>
  </x:cellStyles>
  <x:dxfs count="8">
    <x:dxf>
      <x:fill>
        <x:patternFill>
          <x:bgColor theme="2" tint="-0.49992"/>
        </x:patternFill>
      </x:fill>
    </x:dxf>
    <x:dxf>
      <x:font>
        <x:b/>
        <x:color rgb="FFC00000"/>
      </x:font>
      <x:fill>
        <x:patternFill>
          <x:bgColor rgb="FFFCE8E6"/>
        </x:patternFill>
      </x:fill>
    </x:dxf>
    <x:dxf>
      <x:font>
        <x:b/>
        <x:color rgb="FFC00000"/>
      </x:font>
      <x:fill>
        <x:patternFill>
          <x:bgColor rgb="FFFCE8E6"/>
        </x:patternFill>
      </x:fill>
    </x:dxf>
    <x:dxf>
      <x:font>
        <x:b/>
        <x:color rgb="FFC00000"/>
      </x:font>
      <x:fill>
        <x:patternFill>
          <x:bgColor rgb="FFFCE8E6"/>
        </x:patternFill>
      </x:fill>
    </x:dxf>
    <x:dxf>
      <x:fill>
        <x:patternFill>
          <x:bgColor rgb="FFFF0000"/>
        </x:patternFill>
      </x:fill>
    </x:dxf>
    <x:dxf>
      <x:fill>
        <x:patternFill>
          <x:bgColor theme="8" tint="-0.49992"/>
        </x:patternFill>
      </x:fill>
    </x:dxf>
    <x:dxf>
      <x:font>
        <x:b/>
        <x:color rgb="FF9C2531"/>
      </x:font>
      <x:fill>
        <x:patternFill patternType="solid">
          <x:bgColor rgb="FFFDE9E7"/>
        </x:patternFill>
      </x:fill>
    </x:dxf>
    <x:dxf>
      <x:font>
        <x:b/>
        <x:color rgb="FF9C2531"/>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84ce014e8941bf" /><Relationship Type="http://schemas.openxmlformats.org/officeDocument/2006/relationships/theme" Target="/xl/theme/theme1.xml" Id="Rd171264340444f3e" /><Relationship Type="http://schemas.openxmlformats.org/officeDocument/2006/relationships/sharedStrings" Target="/xl/sharedStrings.xml" Id="R48954a816f154cf8" /><Relationship Type="http://schemas.openxmlformats.org/officeDocument/2006/relationships/worksheet" Target="/xl/worksheets/sheet1.xml" Id="Rf207e65c6a5b4b6a" /><Relationship Type="http://schemas.openxmlformats.org/officeDocument/2006/relationships/worksheet" Target="/xl/worksheets/sheet2.xml" Id="Ra095fa6030e44aff" /><Relationship Type="http://schemas.openxmlformats.org/officeDocument/2006/relationships/worksheet" Target="/xl/worksheets/sheet3.xml" Id="R7e9a1e55edc24e26" /><Relationship Type="http://schemas.openxmlformats.org/officeDocument/2006/relationships/worksheet" Target="/xl/worksheets/sheet4.xml" Id="R2d9a0abbbb41464e" /><Relationship Type="http://schemas.openxmlformats.org/officeDocument/2006/relationships/worksheet" Target="/xl/worksheets/sheet5.xml" Id="Rc4cabe05ee384b8c" /><Relationship Type="http://schemas.openxmlformats.org/officeDocument/2006/relationships/worksheet" Target="/xl/worksheets/sheet6.xml" Id="Rfc41c8537365438c" /><Relationship Type="http://schemas.openxmlformats.org/officeDocument/2006/relationships/worksheet" Target="/xl/worksheets/sheet7.xml" Id="R3dcd4b8408694a69" /><Relationship Type="http://schemas.openxmlformats.org/officeDocument/2006/relationships/worksheet" Target="/xl/worksheets/sheet8.xml" Id="R51462b65b4f34b62" /><Relationship Type="http://schemas.openxmlformats.org/officeDocument/2006/relationships/worksheet" Target="/xl/worksheets/sheet9.xml" Id="R59c3b96970174526" /><Relationship Type="http://schemas.microsoft.com/office/2017/10/relationships/person" Target="/xl/persons/person.xml" Id="R101bc7440b8941e1" /></Relationships>
</file>

<file path=xl/persons/person.xml><?xml version="1.0" encoding="utf-8"?>
<xltc:personList xmlns:xltc="http://schemas.microsoft.com/office/spreadsheetml/2018/threadedcomments">
  <xltc:person displayName="Автор" id="{991EEEEE-1F46-93E6-FD67-F1355A97D6EC}"/>
  <xltc:person displayName="Автор" id="{78CE88A1-C268-8946-F3BE-8B692DDD7E6C}"/>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142855"/>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2.625" defaultRowHeight="15.75"/>
  <x:cols>
    <x:col min="1" max="1" width="4.125" style="2" customWidth="1"/>
    <x:col min="2" max="2" width="3.5" style="2" customWidth="1"/>
    <x:col min="3" max="3" width="3.625" style="2" customWidth="1"/>
    <x:col min="4" max="4" width="12.75" style="2" customWidth="1"/>
    <x:col min="5" max="12" width="7.625" style="2" customWidth="1"/>
    <x:col min="13" max="13" width="28.875" style="2" customWidth="1"/>
    <x:col min="14" max="14" width="40" style="2" customWidth="1"/>
    <x:col min="15" max="15" width="4.375" style="2" customWidth="1"/>
    <x:col min="16" max="17" width="7.625" style="2" customWidth="1"/>
    <x:col min="18" max="16384" width="12.625" style="2" customWidth="0"/>
  </x:cols>
  <x:sheetData>
    <x:row r="1" ht="13.5" customHeight="1">
      <x:c r="A1" s="6" t="s">
        <x:v>0</x:v>
      </x:c>
      <x:c r="B1" s="7"/>
      <x:c r="C1" s="6"/>
      <x:c r="D1" s="6"/>
      <x:c r="E1" s="6"/>
      <x:c r="F1" s="6"/>
      <x:c r="G1" s="6"/>
      <x:c r="H1" s="6"/>
      <x:c r="I1" s="6"/>
      <x:c r="J1" s="6"/>
      <x:c r="K1" s="6"/>
      <x:c r="L1" s="6"/>
      <x:c r="M1" s="6"/>
      <x:c r="N1" s="6"/>
      <x:c r="O1" s="6"/>
      <x:c r="P1" s="3"/>
      <x:c r="Q1" s="3"/>
    </x:row>
    <x:row r="2" ht="16.5" customHeight="1">
      <x:c r="A2" s="193"/>
      <x:c r="B2" s="194"/>
      <x:c r="C2" s="194"/>
      <x:c r="D2" s="194"/>
      <x:c r="E2" s="194"/>
      <x:c r="F2" s="194"/>
      <x:c r="G2" s="194"/>
      <x:c r="H2" s="194"/>
      <x:c r="I2" s="194"/>
      <x:c r="J2" s="195"/>
      <x:c r="K2" s="194"/>
      <x:c r="L2" s="194"/>
      <x:c r="M2" s="194"/>
      <x:c r="N2" s="194"/>
      <x:c r="O2" s="6"/>
      <x:c r="P2" s="3"/>
      <x:c r="Q2" s="3"/>
    </x:row>
    <x:row r="3" ht="19.5" customHeight="1">
      <x:c r="A3" s="6"/>
      <x:c r="B3" s="7"/>
      <x:c r="C3" s="6"/>
      <x:c r="D3" s="6"/>
      <x:c r="E3" s="6"/>
      <x:c r="F3" s="6"/>
      <x:c r="G3" s="6"/>
      <x:c r="H3" s="6"/>
      <x:c r="I3" s="6"/>
      <x:c r="J3" s="6"/>
      <x:c r="K3" s="6"/>
      <x:c r="L3" s="6"/>
      <x:c r="M3" s="6"/>
      <x:c r="N3" s="6"/>
      <x:c r="O3" s="6"/>
      <x:c r="P3" s="3"/>
      <x:c r="Q3" s="3"/>
    </x:row>
    <x:row r="4" ht="24.75" customHeight="1">
      <x:c r="A4" s="6"/>
      <x:c r="B4" s="196" t="s">
        <x:v>1</x:v>
      </x:c>
      <x:c r="C4" s="194"/>
      <x:c r="D4" s="194"/>
      <x:c r="E4" s="194"/>
      <x:c r="F4" s="194"/>
      <x:c r="G4" s="194"/>
      <x:c r="H4" s="194"/>
      <x:c r="I4" s="194"/>
      <x:c r="J4" s="194"/>
      <x:c r="K4" s="194"/>
      <x:c r="L4" s="194"/>
      <x:c r="M4" s="194"/>
      <x:c r="N4" s="194"/>
      <x:c r="O4" s="194"/>
      <x:c r="P4" s="3"/>
      <x:c r="Q4" s="3"/>
    </x:row>
    <x:row r="5" ht="195.60000610351562" customHeight="1">
      <x:c r="A5" s="6"/>
      <x:c r="B5" s="197" t="s">
        <x:v>2</x:v>
      </x:c>
      <x:c r="C5" s="198"/>
      <x:c r="D5" s="199"/>
      <x:c r="E5" s="199"/>
      <x:c r="F5" s="199"/>
      <x:c r="G5" s="199"/>
      <x:c r="H5" s="199"/>
      <x:c r="I5" s="199"/>
      <x:c r="J5" s="199"/>
      <x:c r="K5" s="199"/>
      <x:c r="L5" s="199"/>
      <x:c r="M5" s="199"/>
      <x:c r="N5" s="200"/>
      <x:c r="O5" s="8"/>
      <x:c r="P5" s="3"/>
      <x:c r="Q5" s="3"/>
    </x:row>
    <x:row r="6" ht="13.5" customHeight="1">
      <x:c r="A6" s="6"/>
      <x:c r="B6" s="9"/>
      <x:c r="C6" s="10"/>
      <x:c r="D6" s="10"/>
      <x:c r="E6" s="10"/>
      <x:c r="F6" s="10"/>
      <x:c r="G6" s="10"/>
      <x:c r="H6" s="10"/>
      <x:c r="I6" s="10"/>
      <x:c r="J6" s="10"/>
      <x:c r="K6" s="10"/>
      <x:c r="L6" s="10"/>
      <x:c r="M6" s="10"/>
      <x:c r="N6" s="10"/>
      <x:c r="O6" s="6"/>
      <x:c r="P6" s="3"/>
      <x:c r="Q6" s="3"/>
    </x:row>
    <x:row r="7" ht="13.5" customHeight="1">
      <x:c r="A7" s="6"/>
      <x:c r="B7" s="7"/>
      <x:c r="C7" s="11"/>
      <x:c r="D7" s="11"/>
      <x:c r="E7" s="11"/>
      <x:c r="F7" s="11"/>
      <x:c r="G7" s="11"/>
      <x:c r="H7" s="11"/>
      <x:c r="I7" s="11"/>
      <x:c r="J7" s="11"/>
      <x:c r="K7" s="11"/>
      <x:c r="L7" s="11"/>
      <x:c r="M7" s="11"/>
      <x:c r="N7" s="11"/>
      <x:c r="O7" s="6"/>
      <x:c r="P7" s="3"/>
      <x:c r="Q7" s="3"/>
    </x:row>
    <x:row r="8" ht="26.25" customHeight="1">
      <x:c r="A8" s="6"/>
      <x:c r="B8" s="201" t="s">
        <x:v>3</x:v>
      </x:c>
      <x:c r="C8" s="202"/>
      <x:c r="D8" s="202"/>
      <x:c r="E8" s="202"/>
      <x:c r="F8" s="202"/>
      <x:c r="G8" s="202"/>
      <x:c r="H8" s="202"/>
      <x:c r="I8" s="202"/>
      <x:c r="J8" s="202"/>
      <x:c r="K8" s="202"/>
      <x:c r="L8" s="202"/>
      <x:c r="M8" s="202"/>
      <x:c r="N8" s="203"/>
      <x:c r="O8" s="6"/>
      <x:c r="P8" s="3"/>
      <x:c r="Q8" s="3"/>
    </x:row>
    <x:row r="9" ht="13.5" customHeight="1">
      <x:c r="A9" s="6"/>
      <x:c r="B9" s="12"/>
      <x:c r="C9" s="6"/>
      <x:c r="D9" s="6"/>
      <x:c r="E9" s="6"/>
      <x:c r="F9" s="6"/>
      <x:c r="G9" s="6"/>
      <x:c r="H9" s="6"/>
      <x:c r="I9" s="6"/>
      <x:c r="J9" s="6"/>
      <x:c r="K9" s="6"/>
      <x:c r="L9" s="6"/>
      <x:c r="M9" s="6"/>
      <x:c r="N9" s="6"/>
      <x:c r="O9" s="6"/>
      <x:c r="P9" s="3"/>
      <x:c r="Q9" s="3"/>
    </x:row>
    <x:row r="10" ht="47.25" customHeight="1">
      <x:c r="A10" s="6"/>
      <x:c r="B10" s="7" t="s">
        <x:v>4</x:v>
      </x:c>
      <x:c r="C10" s="204" t="s">
        <x:v>5</x:v>
      </x:c>
      <x:c r="D10" s="194"/>
      <x:c r="E10" s="194"/>
      <x:c r="F10" s="194"/>
      <x:c r="G10" s="194"/>
      <x:c r="H10" s="194"/>
      <x:c r="I10" s="194"/>
      <x:c r="J10" s="194"/>
      <x:c r="K10" s="194"/>
      <x:c r="L10" s="194"/>
      <x:c r="M10" s="194"/>
      <x:c r="N10" s="194"/>
      <x:c r="O10" s="13"/>
      <x:c r="P10" s="5"/>
      <x:c r="Q10" s="3"/>
    </x:row>
    <x:row r="11" ht="35.25" customHeight="1">
      <x:c r="A11" s="6"/>
      <x:c r="B11" s="7" t="s">
        <x:v>4</x:v>
      </x:c>
      <x:c r="C11" s="204" t="s">
        <x:v>6</x:v>
      </x:c>
      <x:c r="D11" s="194"/>
      <x:c r="E11" s="194"/>
      <x:c r="F11" s="194"/>
      <x:c r="G11" s="194"/>
      <x:c r="H11" s="194"/>
      <x:c r="I11" s="194"/>
      <x:c r="J11" s="194"/>
      <x:c r="K11" s="194"/>
      <x:c r="L11" s="194"/>
      <x:c r="M11" s="194"/>
      <x:c r="N11" s="194"/>
      <x:c r="O11" s="13"/>
      <x:c r="P11" s="3"/>
      <x:c r="Q11" s="3"/>
    </x:row>
    <x:row r="12" ht="34.5" customHeight="1">
      <x:c r="A12" s="6"/>
      <x:c r="B12" s="7" t="s">
        <x:v>4</x:v>
      </x:c>
      <x:c r="C12" s="204" t="s">
        <x:v>7</x:v>
      </x:c>
      <x:c r="D12" s="194"/>
      <x:c r="E12" s="194"/>
      <x:c r="F12" s="194"/>
      <x:c r="G12" s="194"/>
      <x:c r="H12" s="194"/>
      <x:c r="I12" s="194"/>
      <x:c r="J12" s="194"/>
      <x:c r="K12" s="194"/>
      <x:c r="L12" s="194"/>
      <x:c r="M12" s="194"/>
      <x:c r="N12" s="194"/>
      <x:c r="O12" s="13"/>
      <x:c r="P12" s="3"/>
      <x:c r="Q12" s="3"/>
    </x:row>
    <x:row r="13" ht="33" customHeight="1">
      <x:c r="A13" s="6"/>
      <x:c r="B13" s="7" t="s">
        <x:v>4</x:v>
      </x:c>
      <x:c r="C13" s="204" t="s">
        <x:v>8</x:v>
      </x:c>
      <x:c r="D13" s="194"/>
      <x:c r="E13" s="194"/>
      <x:c r="F13" s="194"/>
      <x:c r="G13" s="194"/>
      <x:c r="H13" s="194"/>
      <x:c r="I13" s="194"/>
      <x:c r="J13" s="194"/>
      <x:c r="K13" s="194"/>
      <x:c r="L13" s="194"/>
      <x:c r="M13" s="194"/>
      <x:c r="N13" s="194"/>
      <x:c r="O13" s="6"/>
      <x:c r="P13" s="3"/>
      <x:c r="Q13" s="3"/>
    </x:row>
    <x:row r="14" ht="24" customHeight="1">
      <x:c r="A14" s="6"/>
      <x:c r="B14" s="7" t="s">
        <x:v>4</x:v>
      </x:c>
      <x:c r="C14" s="208" t="s">
        <x:v>9</x:v>
      </x:c>
      <x:c r="D14" s="194"/>
      <x:c r="E14" s="194"/>
      <x:c r="F14" s="194"/>
      <x:c r="G14" s="194"/>
      <x:c r="H14" s="194"/>
      <x:c r="I14" s="194"/>
      <x:c r="J14" s="194"/>
      <x:c r="K14" s="194"/>
      <x:c r="L14" s="194"/>
      <x:c r="M14" s="194"/>
      <x:c r="N14" s="194"/>
      <x:c r="O14" s="11"/>
      <x:c r="P14" s="3"/>
      <x:c r="Q14" s="3"/>
    </x:row>
    <x:row r="15" ht="24" customHeight="1">
      <x:c r="A15" s="6"/>
      <x:c r="B15" s="7"/>
      <x:c r="C15" s="7" t="s">
        <x:v>10</x:v>
      </x:c>
      <x:c r="D15" s="14"/>
      <x:c r="E15" s="14"/>
      <x:c r="F15" s="14"/>
      <x:c r="G15" s="14"/>
      <x:c r="H15" s="14"/>
      <x:c r="I15" s="14"/>
      <x:c r="J15" s="14"/>
      <x:c r="K15" s="14"/>
      <x:c r="L15" s="14"/>
      <x:c r="M15" s="14"/>
      <x:c r="N15" s="14"/>
      <x:c r="O15" s="11"/>
      <x:c r="P15" s="3"/>
      <x:c r="Q15" s="3"/>
    </x:row>
    <x:row r="16" ht="24" customHeight="1">
      <x:c r="A16" s="6"/>
      <x:c r="B16" s="7" t="s">
        <x:v>4</x:v>
      </x:c>
      <x:c r="C16" s="7" t="s">
        <x:v>11</x:v>
      </x:c>
      <x:c r="D16" s="14"/>
      <x:c r="E16" s="14"/>
      <x:c r="F16" s="14"/>
      <x:c r="G16" s="14"/>
      <x:c r="H16" s="14"/>
      <x:c r="I16" s="14"/>
      <x:c r="J16" s="14"/>
      <x:c r="K16" s="14"/>
      <x:c r="L16" s="14"/>
      <x:c r="M16" s="14"/>
      <x:c r="N16" s="14"/>
      <x:c r="O16" s="11"/>
      <x:c r="P16" s="3"/>
      <x:c r="Q16" s="3"/>
    </x:row>
    <x:row r="17" ht="54" customHeight="1">
      <x:c r="A17" s="6"/>
      <x:c r="B17" s="7" t="s">
        <x:v>4</x:v>
      </x:c>
      <x:c r="C17" s="209" t="s">
        <x:v>12</x:v>
      </x:c>
      <x:c r="D17" s="210"/>
      <x:c r="E17" s="210"/>
      <x:c r="F17" s="210"/>
      <x:c r="G17" s="210"/>
      <x:c r="H17" s="210"/>
      <x:c r="I17" s="210"/>
      <x:c r="J17" s="210"/>
      <x:c r="K17" s="210"/>
      <x:c r="L17" s="210"/>
      <x:c r="M17" s="210"/>
      <x:c r="N17" s="210"/>
      <x:c r="O17" s="13"/>
      <x:c r="P17" s="3"/>
      <x:c r="Q17" s="3"/>
    </x:row>
    <x:row r="18" ht="13.5" customHeight="1">
      <x:c r="A18" s="6"/>
      <x:c r="B18" s="7"/>
      <x:c r="C18" s="6"/>
      <x:c r="D18" s="6"/>
      <x:c r="E18" s="6"/>
      <x:c r="F18" s="6"/>
      <x:c r="G18" s="6"/>
      <x:c r="H18" s="6"/>
      <x:c r="I18" s="6"/>
      <x:c r="J18" s="6"/>
      <x:c r="K18" s="6"/>
      <x:c r="L18" s="6"/>
      <x:c r="M18" s="6"/>
      <x:c r="N18" s="6"/>
      <x:c r="O18" s="6"/>
      <x:c r="P18" s="3"/>
      <x:c r="Q18" s="3"/>
    </x:row>
    <x:row r="19" ht="23.25" customHeight="1">
      <x:c r="A19" s="6"/>
      <x:c r="B19" s="201" t="s">
        <x:v>13</x:v>
      </x:c>
      <x:c r="C19" s="202"/>
      <x:c r="D19" s="202"/>
      <x:c r="E19" s="202"/>
      <x:c r="F19" s="202"/>
      <x:c r="G19" s="202"/>
      <x:c r="H19" s="202"/>
      <x:c r="I19" s="202"/>
      <x:c r="J19" s="202"/>
      <x:c r="K19" s="202"/>
      <x:c r="L19" s="202"/>
      <x:c r="M19" s="202"/>
      <x:c r="N19" s="203"/>
      <x:c r="O19" s="6"/>
      <x:c r="P19" s="3"/>
      <x:c r="Q19" s="3"/>
    </x:row>
    <x:row r="20" ht="13.5" customHeight="1">
      <x:c r="A20" s="6"/>
      <x:c r="B20" s="7"/>
      <x:c r="C20" s="6"/>
      <x:c r="D20" s="6"/>
      <x:c r="E20" s="6"/>
      <x:c r="F20" s="6"/>
      <x:c r="G20" s="6"/>
      <x:c r="H20" s="6"/>
      <x:c r="I20" s="6"/>
      <x:c r="J20" s="6"/>
      <x:c r="K20" s="6"/>
      <x:c r="L20" s="6"/>
      <x:c r="M20" s="6"/>
      <x:c r="N20" s="6"/>
      <x:c r="O20" s="6"/>
      <x:c r="P20" s="3"/>
      <x:c r="Q20" s="3"/>
    </x:row>
    <x:row r="21" ht="109.1500015258789" customHeight="1">
      <x:c r="A21" s="6"/>
      <x:c r="B21" s="7" t="s">
        <x:v>4</x:v>
      </x:c>
      <x:c r="C21" s="204" t="s">
        <x:v>14</x:v>
      </x:c>
      <x:c r="D21" s="194"/>
      <x:c r="E21" s="194"/>
      <x:c r="F21" s="194"/>
      <x:c r="G21" s="194"/>
      <x:c r="H21" s="194"/>
      <x:c r="I21" s="194"/>
      <x:c r="J21" s="194"/>
      <x:c r="K21" s="194"/>
      <x:c r="L21" s="194"/>
      <x:c r="M21" s="194"/>
      <x:c r="N21" s="194"/>
      <x:c r="O21" s="6"/>
      <x:c r="P21" s="3"/>
      <x:c r="Q21" s="3"/>
    </x:row>
    <x:row r="22" ht="13.5" customHeight="1">
      <x:c r="A22" s="3"/>
      <x:c r="B22" s="4"/>
      <x:c r="C22" s="205"/>
      <x:c r="D22" s="206"/>
      <x:c r="E22" s="206"/>
      <x:c r="F22" s="206"/>
      <x:c r="G22" s="206"/>
      <x:c r="H22" s="206"/>
      <x:c r="I22" s="206"/>
      <x:c r="J22" s="206"/>
      <x:c r="K22" s="206"/>
      <x:c r="L22" s="206"/>
      <x:c r="M22" s="206"/>
      <x:c r="N22" s="206"/>
      <x:c r="O22" s="3"/>
      <x:c r="P22" s="3"/>
      <x:c r="Q22" s="3"/>
    </x:row>
    <x:row r="23" ht="13.5" customHeight="1">
      <x:c r="A23" s="3"/>
      <x:c r="B23" s="4"/>
      <x:c r="C23" s="205"/>
      <x:c r="D23" s="206"/>
      <x:c r="E23" s="206"/>
      <x:c r="F23" s="206"/>
      <x:c r="G23" s="206"/>
      <x:c r="H23" s="206"/>
      <x:c r="I23" s="206"/>
      <x:c r="J23" s="206"/>
      <x:c r="K23" s="206"/>
      <x:c r="L23" s="206"/>
      <x:c r="M23" s="206"/>
      <x:c r="N23" s="206"/>
      <x:c r="O23" s="3"/>
      <x:c r="P23" s="3"/>
      <x:c r="Q23" s="3"/>
    </x:row>
    <x:row r="24" ht="13.5" customHeight="1">
      <x:c r="A24" s="3"/>
      <x:c r="B24" s="1"/>
      <x:c r="C24" s="3"/>
      <x:c r="D24" s="3"/>
      <x:c r="E24" s="3"/>
      <x:c r="F24" s="3"/>
      <x:c r="G24" s="3"/>
      <x:c r="H24" s="3"/>
      <x:c r="I24" s="3"/>
      <x:c r="J24" s="3"/>
      <x:c r="K24" s="3"/>
      <x:c r="L24" s="3"/>
      <x:c r="M24" s="3"/>
      <x:c r="N24" s="3"/>
      <x:c r="O24" s="3"/>
      <x:c r="P24" s="3"/>
      <x:c r="Q24" s="3"/>
    </x:row>
    <x:row r="25" ht="13.5" customHeight="1">
      <x:c r="A25" s="3"/>
      <x:c r="B25" s="1"/>
      <x:c r="C25" s="3"/>
      <x:c r="D25" s="3"/>
      <x:c r="E25" s="3"/>
      <x:c r="F25" s="3"/>
      <x:c r="G25" s="3"/>
      <x:c r="H25" s="3"/>
      <x:c r="I25" s="3"/>
      <x:c r="J25" s="3"/>
      <x:c r="K25" s="3"/>
      <x:c r="L25" s="3"/>
      <x:c r="M25" s="3"/>
      <x:c r="N25" s="3"/>
      <x:c r="O25" s="3"/>
      <x:c r="P25" s="3"/>
      <x:c r="Q25" s="3"/>
    </x:row>
    <x:row r="26" ht="31.5" customHeight="1">
      <x:c r="A26" s="3"/>
      <x:c r="B26" s="1"/>
      <x:c r="C26" s="3"/>
      <x:c r="D26" s="3"/>
      <x:c r="E26" s="3"/>
      <x:c r="F26" s="3"/>
      <x:c r="G26" s="3"/>
      <x:c r="H26" s="3"/>
      <x:c r="I26" s="3"/>
      <x:c r="J26" s="3"/>
      <x:c r="K26" s="3"/>
      <x:c r="L26" s="3"/>
      <x:c r="M26" s="3"/>
      <x:c r="N26" s="3"/>
      <x:c r="O26" s="3"/>
      <x:c r="P26" s="3"/>
      <x:c r="Q26" s="3"/>
    </x:row>
    <x:row r="27" ht="13.5" customHeight="1">
      <x:c r="A27" s="3"/>
      <x:c r="B27" s="1"/>
      <x:c r="C27" s="3"/>
      <x:c r="D27" s="3"/>
      <x:c r="E27" s="3"/>
      <x:c r="F27" s="3"/>
      <x:c r="G27" s="3"/>
      <x:c r="H27" s="3"/>
      <x:c r="I27" s="3"/>
      <x:c r="J27" s="3"/>
      <x:c r="K27" s="3"/>
      <x:c r="L27" s="3"/>
      <x:c r="M27" s="3"/>
      <x:c r="N27" s="3"/>
      <x:c r="O27" s="3"/>
      <x:c r="P27" s="3"/>
      <x:c r="Q27" s="3"/>
    </x:row>
    <x:row r="28" ht="13.5" customHeight="1">
      <x:c r="A28" s="3"/>
      <x:c r="B28" s="1"/>
      <x:c r="C28" s="3"/>
      <x:c r="D28" s="3"/>
      <x:c r="E28" s="3"/>
      <x:c r="F28" s="3"/>
      <x:c r="G28" s="3"/>
      <x:c r="H28" s="3"/>
      <x:c r="I28" s="3"/>
      <x:c r="J28" s="3"/>
      <x:c r="K28" s="3"/>
      <x:c r="L28" s="3"/>
      <x:c r="M28" s="3"/>
      <x:c r="N28" s="3"/>
      <x:c r="O28" s="3"/>
      <x:c r="P28" s="3"/>
      <x:c r="Q28" s="3"/>
    </x:row>
    <x:row r="29" ht="13.5" customHeight="1">
      <x:c r="A29" s="3"/>
      <x:c r="B29" s="1"/>
      <x:c r="C29" s="3"/>
      <x:c r="D29" s="3"/>
      <x:c r="E29" s="3"/>
      <x:c r="F29" s="3"/>
      <x:c r="G29" s="3"/>
      <x:c r="H29" s="3"/>
      <x:c r="I29" s="3"/>
      <x:c r="J29" s="3"/>
      <x:c r="K29" s="3"/>
      <x:c r="L29" s="3"/>
      <x:c r="M29" s="3"/>
      <x:c r="N29" s="3"/>
      <x:c r="O29" s="3"/>
      <x:c r="P29" s="3"/>
      <x:c r="Q29" s="3"/>
    </x:row>
    <x:row r="30" ht="13.5" customHeight="1">
      <x:c r="A30" s="3"/>
      <x:c r="B30" s="1"/>
      <x:c r="C30" s="3"/>
      <x:c r="D30" s="3"/>
      <x:c r="E30" s="3"/>
      <x:c r="F30" s="3"/>
      <x:c r="G30" s="3"/>
      <x:c r="H30" s="3"/>
      <x:c r="I30" s="3"/>
      <x:c r="J30" s="3"/>
      <x:c r="K30" s="3"/>
      <x:c r="L30" s="3"/>
      <x:c r="M30" s="3"/>
      <x:c r="N30" s="3"/>
      <x:c r="O30" s="3"/>
      <x:c r="P30" s="3"/>
      <x:c r="Q30" s="3"/>
    </x:row>
    <x:row r="31" ht="13.5" customHeight="1">
      <x:c r="A31" s="3"/>
      <x:c r="B31" s="4"/>
      <x:c r="C31" s="207"/>
      <x:c r="D31" s="206"/>
      <x:c r="E31" s="206"/>
      <x:c r="F31" s="206"/>
      <x:c r="G31" s="206"/>
      <x:c r="H31" s="206"/>
      <x:c r="I31" s="206"/>
      <x:c r="J31" s="206"/>
      <x:c r="K31" s="206"/>
      <x:c r="L31" s="206"/>
      <x:c r="M31" s="206"/>
      <x:c r="N31" s="206"/>
      <x:c r="O31" s="3"/>
      <x:c r="P31" s="3"/>
      <x:c r="Q31" s="3"/>
    </x:row>
    <x:row r="32" ht="13.5" customHeight="1">
      <x:c r="A32" s="3"/>
      <x:c r="B32" s="1"/>
      <x:c r="C32" s="3"/>
      <x:c r="D32" s="3"/>
      <x:c r="E32" s="3"/>
      <x:c r="F32" s="3"/>
      <x:c r="G32" s="3"/>
      <x:c r="H32" s="3"/>
      <x:c r="I32" s="3"/>
      <x:c r="J32" s="3"/>
      <x:c r="K32" s="3"/>
      <x:c r="L32" s="3"/>
      <x:c r="M32" s="3"/>
      <x:c r="N32" s="3"/>
      <x:c r="O32" s="3"/>
      <x:c r="P32" s="3"/>
      <x:c r="Q32" s="3"/>
    </x:row>
    <x:row r="33" ht="13.5" customHeight="1">
      <x:c r="A33" s="3"/>
      <x:c r="B33" s="1"/>
      <x:c r="C33" s="3"/>
      <x:c r="D33" s="3"/>
      <x:c r="E33" s="3"/>
      <x:c r="F33" s="3"/>
      <x:c r="G33" s="3"/>
      <x:c r="H33" s="3"/>
      <x:c r="I33" s="3"/>
      <x:c r="J33" s="3"/>
      <x:c r="K33" s="3"/>
      <x:c r="L33" s="3"/>
      <x:c r="M33" s="3"/>
      <x:c r="N33" s="3"/>
      <x:c r="O33" s="3"/>
      <x:c r="P33" s="3"/>
      <x:c r="Q33" s="3"/>
    </x:row>
    <x:row r="34" ht="13.5" customHeight="1">
      <x:c r="A34" s="3"/>
      <x:c r="B34" s="1"/>
      <x:c r="C34" s="3"/>
      <x:c r="D34" s="3"/>
      <x:c r="E34" s="3"/>
      <x:c r="F34" s="3"/>
      <x:c r="G34" s="3"/>
      <x:c r="H34" s="3"/>
      <x:c r="I34" s="3"/>
      <x:c r="J34" s="3"/>
      <x:c r="K34" s="3"/>
      <x:c r="L34" s="3"/>
      <x:c r="M34" s="3"/>
      <x:c r="N34" s="3"/>
      <x:c r="O34" s="3"/>
      <x:c r="P34" s="3"/>
      <x:c r="Q34" s="3"/>
    </x:row>
    <x:row r="35" ht="13.5" customHeight="1">
      <x:c r="A35" s="3"/>
      <x:c r="B35" s="1"/>
      <x:c r="C35" s="3"/>
      <x:c r="D35" s="3"/>
      <x:c r="E35" s="3"/>
      <x:c r="F35" s="3"/>
      <x:c r="G35" s="3"/>
      <x:c r="H35" s="3"/>
      <x:c r="I35" s="3"/>
      <x:c r="J35" s="3"/>
      <x:c r="K35" s="3"/>
      <x:c r="L35" s="3"/>
      <x:c r="M35" s="3"/>
      <x:c r="N35" s="3"/>
      <x:c r="O35" s="3"/>
      <x:c r="P35" s="3"/>
      <x:c r="Q35" s="3"/>
    </x:row>
    <x:row r="36" ht="13.5" customHeight="1">
      <x:c r="A36" s="3"/>
      <x:c r="B36" s="1"/>
      <x:c r="C36" s="3"/>
      <x:c r="D36" s="3"/>
      <x:c r="E36" s="3"/>
      <x:c r="F36" s="3"/>
      <x:c r="G36" s="3"/>
      <x:c r="H36" s="3"/>
      <x:c r="I36" s="3"/>
      <x:c r="J36" s="3"/>
      <x:c r="K36" s="3"/>
      <x:c r="L36" s="3"/>
      <x:c r="M36" s="3"/>
      <x:c r="N36" s="3"/>
      <x:c r="O36" s="3"/>
      <x:c r="P36" s="3"/>
      <x:c r="Q36" s="3"/>
    </x:row>
    <x:row r="37" ht="13.5" customHeight="1">
      <x:c r="A37" s="3"/>
      <x:c r="B37" s="1"/>
      <x:c r="C37" s="3"/>
      <x:c r="D37" s="3"/>
      <x:c r="E37" s="3"/>
      <x:c r="F37" s="3"/>
      <x:c r="G37" s="3"/>
      <x:c r="H37" s="3"/>
      <x:c r="I37" s="3"/>
      <x:c r="J37" s="3"/>
      <x:c r="K37" s="3"/>
      <x:c r="L37" s="3"/>
      <x:c r="M37" s="3"/>
      <x:c r="N37" s="3"/>
      <x:c r="O37" s="3"/>
      <x:c r="P37" s="3"/>
      <x:c r="Q37" s="3"/>
    </x:row>
    <x:row r="38" ht="13.5" customHeight="1">
      <x:c r="A38" s="3"/>
      <x:c r="B38" s="1"/>
      <x:c r="C38" s="3"/>
      <x:c r="D38" s="3"/>
      <x:c r="E38" s="3"/>
      <x:c r="F38" s="3"/>
      <x:c r="G38" s="3"/>
      <x:c r="H38" s="3"/>
      <x:c r="I38" s="3"/>
      <x:c r="J38" s="3"/>
      <x:c r="K38" s="3"/>
      <x:c r="L38" s="3"/>
      <x:c r="M38" s="3"/>
      <x:c r="N38" s="3"/>
      <x:c r="O38" s="3"/>
      <x:c r="P38" s="3"/>
      <x:c r="Q38" s="3"/>
    </x:row>
    <x:row r="39" ht="13.5" customHeight="1">
      <x:c r="A39" s="3"/>
      <x:c r="B39" s="1"/>
      <x:c r="C39" s="3"/>
      <x:c r="D39" s="3"/>
      <x:c r="E39" s="3"/>
      <x:c r="F39" s="3"/>
      <x:c r="G39" s="3"/>
      <x:c r="H39" s="3"/>
      <x:c r="I39" s="3"/>
      <x:c r="J39" s="3"/>
      <x:c r="K39" s="3"/>
      <x:c r="L39" s="3"/>
      <x:c r="M39" s="3"/>
      <x:c r="N39" s="3"/>
      <x:c r="O39" s="3"/>
      <x:c r="P39" s="3"/>
      <x:c r="Q39" s="3"/>
    </x:row>
    <x:row r="40" ht="13.5" customHeight="1">
      <x:c r="A40" s="3"/>
      <x:c r="B40" s="1"/>
      <x:c r="C40" s="3"/>
      <x:c r="D40" s="3"/>
      <x:c r="E40" s="3"/>
      <x:c r="F40" s="3"/>
      <x:c r="G40" s="3"/>
      <x:c r="H40" s="3"/>
      <x:c r="I40" s="3"/>
      <x:c r="J40" s="3"/>
      <x:c r="K40" s="3"/>
      <x:c r="L40" s="3"/>
      <x:c r="M40" s="3"/>
      <x:c r="N40" s="3"/>
      <x:c r="O40" s="3"/>
      <x:c r="P40" s="3"/>
      <x:c r="Q40" s="3"/>
    </x:row>
    <x:row r="41" ht="13.5" customHeight="1">
      <x:c r="A41" s="3"/>
      <x:c r="B41" s="4"/>
      <x:c r="C41" s="207"/>
      <x:c r="D41" s="206"/>
      <x:c r="E41" s="206"/>
      <x:c r="F41" s="206"/>
      <x:c r="G41" s="206"/>
      <x:c r="H41" s="206"/>
      <x:c r="I41" s="206"/>
      <x:c r="J41" s="206"/>
      <x:c r="K41" s="206"/>
      <x:c r="L41" s="206"/>
      <x:c r="M41" s="206"/>
      <x:c r="N41" s="206"/>
      <x:c r="O41" s="3"/>
      <x:c r="P41" s="3"/>
      <x:c r="Q41" s="3"/>
    </x:row>
    <x:row r="42" ht="48.75" customHeight="1">
      <x:c r="A42" s="3"/>
      <x:c r="B42" s="1"/>
      <x:c r="C42" s="3"/>
      <x:c r="D42" s="3"/>
      <x:c r="E42" s="3"/>
      <x:c r="F42" s="3"/>
      <x:c r="G42" s="3"/>
      <x:c r="H42" s="3"/>
      <x:c r="I42" s="3"/>
      <x:c r="J42" s="3"/>
      <x:c r="K42" s="3"/>
      <x:c r="L42" s="3"/>
      <x:c r="M42" s="3"/>
      <x:c r="N42" s="3"/>
      <x:c r="O42" s="3"/>
      <x:c r="P42" s="3"/>
      <x:c r="Q42" s="3"/>
    </x:row>
    <x:row r="43" ht="13.5" customHeight="1">
      <x:c r="A43" s="3"/>
      <x:c r="B43" s="1"/>
      <x:c r="C43" s="3"/>
      <x:c r="D43" s="3"/>
      <x:c r="E43" s="3"/>
      <x:c r="F43" s="3"/>
      <x:c r="G43" s="3"/>
      <x:c r="H43" s="3"/>
      <x:c r="I43" s="3"/>
      <x:c r="J43" s="3"/>
      <x:c r="K43" s="3"/>
      <x:c r="L43" s="3"/>
      <x:c r="M43" s="3"/>
      <x:c r="N43" s="3"/>
      <x:c r="O43" s="3"/>
      <x:c r="P43" s="3"/>
      <x:c r="Q43" s="3"/>
    </x:row>
    <x:row r="44" ht="13.5" customHeight="1">
      <x:c r="A44" s="3"/>
      <x:c r="B44" s="1"/>
      <x:c r="C44" s="3"/>
      <x:c r="D44" s="3"/>
      <x:c r="E44" s="3"/>
      <x:c r="F44" s="3"/>
      <x:c r="G44" s="3"/>
      <x:c r="H44" s="3"/>
      <x:c r="I44" s="3"/>
      <x:c r="J44" s="3"/>
      <x:c r="K44" s="3"/>
      <x:c r="L44" s="3"/>
      <x:c r="M44" s="3"/>
      <x:c r="N44" s="3"/>
      <x:c r="O44" s="3"/>
      <x:c r="P44" s="3"/>
      <x:c r="Q44" s="3"/>
    </x:row>
    <x:row r="45" ht="13.5" customHeight="1">
      <x:c r="A45" s="3"/>
      <x:c r="B45" s="1"/>
      <x:c r="C45" s="3"/>
      <x:c r="D45" s="3"/>
      <x:c r="E45" s="3"/>
      <x:c r="F45" s="3"/>
      <x:c r="G45" s="3"/>
      <x:c r="H45" s="3"/>
      <x:c r="I45" s="3"/>
      <x:c r="J45" s="3"/>
      <x:c r="K45" s="3"/>
      <x:c r="L45" s="3"/>
      <x:c r="M45" s="3"/>
      <x:c r="N45" s="3"/>
      <x:c r="O45" s="3"/>
      <x:c r="P45" s="3"/>
      <x:c r="Q45" s="3"/>
    </x:row>
    <x:row r="46" ht="13.5" customHeight="1">
      <x:c r="A46" s="3"/>
      <x:c r="B46" s="1"/>
      <x:c r="C46" s="3"/>
      <x:c r="D46" s="3"/>
      <x:c r="E46" s="3"/>
      <x:c r="F46" s="3"/>
      <x:c r="G46" s="3"/>
      <x:c r="H46" s="3"/>
      <x:c r="I46" s="3"/>
      <x:c r="J46" s="3"/>
      <x:c r="K46" s="3"/>
      <x:c r="L46" s="3"/>
      <x:c r="M46" s="3"/>
      <x:c r="N46" s="3"/>
      <x:c r="O46" s="3"/>
      <x:c r="P46" s="3"/>
      <x:c r="Q46" s="3"/>
    </x:row>
    <x:row r="47" ht="13.5" customHeight="1">
      <x:c r="A47" s="3"/>
      <x:c r="B47" s="1"/>
      <x:c r="C47" s="3"/>
      <x:c r="D47" s="3"/>
      <x:c r="E47" s="3"/>
      <x:c r="F47" s="3"/>
      <x:c r="G47" s="3"/>
      <x:c r="H47" s="3"/>
      <x:c r="I47" s="3"/>
      <x:c r="J47" s="3"/>
      <x:c r="K47" s="3"/>
      <x:c r="L47" s="3"/>
      <x:c r="M47" s="3"/>
      <x:c r="N47" s="3"/>
      <x:c r="O47" s="3"/>
      <x:c r="P47" s="3"/>
      <x:c r="Q47" s="3"/>
    </x:row>
    <x:row r="48" ht="13.5" customHeight="1">
      <x:c r="A48" s="3"/>
      <x:c r="B48" s="1"/>
      <x:c r="C48" s="3"/>
      <x:c r="D48" s="3"/>
      <x:c r="E48" s="3"/>
      <x:c r="F48" s="3"/>
      <x:c r="G48" s="3"/>
      <x:c r="H48" s="3"/>
      <x:c r="I48" s="3"/>
      <x:c r="J48" s="3"/>
      <x:c r="K48" s="3"/>
      <x:c r="L48" s="3"/>
      <x:c r="M48" s="3"/>
      <x:c r="N48" s="3"/>
      <x:c r="O48" s="3"/>
      <x:c r="P48" s="3"/>
      <x:c r="Q48" s="3"/>
    </x:row>
    <x:row r="49" ht="13.5" customHeight="1">
      <x:c r="A49" s="3"/>
      <x:c r="B49" s="1"/>
      <x:c r="C49" s="3"/>
      <x:c r="D49" s="3"/>
      <x:c r="E49" s="3"/>
      <x:c r="F49" s="3"/>
      <x:c r="G49" s="3"/>
      <x:c r="H49" s="3"/>
      <x:c r="I49" s="3"/>
      <x:c r="J49" s="3"/>
      <x:c r="K49" s="3"/>
      <x:c r="L49" s="3"/>
      <x:c r="M49" s="3"/>
      <x:c r="N49" s="3"/>
      <x:c r="O49" s="3"/>
      <x:c r="P49" s="3"/>
      <x:c r="Q49" s="3"/>
    </x:row>
    <x:row r="50" ht="13.5" customHeight="1">
      <x:c r="A50" s="3"/>
      <x:c r="B50" s="1"/>
      <x:c r="C50" s="3"/>
      <x:c r="D50" s="3"/>
      <x:c r="E50" s="3"/>
      <x:c r="F50" s="3"/>
      <x:c r="G50" s="3"/>
      <x:c r="H50" s="3"/>
      <x:c r="I50" s="3"/>
      <x:c r="J50" s="3"/>
      <x:c r="K50" s="3"/>
      <x:c r="L50" s="3"/>
      <x:c r="M50" s="3"/>
      <x:c r="N50" s="3"/>
      <x:c r="O50" s="3"/>
      <x:c r="P50" s="3"/>
      <x:c r="Q50" s="3"/>
    </x:row>
    <x:row r="51" ht="13.5" customHeight="1">
      <x:c r="A51" s="3"/>
      <x:c r="B51" s="1"/>
      <x:c r="C51" s="3"/>
      <x:c r="D51" s="3"/>
      <x:c r="E51" s="3"/>
      <x:c r="F51" s="3"/>
      <x:c r="G51" s="3"/>
      <x:c r="H51" s="3"/>
      <x:c r="I51" s="3"/>
      <x:c r="J51" s="3"/>
      <x:c r="K51" s="3"/>
      <x:c r="L51" s="3"/>
      <x:c r="M51" s="3"/>
      <x:c r="N51" s="3"/>
      <x:c r="O51" s="3"/>
      <x:c r="P51" s="3"/>
      <x:c r="Q51" s="3"/>
    </x:row>
    <x:row r="52" ht="13.5" customHeight="1">
      <x:c r="A52" s="3"/>
      <x:c r="B52" s="1"/>
      <x:c r="C52" s="3"/>
      <x:c r="D52" s="3"/>
      <x:c r="E52" s="3"/>
      <x:c r="F52" s="3"/>
      <x:c r="G52" s="3"/>
      <x:c r="H52" s="3"/>
      <x:c r="I52" s="3"/>
      <x:c r="J52" s="3"/>
      <x:c r="K52" s="3"/>
      <x:c r="L52" s="3"/>
      <x:c r="M52" s="3"/>
      <x:c r="N52" s="3"/>
      <x:c r="O52" s="3"/>
      <x:c r="P52" s="3"/>
      <x:c r="Q52" s="3"/>
    </x:row>
    <x:row r="53" ht="13.5" customHeight="1">
      <x:c r="A53" s="3"/>
      <x:c r="B53" s="1"/>
      <x:c r="C53" s="3"/>
      <x:c r="D53" s="3"/>
      <x:c r="E53" s="3"/>
      <x:c r="F53" s="3"/>
      <x:c r="G53" s="3"/>
      <x:c r="H53" s="3"/>
      <x:c r="I53" s="3"/>
      <x:c r="J53" s="3"/>
      <x:c r="K53" s="3"/>
      <x:c r="L53" s="3"/>
      <x:c r="M53" s="3"/>
      <x:c r="N53" s="3"/>
      <x:c r="O53" s="3"/>
      <x:c r="P53" s="3"/>
      <x:c r="Q53" s="3"/>
    </x:row>
    <x:row r="54" ht="13.5" customHeight="1">
      <x:c r="A54" s="3"/>
      <x:c r="B54" s="1"/>
      <x:c r="C54" s="3"/>
      <x:c r="D54" s="3"/>
      <x:c r="E54" s="3"/>
      <x:c r="F54" s="3"/>
      <x:c r="G54" s="3"/>
      <x:c r="H54" s="3"/>
      <x:c r="I54" s="3"/>
      <x:c r="J54" s="3"/>
      <x:c r="K54" s="3"/>
      <x:c r="L54" s="3"/>
      <x:c r="M54" s="3"/>
      <x:c r="N54" s="3"/>
      <x:c r="O54" s="3"/>
      <x:c r="P54" s="3"/>
      <x:c r="Q54" s="3"/>
    </x:row>
    <x:row r="55" ht="13.5" customHeight="1">
      <x:c r="A55" s="3"/>
      <x:c r="B55" s="1"/>
      <x:c r="C55" s="3"/>
      <x:c r="D55" s="3"/>
      <x:c r="E55" s="3"/>
      <x:c r="F55" s="3"/>
      <x:c r="G55" s="3"/>
      <x:c r="H55" s="3"/>
      <x:c r="I55" s="3"/>
      <x:c r="J55" s="3"/>
      <x:c r="K55" s="3"/>
      <x:c r="L55" s="3"/>
      <x:c r="M55" s="3"/>
      <x:c r="N55" s="3"/>
      <x:c r="O55" s="3"/>
      <x:c r="P55" s="3"/>
      <x:c r="Q55" s="3"/>
    </x:row>
    <x:row r="56" ht="13.5" customHeight="1">
      <x:c r="A56" s="3"/>
      <x:c r="B56" s="1"/>
      <x:c r="C56" s="3"/>
      <x:c r="D56" s="3"/>
      <x:c r="E56" s="3"/>
      <x:c r="F56" s="3"/>
      <x:c r="G56" s="3"/>
      <x:c r="H56" s="3"/>
      <x:c r="I56" s="3"/>
      <x:c r="J56" s="3"/>
      <x:c r="K56" s="3"/>
      <x:c r="L56" s="3"/>
      <x:c r="M56" s="3"/>
      <x:c r="N56" s="3"/>
      <x:c r="O56" s="3"/>
      <x:c r="P56" s="3"/>
      <x:c r="Q56" s="3"/>
    </x:row>
    <x:row r="57" ht="13.5" customHeight="1">
      <x:c r="A57" s="3"/>
      <x:c r="B57" s="1"/>
      <x:c r="C57" s="3"/>
      <x:c r="D57" s="3"/>
      <x:c r="E57" s="3"/>
      <x:c r="F57" s="3"/>
      <x:c r="G57" s="3"/>
      <x:c r="H57" s="3"/>
      <x:c r="I57" s="3"/>
      <x:c r="J57" s="3"/>
      <x:c r="K57" s="3"/>
      <x:c r="L57" s="3"/>
      <x:c r="M57" s="3"/>
      <x:c r="N57" s="3"/>
      <x:c r="O57" s="3"/>
      <x:c r="P57" s="3"/>
      <x:c r="Q57" s="3"/>
    </x:row>
    <x:row r="58" ht="13.5" customHeight="1">
      <x:c r="A58" s="3"/>
      <x:c r="B58" s="1"/>
      <x:c r="C58" s="3"/>
      <x:c r="D58" s="3"/>
      <x:c r="E58" s="3"/>
      <x:c r="F58" s="3"/>
      <x:c r="G58" s="3"/>
      <x:c r="H58" s="3"/>
      <x:c r="I58" s="3"/>
      <x:c r="J58" s="3"/>
      <x:c r="K58" s="3"/>
      <x:c r="L58" s="3"/>
      <x:c r="M58" s="3"/>
      <x:c r="N58" s="3"/>
      <x:c r="O58" s="3"/>
      <x:c r="P58" s="3"/>
      <x:c r="Q58" s="3"/>
    </x:row>
    <x:row r="59" ht="13.5" customHeight="1">
      <x:c r="A59" s="3"/>
      <x:c r="B59" s="1"/>
      <x:c r="C59" s="3"/>
      <x:c r="D59" s="3"/>
      <x:c r="E59" s="3"/>
      <x:c r="F59" s="3"/>
      <x:c r="G59" s="3"/>
      <x:c r="H59" s="3"/>
      <x:c r="I59" s="3"/>
      <x:c r="J59" s="3"/>
      <x:c r="K59" s="3"/>
      <x:c r="L59" s="3"/>
      <x:c r="M59" s="3"/>
      <x:c r="N59" s="3"/>
      <x:c r="O59" s="3"/>
      <x:c r="P59" s="3"/>
      <x:c r="Q59" s="3"/>
    </x:row>
    <x:row r="60" ht="13.5" customHeight="1">
      <x:c r="A60" s="3"/>
      <x:c r="B60" s="1"/>
      <x:c r="C60" s="3"/>
      <x:c r="D60" s="3"/>
      <x:c r="E60" s="3"/>
      <x:c r="F60" s="3"/>
      <x:c r="G60" s="3"/>
      <x:c r="H60" s="3"/>
      <x:c r="I60" s="3"/>
      <x:c r="J60" s="3"/>
      <x:c r="K60" s="3"/>
      <x:c r="L60" s="3"/>
      <x:c r="M60" s="3"/>
      <x:c r="N60" s="3"/>
      <x:c r="O60" s="3"/>
      <x:c r="P60" s="3"/>
      <x:c r="Q60" s="3"/>
    </x:row>
    <x:row r="61" ht="13.5" customHeight="1">
      <x:c r="A61" s="3"/>
      <x:c r="B61" s="1"/>
      <x:c r="C61" s="3"/>
      <x:c r="D61" s="3"/>
      <x:c r="E61" s="3"/>
      <x:c r="F61" s="3"/>
      <x:c r="G61" s="3"/>
      <x:c r="H61" s="3"/>
      <x:c r="I61" s="3"/>
      <x:c r="J61" s="3"/>
      <x:c r="K61" s="3"/>
      <x:c r="L61" s="3"/>
      <x:c r="M61" s="3"/>
      <x:c r="N61" s="3"/>
      <x:c r="O61" s="3"/>
      <x:c r="P61" s="3"/>
      <x:c r="Q61" s="3"/>
    </x:row>
    <x:row r="62" ht="13.5" customHeight="1">
      <x:c r="A62" s="3"/>
      <x:c r="B62" s="1"/>
      <x:c r="C62" s="3"/>
      <x:c r="D62" s="3"/>
      <x:c r="E62" s="3"/>
      <x:c r="F62" s="3"/>
      <x:c r="G62" s="3"/>
      <x:c r="H62" s="3"/>
      <x:c r="I62" s="3"/>
      <x:c r="J62" s="3"/>
      <x:c r="K62" s="3"/>
      <x:c r="L62" s="3"/>
      <x:c r="M62" s="3"/>
      <x:c r="N62" s="3"/>
      <x:c r="O62" s="3"/>
      <x:c r="P62" s="3"/>
      <x:c r="Q62" s="3"/>
    </x:row>
    <x:row r="63" ht="13.5" customHeight="1">
      <x:c r="A63" s="3"/>
      <x:c r="B63" s="1"/>
      <x:c r="C63" s="3"/>
      <x:c r="D63" s="3"/>
      <x:c r="E63" s="3"/>
      <x:c r="F63" s="3"/>
      <x:c r="G63" s="3"/>
      <x:c r="H63" s="3"/>
      <x:c r="I63" s="3"/>
      <x:c r="J63" s="3"/>
      <x:c r="K63" s="3"/>
      <x:c r="L63" s="3"/>
      <x:c r="M63" s="3"/>
      <x:c r="N63" s="3"/>
      <x:c r="O63" s="3"/>
      <x:c r="P63" s="3"/>
      <x:c r="Q63" s="3"/>
    </x:row>
    <x:row r="64" ht="13.5" customHeight="1">
      <x:c r="A64" s="3"/>
      <x:c r="B64" s="1"/>
      <x:c r="C64" s="3"/>
      <x:c r="D64" s="3"/>
      <x:c r="E64" s="3"/>
      <x:c r="F64" s="3"/>
      <x:c r="G64" s="3"/>
      <x:c r="H64" s="3"/>
      <x:c r="I64" s="3"/>
      <x:c r="J64" s="3"/>
      <x:c r="K64" s="3"/>
      <x:c r="L64" s="3"/>
      <x:c r="M64" s="3"/>
      <x:c r="N64" s="3"/>
      <x:c r="O64" s="3"/>
      <x:c r="P64" s="3"/>
      <x:c r="Q64" s="3"/>
    </x:row>
    <x:row r="65" ht="13.5" customHeight="1">
      <x:c r="A65" s="3"/>
      <x:c r="B65" s="1"/>
      <x:c r="C65" s="3"/>
      <x:c r="D65" s="3"/>
      <x:c r="E65" s="3"/>
      <x:c r="F65" s="3"/>
      <x:c r="G65" s="3"/>
      <x:c r="H65" s="3"/>
      <x:c r="I65" s="3"/>
      <x:c r="J65" s="3"/>
      <x:c r="K65" s="3"/>
      <x:c r="L65" s="3"/>
      <x:c r="M65" s="3"/>
      <x:c r="N65" s="3"/>
      <x:c r="O65" s="3"/>
      <x:c r="P65" s="3"/>
      <x:c r="Q65" s="3"/>
    </x:row>
    <x:row r="66" ht="13.5" customHeight="1">
      <x:c r="A66" s="3"/>
      <x:c r="B66" s="1"/>
      <x:c r="C66" s="3"/>
      <x:c r="D66" s="3"/>
      <x:c r="E66" s="3"/>
      <x:c r="F66" s="3"/>
      <x:c r="G66" s="3"/>
      <x:c r="H66" s="3"/>
      <x:c r="I66" s="3"/>
      <x:c r="J66" s="3"/>
      <x:c r="K66" s="3"/>
      <x:c r="L66" s="3"/>
      <x:c r="M66" s="3"/>
      <x:c r="N66" s="3"/>
      <x:c r="O66" s="3"/>
      <x:c r="P66" s="3"/>
      <x:c r="Q66" s="3"/>
    </x:row>
    <x:row r="67" ht="13.5" customHeight="1">
      <x:c r="A67" s="3"/>
      <x:c r="B67" s="1"/>
      <x:c r="C67" s="3"/>
      <x:c r="D67" s="3"/>
      <x:c r="E67" s="3"/>
      <x:c r="F67" s="3"/>
      <x:c r="G67" s="3"/>
      <x:c r="H67" s="3"/>
      <x:c r="I67" s="3"/>
      <x:c r="J67" s="3"/>
      <x:c r="K67" s="3"/>
      <x:c r="L67" s="3"/>
      <x:c r="M67" s="3"/>
      <x:c r="N67" s="3"/>
      <x:c r="O67" s="3"/>
      <x:c r="P67" s="3"/>
      <x:c r="Q67" s="3"/>
    </x:row>
    <x:row r="68" ht="13.5" customHeight="1">
      <x:c r="A68" s="3"/>
      <x:c r="B68" s="1"/>
      <x:c r="C68" s="3"/>
      <x:c r="D68" s="3"/>
      <x:c r="E68" s="3"/>
      <x:c r="F68" s="3"/>
      <x:c r="G68" s="3"/>
      <x:c r="H68" s="3"/>
      <x:c r="I68" s="3"/>
      <x:c r="J68" s="3"/>
      <x:c r="K68" s="3"/>
      <x:c r="L68" s="3"/>
      <x:c r="M68" s="3"/>
      <x:c r="N68" s="3"/>
      <x:c r="O68" s="3"/>
      <x:c r="P68" s="3"/>
      <x:c r="Q68" s="3"/>
    </x:row>
    <x:row r="69" ht="13.5" customHeight="1">
      <x:c r="A69" s="3"/>
      <x:c r="B69" s="1"/>
      <x:c r="C69" s="3"/>
      <x:c r="D69" s="3"/>
      <x:c r="E69" s="3"/>
      <x:c r="F69" s="3"/>
      <x:c r="G69" s="3"/>
      <x:c r="H69" s="3"/>
      <x:c r="I69" s="3"/>
      <x:c r="J69" s="3"/>
      <x:c r="K69" s="3"/>
      <x:c r="L69" s="3"/>
      <x:c r="M69" s="3"/>
      <x:c r="N69" s="3"/>
      <x:c r="O69" s="3"/>
      <x:c r="P69" s="3"/>
      <x:c r="Q69" s="3"/>
    </x:row>
    <x:row r="70" ht="13.5" customHeight="1">
      <x:c r="A70" s="3"/>
      <x:c r="B70" s="1"/>
      <x:c r="C70" s="3"/>
      <x:c r="D70" s="3"/>
      <x:c r="E70" s="3"/>
      <x:c r="F70" s="3"/>
      <x:c r="G70" s="3"/>
      <x:c r="H70" s="3"/>
      <x:c r="I70" s="3"/>
      <x:c r="J70" s="3"/>
      <x:c r="K70" s="3"/>
      <x:c r="L70" s="3"/>
      <x:c r="M70" s="3"/>
      <x:c r="N70" s="3"/>
      <x:c r="O70" s="3"/>
      <x:c r="P70" s="3"/>
      <x:c r="Q70" s="3"/>
    </x:row>
    <x:row r="71" ht="13.5" customHeight="1">
      <x:c r="A71" s="3"/>
      <x:c r="B71" s="1"/>
      <x:c r="C71" s="3"/>
      <x:c r="D71" s="3"/>
      <x:c r="E71" s="3"/>
      <x:c r="F71" s="3"/>
      <x:c r="G71" s="3"/>
      <x:c r="H71" s="3"/>
      <x:c r="I71" s="3"/>
      <x:c r="J71" s="3"/>
      <x:c r="K71" s="3"/>
      <x:c r="L71" s="3"/>
      <x:c r="M71" s="3"/>
      <x:c r="N71" s="3"/>
      <x:c r="O71" s="3"/>
      <x:c r="P71" s="3"/>
      <x:c r="Q71" s="3"/>
    </x:row>
    <x:row r="72" ht="13.5" customHeight="1">
      <x:c r="A72" s="3"/>
      <x:c r="B72" s="1"/>
      <x:c r="C72" s="3"/>
      <x:c r="D72" s="3"/>
      <x:c r="E72" s="3"/>
      <x:c r="F72" s="3"/>
      <x:c r="G72" s="3"/>
      <x:c r="H72" s="3"/>
      <x:c r="I72" s="3"/>
      <x:c r="J72" s="3"/>
      <x:c r="K72" s="3"/>
      <x:c r="L72" s="3"/>
      <x:c r="M72" s="3"/>
      <x:c r="N72" s="3"/>
      <x:c r="O72" s="3"/>
      <x:c r="P72" s="3"/>
      <x:c r="Q72" s="3"/>
    </x:row>
    <x:row r="73" ht="13.5" customHeight="1">
      <x:c r="A73" s="3"/>
      <x:c r="B73" s="1"/>
      <x:c r="C73" s="3"/>
      <x:c r="D73" s="3"/>
      <x:c r="E73" s="3"/>
      <x:c r="F73" s="3"/>
      <x:c r="G73" s="3"/>
      <x:c r="H73" s="3"/>
      <x:c r="I73" s="3"/>
      <x:c r="J73" s="3"/>
      <x:c r="K73" s="3"/>
      <x:c r="L73" s="3"/>
      <x:c r="M73" s="3"/>
      <x:c r="N73" s="3"/>
      <x:c r="O73" s="3"/>
      <x:c r="P73" s="3"/>
      <x:c r="Q73" s="3"/>
    </x:row>
    <x:row r="74" ht="13.5" customHeight="1">
      <x:c r="A74" s="3"/>
      <x:c r="B74" s="1"/>
      <x:c r="C74" s="3"/>
      <x:c r="D74" s="3"/>
      <x:c r="E74" s="3"/>
      <x:c r="F74" s="3"/>
      <x:c r="G74" s="3"/>
      <x:c r="H74" s="3"/>
      <x:c r="I74" s="3"/>
      <x:c r="J74" s="3"/>
      <x:c r="K74" s="3"/>
      <x:c r="L74" s="3"/>
      <x:c r="M74" s="3"/>
      <x:c r="N74" s="3"/>
      <x:c r="O74" s="3"/>
      <x:c r="P74" s="3"/>
      <x:c r="Q74" s="3"/>
    </x:row>
    <x:row r="75" ht="13.5" customHeight="1">
      <x:c r="A75" s="3"/>
      <x:c r="B75" s="1"/>
      <x:c r="C75" s="3"/>
      <x:c r="D75" s="3"/>
      <x:c r="E75" s="3"/>
      <x:c r="F75" s="3"/>
      <x:c r="G75" s="3"/>
      <x:c r="H75" s="3"/>
      <x:c r="I75" s="3"/>
      <x:c r="J75" s="3"/>
      <x:c r="K75" s="3"/>
      <x:c r="L75" s="3"/>
      <x:c r="M75" s="3"/>
      <x:c r="N75" s="3"/>
      <x:c r="O75" s="3"/>
      <x:c r="P75" s="3"/>
      <x:c r="Q75" s="3"/>
    </x:row>
    <x:row r="76" ht="13.5" customHeight="1">
      <x:c r="A76" s="3"/>
      <x:c r="B76" s="1"/>
      <x:c r="C76" s="3"/>
      <x:c r="D76" s="3"/>
      <x:c r="E76" s="3"/>
      <x:c r="F76" s="3"/>
      <x:c r="G76" s="3"/>
      <x:c r="H76" s="3"/>
      <x:c r="I76" s="3"/>
      <x:c r="J76" s="3"/>
      <x:c r="K76" s="3"/>
      <x:c r="L76" s="3"/>
      <x:c r="M76" s="3"/>
      <x:c r="N76" s="3"/>
      <x:c r="O76" s="3"/>
      <x:c r="P76" s="3"/>
      <x:c r="Q76" s="3"/>
    </x:row>
    <x:row r="77" ht="13.5" customHeight="1">
      <x:c r="A77" s="3"/>
      <x:c r="B77" s="1"/>
      <x:c r="C77" s="3"/>
      <x:c r="D77" s="3"/>
      <x:c r="E77" s="3"/>
      <x:c r="F77" s="3"/>
      <x:c r="G77" s="3"/>
      <x:c r="H77" s="3"/>
      <x:c r="I77" s="3"/>
      <x:c r="J77" s="3"/>
      <x:c r="K77" s="3"/>
      <x:c r="L77" s="3"/>
      <x:c r="M77" s="3"/>
      <x:c r="N77" s="3"/>
      <x:c r="O77" s="3"/>
      <x:c r="P77" s="3"/>
      <x:c r="Q77" s="3"/>
    </x:row>
    <x:row r="78" ht="13.5" customHeight="1">
      <x:c r="A78" s="3"/>
      <x:c r="B78" s="1"/>
      <x:c r="C78" s="3"/>
      <x:c r="D78" s="3"/>
      <x:c r="E78" s="3"/>
      <x:c r="F78" s="3"/>
      <x:c r="G78" s="3"/>
      <x:c r="H78" s="3"/>
      <x:c r="I78" s="3"/>
      <x:c r="J78" s="3"/>
      <x:c r="K78" s="3"/>
      <x:c r="L78" s="3"/>
      <x:c r="M78" s="3"/>
      <x:c r="N78" s="3"/>
      <x:c r="O78" s="3"/>
      <x:c r="P78" s="3"/>
      <x:c r="Q78" s="3"/>
    </x:row>
    <x:row r="79" ht="13.5" customHeight="1">
      <x:c r="A79" s="3"/>
      <x:c r="B79" s="1"/>
      <x:c r="C79" s="3"/>
      <x:c r="D79" s="3"/>
      <x:c r="E79" s="3"/>
      <x:c r="F79" s="3"/>
      <x:c r="G79" s="3"/>
      <x:c r="H79" s="3"/>
      <x:c r="I79" s="3"/>
      <x:c r="J79" s="3"/>
      <x:c r="K79" s="3"/>
      <x:c r="L79" s="3"/>
      <x:c r="M79" s="3"/>
      <x:c r="N79" s="3"/>
      <x:c r="O79" s="3"/>
      <x:c r="P79" s="3"/>
      <x:c r="Q79" s="3"/>
    </x:row>
    <x:row r="80" ht="13.5" customHeight="1">
      <x:c r="A80" s="3"/>
      <x:c r="B80" s="1"/>
      <x:c r="C80" s="3"/>
      <x:c r="D80" s="3"/>
      <x:c r="E80" s="3"/>
      <x:c r="F80" s="3"/>
      <x:c r="G80" s="3"/>
      <x:c r="H80" s="3"/>
      <x:c r="I80" s="3"/>
      <x:c r="J80" s="3"/>
      <x:c r="K80" s="3"/>
      <x:c r="L80" s="3"/>
      <x:c r="M80" s="3"/>
      <x:c r="N80" s="3"/>
      <x:c r="O80" s="3"/>
      <x:c r="P80" s="3"/>
      <x:c r="Q80" s="3"/>
    </x:row>
    <x:row r="81" ht="13.5" customHeight="1">
      <x:c r="A81" s="3"/>
      <x:c r="B81" s="1"/>
      <x:c r="C81" s="3"/>
      <x:c r="D81" s="3"/>
      <x:c r="E81" s="3"/>
      <x:c r="F81" s="3"/>
      <x:c r="G81" s="3"/>
      <x:c r="H81" s="3"/>
      <x:c r="I81" s="3"/>
      <x:c r="J81" s="3"/>
      <x:c r="K81" s="3"/>
      <x:c r="L81" s="3"/>
      <x:c r="M81" s="3"/>
      <x:c r="N81" s="3"/>
      <x:c r="O81" s="3"/>
      <x:c r="P81" s="3"/>
      <x:c r="Q81" s="3"/>
    </x:row>
    <x:row r="82" ht="13.5" customHeight="1">
      <x:c r="A82" s="3"/>
      <x:c r="B82" s="1"/>
      <x:c r="C82" s="3"/>
      <x:c r="D82" s="3"/>
      <x:c r="E82" s="3"/>
      <x:c r="F82" s="3"/>
      <x:c r="G82" s="3"/>
      <x:c r="H82" s="3"/>
      <x:c r="I82" s="3"/>
      <x:c r="J82" s="3"/>
      <x:c r="K82" s="3"/>
      <x:c r="L82" s="3"/>
      <x:c r="M82" s="3"/>
      <x:c r="N82" s="3"/>
      <x:c r="O82" s="3"/>
      <x:c r="P82" s="3"/>
      <x:c r="Q82" s="3"/>
    </x:row>
    <x:row r="83" ht="13.5" customHeight="1">
      <x:c r="A83" s="3"/>
      <x:c r="B83" s="1"/>
      <x:c r="C83" s="3"/>
      <x:c r="D83" s="3"/>
      <x:c r="E83" s="3"/>
      <x:c r="F83" s="3"/>
      <x:c r="G83" s="3"/>
      <x:c r="H83" s="3"/>
      <x:c r="I83" s="3"/>
      <x:c r="J83" s="3"/>
      <x:c r="K83" s="3"/>
      <x:c r="L83" s="3"/>
      <x:c r="M83" s="3"/>
      <x:c r="N83" s="3"/>
      <x:c r="O83" s="3"/>
      <x:c r="P83" s="3"/>
      <x:c r="Q83" s="3"/>
    </x:row>
    <x:row r="84" ht="13.5" customHeight="1">
      <x:c r="A84" s="3"/>
      <x:c r="B84" s="1"/>
      <x:c r="C84" s="3"/>
      <x:c r="D84" s="3"/>
      <x:c r="E84" s="3"/>
      <x:c r="F84" s="3"/>
      <x:c r="G84" s="3"/>
      <x:c r="H84" s="3"/>
      <x:c r="I84" s="3"/>
      <x:c r="J84" s="3"/>
      <x:c r="K84" s="3"/>
      <x:c r="L84" s="3"/>
      <x:c r="M84" s="3"/>
      <x:c r="N84" s="3"/>
      <x:c r="O84" s="3"/>
      <x:c r="P84" s="3"/>
      <x:c r="Q84" s="3"/>
    </x:row>
    <x:row r="85" ht="13.5" customHeight="1">
      <x:c r="A85" s="3"/>
      <x:c r="B85" s="1"/>
      <x:c r="C85" s="3"/>
      <x:c r="D85" s="3"/>
      <x:c r="E85" s="3"/>
      <x:c r="F85" s="3"/>
      <x:c r="G85" s="3"/>
      <x:c r="H85" s="3"/>
      <x:c r="I85" s="3"/>
      <x:c r="J85" s="3"/>
      <x:c r="K85" s="3"/>
      <x:c r="L85" s="3"/>
      <x:c r="M85" s="3"/>
      <x:c r="N85" s="3"/>
      <x:c r="O85" s="3"/>
      <x:c r="P85" s="3"/>
      <x:c r="Q85" s="3"/>
    </x:row>
    <x:row r="86" ht="13.5" customHeight="1">
      <x:c r="A86" s="3"/>
      <x:c r="B86" s="1"/>
      <x:c r="C86" s="3"/>
      <x:c r="D86" s="3"/>
      <x:c r="E86" s="3"/>
      <x:c r="F86" s="3"/>
      <x:c r="G86" s="3"/>
      <x:c r="H86" s="3"/>
      <x:c r="I86" s="3"/>
      <x:c r="J86" s="3"/>
      <x:c r="K86" s="3"/>
      <x:c r="L86" s="3"/>
      <x:c r="M86" s="3"/>
      <x:c r="N86" s="3"/>
      <x:c r="O86" s="3"/>
      <x:c r="P86" s="3"/>
      <x:c r="Q86" s="3"/>
    </x:row>
    <x:row r="87" ht="13.5" customHeight="1">
      <x:c r="A87" s="3"/>
      <x:c r="B87" s="1"/>
      <x:c r="C87" s="3"/>
      <x:c r="D87" s="3"/>
      <x:c r="E87" s="3"/>
      <x:c r="F87" s="3"/>
      <x:c r="G87" s="3"/>
      <x:c r="H87" s="3"/>
      <x:c r="I87" s="3"/>
      <x:c r="J87" s="3"/>
      <x:c r="K87" s="3"/>
      <x:c r="L87" s="3"/>
      <x:c r="M87" s="3"/>
      <x:c r="N87" s="3"/>
      <x:c r="O87" s="3"/>
      <x:c r="P87" s="3"/>
      <x:c r="Q87" s="3"/>
    </x:row>
    <x:row r="88" ht="13.5" customHeight="1">
      <x:c r="A88" s="3"/>
      <x:c r="B88" s="1"/>
      <x:c r="C88" s="3"/>
      <x:c r="D88" s="3"/>
      <x:c r="E88" s="3"/>
      <x:c r="F88" s="3"/>
      <x:c r="G88" s="3"/>
      <x:c r="H88" s="3"/>
      <x:c r="I88" s="3"/>
      <x:c r="J88" s="3"/>
      <x:c r="K88" s="3"/>
      <x:c r="L88" s="3"/>
      <x:c r="M88" s="3"/>
      <x:c r="N88" s="3"/>
      <x:c r="O88" s="3"/>
      <x:c r="P88" s="3"/>
      <x:c r="Q88" s="3"/>
    </x:row>
    <x:row r="89" ht="13.5" customHeight="1">
      <x:c r="A89" s="3"/>
      <x:c r="B89" s="1"/>
      <x:c r="C89" s="3"/>
      <x:c r="D89" s="3"/>
      <x:c r="E89" s="3"/>
      <x:c r="F89" s="3"/>
      <x:c r="G89" s="3"/>
      <x:c r="H89" s="3"/>
      <x:c r="I89" s="3"/>
      <x:c r="J89" s="3"/>
      <x:c r="K89" s="3"/>
      <x:c r="L89" s="3"/>
      <x:c r="M89" s="3"/>
      <x:c r="N89" s="3"/>
      <x:c r="O89" s="3"/>
      <x:c r="P89" s="3"/>
      <x:c r="Q89" s="3"/>
    </x:row>
    <x:row r="90" ht="13.5" customHeight="1">
      <x:c r="A90" s="3"/>
      <x:c r="B90" s="1"/>
      <x:c r="C90" s="3"/>
      <x:c r="D90" s="3"/>
      <x:c r="E90" s="3"/>
      <x:c r="F90" s="3"/>
      <x:c r="G90" s="3"/>
      <x:c r="H90" s="3"/>
      <x:c r="I90" s="3"/>
      <x:c r="J90" s="3"/>
      <x:c r="K90" s="3"/>
      <x:c r="L90" s="3"/>
      <x:c r="M90" s="3"/>
      <x:c r="N90" s="3"/>
      <x:c r="O90" s="3"/>
      <x:c r="P90" s="3"/>
      <x:c r="Q90" s="3"/>
    </x:row>
    <x:row r="91" ht="13.5" customHeight="1">
      <x:c r="A91" s="3"/>
      <x:c r="B91" s="1"/>
      <x:c r="C91" s="3"/>
      <x:c r="D91" s="3"/>
      <x:c r="E91" s="3"/>
      <x:c r="F91" s="3"/>
      <x:c r="G91" s="3"/>
      <x:c r="H91" s="3"/>
      <x:c r="I91" s="3"/>
      <x:c r="J91" s="3"/>
      <x:c r="K91" s="3"/>
      <x:c r="L91" s="3"/>
      <x:c r="M91" s="3"/>
      <x:c r="N91" s="3"/>
      <x:c r="O91" s="3"/>
      <x:c r="P91" s="3"/>
      <x:c r="Q91" s="3"/>
    </x:row>
    <x:row r="92" ht="13.5" customHeight="1">
      <x:c r="A92" s="3"/>
      <x:c r="B92" s="1"/>
      <x:c r="C92" s="3"/>
      <x:c r="D92" s="3"/>
      <x:c r="E92" s="3"/>
      <x:c r="F92" s="3"/>
      <x:c r="G92" s="3"/>
      <x:c r="H92" s="3"/>
      <x:c r="I92" s="3"/>
      <x:c r="J92" s="3"/>
      <x:c r="K92" s="3"/>
      <x:c r="L92" s="3"/>
      <x:c r="M92" s="3"/>
      <x:c r="N92" s="3"/>
      <x:c r="O92" s="3"/>
      <x:c r="P92" s="3"/>
      <x:c r="Q92" s="3"/>
    </x:row>
    <x:row r="93" ht="13.5" customHeight="1">
      <x:c r="A93" s="3"/>
      <x:c r="B93" s="1"/>
      <x:c r="C93" s="3"/>
      <x:c r="D93" s="3"/>
      <x:c r="E93" s="3"/>
      <x:c r="F93" s="3"/>
      <x:c r="G93" s="3"/>
      <x:c r="H93" s="3"/>
      <x:c r="I93" s="3"/>
      <x:c r="J93" s="3"/>
      <x:c r="K93" s="3"/>
      <x:c r="L93" s="3"/>
      <x:c r="M93" s="3"/>
      <x:c r="N93" s="3"/>
      <x:c r="O93" s="3"/>
      <x:c r="P93" s="3"/>
      <x:c r="Q93" s="3"/>
    </x:row>
    <x:row r="94" ht="13.5" customHeight="1">
      <x:c r="A94" s="3"/>
      <x:c r="B94" s="1"/>
      <x:c r="C94" s="3"/>
      <x:c r="D94" s="3"/>
      <x:c r="E94" s="3"/>
      <x:c r="F94" s="3"/>
      <x:c r="G94" s="3"/>
      <x:c r="H94" s="3"/>
      <x:c r="I94" s="3"/>
      <x:c r="J94" s="3"/>
      <x:c r="K94" s="3"/>
      <x:c r="L94" s="3"/>
      <x:c r="M94" s="3"/>
      <x:c r="N94" s="3"/>
      <x:c r="O94" s="3"/>
      <x:c r="P94" s="3"/>
      <x:c r="Q94" s="3"/>
    </x:row>
    <x:row r="95" ht="13.5" customHeight="1">
      <x:c r="A95" s="3"/>
      <x:c r="B95" s="1"/>
      <x:c r="C95" s="3"/>
      <x:c r="D95" s="3"/>
      <x:c r="E95" s="3"/>
      <x:c r="F95" s="3"/>
      <x:c r="G95" s="3"/>
      <x:c r="H95" s="3"/>
      <x:c r="I95" s="3"/>
      <x:c r="J95" s="3"/>
      <x:c r="K95" s="3"/>
      <x:c r="L95" s="3"/>
      <x:c r="M95" s="3"/>
      <x:c r="N95" s="3"/>
      <x:c r="O95" s="3"/>
      <x:c r="P95" s="3"/>
      <x:c r="Q95" s="3"/>
    </x:row>
    <x:row r="96" ht="13.5" customHeight="1">
      <x:c r="A96" s="3"/>
      <x:c r="B96" s="1"/>
      <x:c r="C96" s="3"/>
      <x:c r="D96" s="3"/>
      <x:c r="E96" s="3"/>
      <x:c r="F96" s="3"/>
      <x:c r="G96" s="3"/>
      <x:c r="H96" s="3"/>
      <x:c r="I96" s="3"/>
      <x:c r="J96" s="3"/>
      <x:c r="K96" s="3"/>
      <x:c r="L96" s="3"/>
      <x:c r="M96" s="3"/>
      <x:c r="N96" s="3"/>
      <x:c r="O96" s="3"/>
      <x:c r="P96" s="3"/>
      <x:c r="Q96" s="3"/>
    </x:row>
    <x:row r="97" ht="13.5" customHeight="1">
      <x:c r="A97" s="3"/>
      <x:c r="B97" s="1"/>
      <x:c r="C97" s="3"/>
      <x:c r="D97" s="3"/>
      <x:c r="E97" s="3"/>
      <x:c r="F97" s="3"/>
      <x:c r="G97" s="3"/>
      <x:c r="H97" s="3"/>
      <x:c r="I97" s="3"/>
      <x:c r="J97" s="3"/>
      <x:c r="K97" s="3"/>
      <x:c r="L97" s="3"/>
      <x:c r="M97" s="3"/>
      <x:c r="N97" s="3"/>
      <x:c r="O97" s="3"/>
      <x:c r="P97" s="3"/>
      <x:c r="Q97" s="3"/>
    </x:row>
    <x:row r="98" ht="13.5" customHeight="1">
      <x:c r="A98" s="3"/>
      <x:c r="B98" s="1"/>
      <x:c r="C98" s="3"/>
      <x:c r="D98" s="3"/>
      <x:c r="E98" s="3"/>
      <x:c r="F98" s="3"/>
      <x:c r="G98" s="3"/>
      <x:c r="H98" s="3"/>
      <x:c r="I98" s="3"/>
      <x:c r="J98" s="3"/>
      <x:c r="K98" s="3"/>
      <x:c r="L98" s="3"/>
      <x:c r="M98" s="3"/>
      <x:c r="N98" s="3"/>
      <x:c r="O98" s="3"/>
      <x:c r="P98" s="3"/>
      <x:c r="Q98" s="3"/>
    </x:row>
    <x:row r="99" ht="13.5" customHeight="1">
      <x:c r="A99" s="3"/>
      <x:c r="B99" s="1"/>
      <x:c r="C99" s="3"/>
      <x:c r="D99" s="3"/>
      <x:c r="E99" s="3"/>
      <x:c r="F99" s="3"/>
      <x:c r="G99" s="3"/>
      <x:c r="H99" s="3"/>
      <x:c r="I99" s="3"/>
      <x:c r="J99" s="3"/>
      <x:c r="K99" s="3"/>
      <x:c r="L99" s="3"/>
      <x:c r="M99" s="3"/>
      <x:c r="N99" s="3"/>
      <x:c r="O99" s="3"/>
      <x:c r="P99" s="3"/>
      <x:c r="Q99" s="3"/>
    </x:row>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sheetData>
  <x:mergeCells>
    <x:mergeCell ref="C31:N31"/>
    <x:mergeCell ref="C41:N41"/>
    <x:mergeCell ref="C12:N12"/>
    <x:mergeCell ref="C13:N13"/>
    <x:mergeCell ref="C14:N14"/>
    <x:mergeCell ref="C17:N17"/>
    <x:mergeCell ref="B19:N19"/>
    <x:mergeCell ref="C10:N10"/>
    <x:mergeCell ref="C11:N11"/>
    <x:mergeCell ref="C21:N21"/>
    <x:mergeCell ref="C22:N22"/>
    <x:mergeCell ref="C23:N23"/>
    <x:mergeCell ref="A2:I2"/>
    <x:mergeCell ref="J2:N2"/>
    <x:mergeCell ref="B4:O4"/>
    <x:mergeCell ref="B5:N5"/>
    <x:mergeCell ref="B8:N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25" defaultRowHeight="15.75"/>
  <x:cols>
    <x:col min="1" max="1" width="1" style="15" customWidth="1"/>
    <x:col min="2" max="2" width="36.5" style="37" customWidth="1"/>
    <x:col min="3" max="3" width="28.125" style="37" customWidth="1"/>
    <x:col min="4" max="4" width="10.25" style="37" customWidth="1"/>
    <x:col min="5" max="5" width="11.125" style="37" customWidth="1"/>
    <x:col min="6" max="6" width="5.625" style="37" customWidth="1"/>
    <x:col min="7" max="7" width="2" style="37" customWidth="1"/>
    <x:col min="8" max="8" width="5.25" style="37" customWidth="1"/>
    <x:col min="9" max="9" width="3.25" style="37" customWidth="1"/>
    <x:col min="10" max="10" width="57.75" style="37" customWidth="1"/>
    <x:col min="11" max="11" width="11.375" style="37" customWidth="1"/>
    <x:col min="12" max="17" width="7.625" style="37" customWidth="1"/>
    <x:col min="18" max="18" width="33.125" style="37" customWidth="1"/>
    <x:col min="19" max="24" width="7.625" style="15" customWidth="1"/>
    <x:col min="25" max="16384" width="12.625" style="15" customWidth="0"/>
  </x:cols>
  <x:sheetData>
    <x:row r="1">
      <x:c r="B1" s="302" t="str">
        <x:v>БІЗНЕС-ПЛАН • ВЕРСІЯ 2 • РОБОЧА РЕДАКЦІЯ</x:v>
      </x:c>
      <x:c r="C1" s="303"/>
      <x:c r="D1" s="303"/>
      <x:c r="E1" s="303"/>
      <x:c r="F1" s="303"/>
      <x:c r="G1" s="303"/>
      <x:c r="H1" s="303"/>
      <x:c r="I1" s="303"/>
      <x:c r="J1" s="303"/>
      <x:c r="K1" s="303"/>
      <x:c r="L1" s="303"/>
      <x:c r="M1" s="303"/>
      <x:c r="N1" s="303"/>
      <x:c r="O1" s="303"/>
      <x:c r="P1" s="303"/>
      <x:c r="Q1" s="303"/>
      <x:c r="R1" s="304"/>
    </x:row>
    <x:row r="2" ht="34" customHeight="1">
      <x:c r="B2" s="482" t="str">
        <x:v>16.10.2026 • Перед поданням закрити «Реєстр перевірки». Виправлення формул не підтверджує факти й не гарантує грант.</x:v>
      </x:c>
      <x:c r="C2" s="485"/>
      <x:c r="D2" s="485"/>
      <x:c r="E2" s="485"/>
      <x:c r="F2" s="485"/>
      <x:c r="G2" s="485"/>
      <x:c r="H2" s="485"/>
      <x:c r="I2" s="485"/>
      <x:c r="J2" s="485"/>
      <x:c r="K2" s="485"/>
      <x:c r="L2" s="485"/>
      <x:c r="M2" s="485"/>
      <x:c r="N2" s="485"/>
      <x:c r="O2" s="485"/>
      <x:c r="P2" s="485"/>
      <x:c r="Q2" s="485"/>
      <x:c r="R2" s="486"/>
    </x:row>
    <x:row r="3" ht="15" customHeight="1">
      <x:c r="B3" s="270" t="s">
        <x:v>15</x:v>
      </x:c>
      <x:c r="C3" s="271"/>
      <x:c r="D3" s="271"/>
      <x:c r="E3" s="271"/>
      <x:c r="F3" s="271"/>
      <x:c r="G3" s="271"/>
      <x:c r="H3" s="271"/>
      <x:c r="I3" s="271"/>
      <x:c r="J3" s="272"/>
      <x:c r="K3" s="308" t="s">
        <x:v>16</x:v>
      </x:c>
      <x:c r="L3" s="309"/>
      <x:c r="M3" s="309"/>
      <x:c r="N3" s="309"/>
      <x:c r="O3" s="309"/>
      <x:c r="P3" s="309"/>
      <x:c r="Q3" s="309"/>
      <x:c r="R3" s="309"/>
      <x:c r="S3" s="16"/>
    </x:row>
    <x:row r="4" ht="15" customHeight="1">
      <x:c r="B4" s="273"/>
      <x:c r="C4" s="274"/>
      <x:c r="D4" s="274"/>
      <x:c r="E4" s="274"/>
      <x:c r="F4" s="274"/>
      <x:c r="G4" s="274"/>
      <x:c r="H4" s="274"/>
      <x:c r="I4" s="274"/>
      <x:c r="J4" s="275"/>
      <x:c r="K4" s="310"/>
      <x:c r="L4" s="309"/>
      <x:c r="M4" s="309"/>
      <x:c r="N4" s="309"/>
      <x:c r="O4" s="309"/>
      <x:c r="P4" s="309"/>
      <x:c r="Q4" s="309"/>
      <x:c r="R4" s="309"/>
      <x:c r="S4" s="16"/>
    </x:row>
    <x:row r="5" ht="15" customHeight="1">
      <x:c r="B5" s="276"/>
      <x:c r="C5" s="277"/>
      <x:c r="D5" s="277"/>
      <x:c r="E5" s="277"/>
      <x:c r="F5" s="277"/>
      <x:c r="G5" s="277"/>
      <x:c r="H5" s="277"/>
      <x:c r="I5" s="277"/>
      <x:c r="J5" s="278"/>
      <x:c r="K5" s="311"/>
      <x:c r="L5" s="312"/>
      <x:c r="M5" s="312"/>
      <x:c r="N5" s="312"/>
      <x:c r="O5" s="312"/>
      <x:c r="P5" s="312"/>
      <x:c r="Q5" s="312"/>
      <x:c r="R5" s="312"/>
    </x:row>
    <x:row r="6" ht="39" customHeight="1">
      <x:c r="B6" s="280" t="s">
        <x:v>17</x:v>
      </x:c>
      <x:c r="C6" s="281"/>
      <x:c r="D6" s="281"/>
      <x:c r="E6" s="281"/>
      <x:c r="F6" s="281"/>
      <x:c r="G6" s="281"/>
      <x:c r="H6" s="281"/>
      <x:c r="I6" s="281"/>
      <x:c r="J6" s="282"/>
      <x:c r="K6" s="279" t="s">
        <x:v>18</x:v>
      </x:c>
      <x:c r="L6" s="214"/>
      <x:c r="M6" s="214"/>
      <x:c r="N6" s="214"/>
      <x:c r="O6" s="214"/>
      <x:c r="P6" s="214"/>
      <x:c r="Q6" s="214"/>
      <x:c r="R6" s="214"/>
    </x:row>
    <x:row r="7" ht="22.899999618530273" customHeight="1">
      <x:c r="B7" s="280" t="s">
        <x:v>19</x:v>
      </x:c>
      <x:c r="C7" s="281"/>
      <x:c r="D7" s="281"/>
      <x:c r="E7" s="281"/>
      <x:c r="F7" s="281"/>
      <x:c r="G7" s="281"/>
      <x:c r="H7" s="281"/>
      <x:c r="I7" s="281"/>
      <x:c r="J7" s="282"/>
      <x:c r="K7" s="279" t="s">
        <x:v>20</x:v>
      </x:c>
      <x:c r="L7" s="214"/>
      <x:c r="M7" s="214"/>
      <x:c r="N7" s="214"/>
      <x:c r="O7" s="214"/>
      <x:c r="P7" s="214"/>
      <x:c r="Q7" s="214"/>
      <x:c r="R7" s="214"/>
    </x:row>
    <x:row r="8" ht="33" customHeight="1">
      <x:c r="B8" s="280" t="s">
        <x:v>21</x:v>
      </x:c>
      <x:c r="C8" s="281"/>
      <x:c r="D8" s="281"/>
      <x:c r="E8" s="281"/>
      <x:c r="F8" s="281"/>
      <x:c r="G8" s="281"/>
      <x:c r="H8" s="281"/>
      <x:c r="I8" s="281"/>
      <x:c r="J8" s="282"/>
      <x:c r="K8" s="279" t="s">
        <x:v>22</x:v>
      </x:c>
      <x:c r="L8" s="214"/>
      <x:c r="M8" s="214"/>
      <x:c r="N8" s="214"/>
      <x:c r="O8" s="214"/>
      <x:c r="P8" s="214"/>
      <x:c r="Q8" s="214"/>
      <x:c r="R8" s="214"/>
    </x:row>
    <x:row r="9" ht="40.900001525878906" customHeight="1">
      <x:c r="B9" s="283" t="s">
        <x:v>23</x:v>
      </x:c>
      <x:c r="C9" s="284"/>
      <x:c r="D9" s="284"/>
      <x:c r="E9" s="284"/>
      <x:c r="F9" s="284"/>
      <x:c r="G9" s="284"/>
      <x:c r="H9" s="284"/>
      <x:c r="I9" s="284"/>
      <x:c r="J9" s="285"/>
      <x:c r="K9" s="279" t="s">
        <x:v>24</x:v>
      </x:c>
      <x:c r="L9" s="214"/>
      <x:c r="M9" s="214"/>
      <x:c r="N9" s="214"/>
      <x:c r="O9" s="214"/>
      <x:c r="P9" s="214"/>
      <x:c r="Q9" s="214"/>
      <x:c r="R9" s="214"/>
    </x:row>
    <x:row r="10" ht="39.599998474121094" customHeight="1">
      <x:c r="A10" s="180" t="s">
        <x:v>25</x:v>
      </x:c>
      <x:c r="B10" s="283" t="s">
        <x:v>26</x:v>
      </x:c>
      <x:c r="C10" s="281"/>
      <x:c r="D10" s="281"/>
      <x:c r="E10" s="281"/>
      <x:c r="F10" s="281"/>
      <x:c r="G10" s="281"/>
      <x:c r="H10" s="281"/>
      <x:c r="I10" s="281"/>
      <x:c r="J10" s="282"/>
      <x:c r="K10" s="279" t="s">
        <x:v>27</x:v>
      </x:c>
      <x:c r="L10" s="214"/>
      <x:c r="M10" s="214"/>
      <x:c r="N10" s="214"/>
      <x:c r="O10" s="214"/>
      <x:c r="P10" s="214"/>
      <x:c r="Q10" s="214"/>
      <x:c r="R10" s="214"/>
    </x:row>
    <x:row r="11" ht="44.45000076293945" customHeight="1">
      <x:c r="B11" s="283" t="s">
        <x:v>28</x:v>
      </x:c>
      <x:c r="C11" s="281"/>
      <x:c r="D11" s="281"/>
      <x:c r="E11" s="281"/>
      <x:c r="F11" s="281"/>
      <x:c r="G11" s="281"/>
      <x:c r="H11" s="281"/>
      <x:c r="I11" s="281"/>
      <x:c r="J11" s="282"/>
      <x:c r="K11" s="279" t="s">
        <x:v>29</x:v>
      </x:c>
      <x:c r="L11" s="214"/>
      <x:c r="M11" s="214"/>
      <x:c r="N11" s="214"/>
      <x:c r="O11" s="214"/>
      <x:c r="P11" s="214"/>
      <x:c r="Q11" s="214"/>
      <x:c r="R11" s="214"/>
    </x:row>
    <x:row r="12" ht="74.44999694824219" customHeight="1">
      <x:c r="B12" s="283" t="s">
        <x:v>30</x:v>
      </x:c>
      <x:c r="C12" s="281"/>
      <x:c r="D12" s="281"/>
      <x:c r="E12" s="281"/>
      <x:c r="F12" s="281"/>
      <x:c r="G12" s="281"/>
      <x:c r="H12" s="281"/>
      <x:c r="I12" s="281"/>
      <x:c r="J12" s="282"/>
      <x:c r="K12" s="279" t="s">
        <x:v>31</x:v>
      </x:c>
      <x:c r="L12" s="214"/>
      <x:c r="M12" s="214"/>
      <x:c r="N12" s="214"/>
      <x:c r="O12" s="214"/>
      <x:c r="P12" s="214"/>
      <x:c r="Q12" s="214"/>
      <x:c r="R12" s="214"/>
    </x:row>
    <x:row r="13" ht="19.899999618530273" customHeight="1">
      <x:c r="B13" s="307" t="s">
        <x:v>32</x:v>
      </x:c>
      <x:c r="C13" s="307"/>
      <x:c r="D13" s="307"/>
      <x:c r="E13" s="307"/>
      <x:c r="F13" s="307"/>
      <x:c r="G13" s="307"/>
      <x:c r="H13" s="307"/>
      <x:c r="I13" s="307"/>
      <x:c r="J13" s="307"/>
      <x:c r="K13" s="225" t="s">
        <x:v>16</x:v>
      </x:c>
      <x:c r="L13" s="226"/>
      <x:c r="M13" s="226"/>
      <x:c r="N13" s="226"/>
      <x:c r="O13" s="226"/>
      <x:c r="P13" s="226"/>
      <x:c r="Q13" s="226"/>
      <x:c r="R13" s="226"/>
    </x:row>
    <x:row r="14" ht="60" customHeight="1">
      <x:c r="B14" s="432" t="str">
        <x:v>Масштабування консультаційної практики ФОП Федоренко Таїсії Анатоліївни у сфері управління ризиками та внутрішніх процедур бізнесу. Результат послуг — консультаційні звіти, проєкти політик, рекомендації та навчання. Попит, тарифи й портфель замовлень потребують документального підтвердження.</x:v>
      </x:c>
      <x:c r="C14" s="433"/>
      <x:c r="D14" s="433"/>
      <x:c r="E14" s="433"/>
      <x:c r="F14" s="433"/>
      <x:c r="G14" s="433"/>
      <x:c r="H14" s="433"/>
      <x:c r="I14" s="433"/>
      <x:c r="J14" s="434"/>
      <x:c r="K14" s="306" t="s">
        <x:v>33</x:v>
      </x:c>
      <x:c r="L14" s="268"/>
      <x:c r="M14" s="268"/>
      <x:c r="N14" s="268"/>
      <x:c r="O14" s="268"/>
      <x:c r="P14" s="268"/>
      <x:c r="Q14" s="268"/>
      <x:c r="R14" s="269"/>
    </x:row>
    <x:row r="15" ht="60" customHeight="1">
      <x:c r="B15" s="435" t="str">
        <x:v>Мета — допомагати клієнтам виявляти операційні та регуляторні ризики у погоджених межах завдання. Застосовні норми визначаються для кожного клієнта окремо; загальної гарантії відповідності законодавству України, ЄС, ISO або вимогам усіх банків/донорів не надається.</x:v>
      </x:c>
      <x:c r="C15" s="433"/>
      <x:c r="D15" s="433"/>
      <x:c r="E15" s="433"/>
      <x:c r="F15" s="433"/>
      <x:c r="G15" s="433"/>
      <x:c r="H15" s="433"/>
      <x:c r="I15" s="433"/>
      <x:c r="J15" s="434"/>
      <x:c r="K15" s="267" t="s">
        <x:v>34</x:v>
      </x:c>
      <x:c r="L15" s="268"/>
      <x:c r="M15" s="268"/>
      <x:c r="N15" s="268"/>
      <x:c r="O15" s="268"/>
      <x:c r="P15" s="268"/>
      <x:c r="Q15" s="268"/>
      <x:c r="R15" s="269"/>
    </x:row>
    <x:row r="16" ht="60" customHeight="1">
      <x:c r="B16" s="436" t="str">
        <x:v>За інформацією заявниці заплановано навчання ICA; підтвердження зарахування, оплати, календаря та вже отриманих кваліфікацій до пакета не додано. Майбутні сертифікати не зазначаються як наявні. До надання послуг підтвердити компетенції залучених виконавців.</x:v>
      </x:c>
      <x:c r="C16" s="437"/>
      <x:c r="D16" s="437"/>
      <x:c r="E16" s="437"/>
      <x:c r="F16" s="437"/>
      <x:c r="G16" s="437"/>
      <x:c r="H16" s="437"/>
      <x:c r="I16" s="437"/>
      <x:c r="J16" s="437"/>
      <x:c r="K16" s="253" t="s">
        <x:v>35</x:v>
      </x:c>
      <x:c r="L16" s="253"/>
      <x:c r="M16" s="253"/>
      <x:c r="N16" s="253"/>
      <x:c r="O16" s="253"/>
      <x:c r="P16" s="253"/>
      <x:c r="Q16" s="253"/>
      <x:c r="R16" s="253"/>
    </x:row>
    <x:row r="17" ht="76" customHeight="1">
      <x:c r="B17" s="438" t="str">
        <x:v>Запит гранту — 1 799 898 грн: оренда 360 000; ремонт 613 758; обладнання 257 140; меблі 112 000; маркетинг 179 000; ПЗ 100 000; сайт 178 000. Власні кошти на навчання — 385 860. Загальний початковий бюджет — 2 185 758 грн. Ціни й внесок не підтверджені. Орендний аванс прийнятний лише після документальної перевірки договору і платіжних умов банком.</x:v>
      </x:c>
      <x:c r="C17" s="437"/>
      <x:c r="D17" s="437"/>
      <x:c r="E17" s="437"/>
      <x:c r="F17" s="437"/>
      <x:c r="G17" s="437"/>
      <x:c r="H17" s="437"/>
      <x:c r="I17" s="437"/>
      <x:c r="J17" s="437"/>
      <x:c r="K17" s="253" t="s">
        <x:v>36</x:v>
      </x:c>
      <x:c r="L17" s="253"/>
      <x:c r="M17" s="253"/>
      <x:c r="N17" s="253"/>
      <x:c r="O17" s="253"/>
      <x:c r="P17" s="253"/>
      <x:c r="Q17" s="253"/>
      <x:c r="R17" s="253"/>
    </x:row>
    <x:row r="18" ht="10.149999618530273" customHeight="1">
      <x:c r="B18" s="255" t="s">
        <x:v>37</x:v>
      </x:c>
      <x:c r="C18" s="256"/>
      <x:c r="D18" s="256"/>
      <x:c r="E18" s="256"/>
      <x:c r="F18" s="256"/>
      <x:c r="G18" s="256"/>
      <x:c r="H18" s="256"/>
      <x:c r="I18" s="256"/>
      <x:c r="J18" s="257"/>
      <x:c r="K18" s="262" t="s">
        <x:v>16</x:v>
      </x:c>
      <x:c r="L18" s="256"/>
      <x:c r="M18" s="256"/>
      <x:c r="N18" s="256"/>
      <x:c r="O18" s="256"/>
      <x:c r="P18" s="256"/>
      <x:c r="Q18" s="256"/>
      <x:c r="R18" s="257"/>
      <x:c r="S18" s="17"/>
      <x:c r="T18" s="17"/>
      <x:c r="U18" s="17"/>
      <x:c r="V18" s="17"/>
      <x:c r="W18" s="17"/>
      <x:c r="X18" s="17"/>
    </x:row>
    <x:row r="19">
      <x:c r="B19" s="258"/>
      <x:c r="C19" s="259"/>
      <x:c r="D19" s="259"/>
      <x:c r="E19" s="259"/>
      <x:c r="F19" s="259"/>
      <x:c r="G19" s="259"/>
      <x:c r="H19" s="259"/>
      <x:c r="I19" s="259"/>
      <x:c r="J19" s="260"/>
      <x:c r="K19" s="258"/>
      <x:c r="L19" s="259"/>
      <x:c r="M19" s="259"/>
      <x:c r="N19" s="259"/>
      <x:c r="O19" s="259"/>
      <x:c r="P19" s="259"/>
      <x:c r="Q19" s="259"/>
      <x:c r="R19" s="260"/>
      <x:c r="S19" s="17"/>
      <x:c r="T19" s="17"/>
      <x:c r="U19" s="17"/>
      <x:c r="V19" s="17"/>
      <x:c r="W19" s="17"/>
      <x:c r="X19" s="17"/>
    </x:row>
    <x:row r="20" ht="1.149999976158142" customHeight="1">
      <x:c r="B20" s="261"/>
      <x:c r="C20" s="256"/>
      <x:c r="D20" s="256"/>
      <x:c r="E20" s="256"/>
      <x:c r="F20" s="256"/>
      <x:c r="G20" s="256"/>
      <x:c r="H20" s="256"/>
      <x:c r="I20" s="256"/>
      <x:c r="J20" s="257"/>
      <x:c r="K20" s="261"/>
      <x:c r="L20" s="256"/>
      <x:c r="M20" s="256"/>
      <x:c r="N20" s="256"/>
      <x:c r="O20" s="256"/>
      <x:c r="P20" s="256"/>
      <x:c r="Q20" s="256"/>
      <x:c r="R20" s="257"/>
      <x:c r="S20" s="17"/>
      <x:c r="T20" s="17"/>
      <x:c r="U20" s="17"/>
      <x:c r="V20" s="17"/>
      <x:c r="W20" s="17"/>
      <x:c r="X20" s="17"/>
    </x:row>
    <x:row r="21" ht="30" customHeight="1">
      <x:c r="B21" s="263" t="s">
        <x:v>38</x:v>
      </x:c>
      <x:c r="C21" s="222"/>
      <x:c r="D21" s="222"/>
      <x:c r="E21" s="222"/>
      <x:c r="F21" s="222"/>
      <x:c r="G21" s="222"/>
      <x:c r="H21" s="222"/>
      <x:c r="I21" s="222"/>
      <x:c r="J21" s="222"/>
      <x:c r="K21" s="221"/>
      <x:c r="L21" s="222"/>
      <x:c r="M21" s="222"/>
      <x:c r="N21" s="222"/>
      <x:c r="O21" s="222"/>
      <x:c r="P21" s="222"/>
      <x:c r="Q21" s="222"/>
      <x:c r="R21" s="222"/>
    </x:row>
    <x:row r="22">
      <x:c r="B22" s="18" t="str">
        <x:v>36 місяців</x:v>
      </x:c>
      <x:c r="C22" s="19"/>
      <x:c r="D22" s="19"/>
      <x:c r="E22" s="19"/>
      <x:c r="F22" s="19"/>
      <x:c r="G22" s="19"/>
      <x:c r="H22" s="19"/>
      <x:c r="I22" s="19"/>
      <x:c r="J22" s="20"/>
      <x:c r="K22" s="214" t="s">
        <x:v>39</x:v>
      </x:c>
      <x:c r="L22" s="215"/>
      <x:c r="M22" s="215"/>
      <x:c r="N22" s="215"/>
      <x:c r="O22" s="215"/>
      <x:c r="P22" s="215"/>
      <x:c r="Q22" s="215"/>
      <x:c r="R22" s="215"/>
    </x:row>
    <x:row r="23" ht="30" customHeight="1">
      <x:c r="B23" s="263" t="s">
        <x:v>40</x:v>
      </x:c>
      <x:c r="C23" s="222"/>
      <x:c r="D23" s="222"/>
      <x:c r="E23" s="222"/>
      <x:c r="F23" s="222"/>
      <x:c r="G23" s="222"/>
      <x:c r="H23" s="222"/>
      <x:c r="I23" s="222"/>
      <x:c r="J23" s="222"/>
      <x:c r="K23" s="221"/>
      <x:c r="L23" s="222"/>
      <x:c r="M23" s="222"/>
      <x:c r="N23" s="222"/>
      <x:c r="O23" s="222"/>
      <x:c r="P23" s="222"/>
      <x:c r="Q23" s="222"/>
      <x:c r="R23" s="222"/>
    </x:row>
    <x:row r="24" ht="31.149999618530273" customHeight="1">
      <x:c r="B24" s="21" t="s">
        <x:v>41</x:v>
      </x:c>
      <x:c r="C24" s="22"/>
      <x:c r="D24" s="22"/>
      <x:c r="E24" s="22"/>
      <x:c r="F24" s="22"/>
      <x:c r="G24" s="22"/>
      <x:c r="H24" s="22"/>
      <x:c r="I24" s="22"/>
      <x:c r="J24" s="23"/>
      <x:c r="K24" s="214" t="s">
        <x:v>42</x:v>
      </x:c>
      <x:c r="L24" s="215"/>
      <x:c r="M24" s="215"/>
      <x:c r="N24" s="215"/>
      <x:c r="O24" s="215"/>
      <x:c r="P24" s="215"/>
      <x:c r="Q24" s="215"/>
      <x:c r="R24" s="215"/>
    </x:row>
    <x:row r="25" ht="78" customHeight="1">
      <x:c r="B25" s="24" t="s">
        <x:v>43</x:v>
      </x:c>
      <x:c r="C25" s="472" t="str">
        <x:v>Цю редакцію перевірено для масштабування на 36 місяців. Зміна строку або типу проєкту потребує нової моделі. Надбавки застосовуються лише за підтверджених підстав. Два нові місця — підстава заявлених +20%; план заявниці — три працівники.</x:v>
      </x:c>
      <x:c r="D25" s="473"/>
      <x:c r="E25" s="474"/>
      <x:c r="F25" s="474"/>
      <x:c r="G25" s="474"/>
      <x:c r="H25" s="474"/>
      <x:c r="I25" s="474"/>
      <x:c r="J25" s="475"/>
      <x:c r="K25" s="221"/>
      <x:c r="L25" s="222"/>
      <x:c r="M25" s="222"/>
      <x:c r="N25" s="222"/>
      <x:c r="O25" s="222"/>
      <x:c r="P25" s="222"/>
      <x:c r="Q25" s="222"/>
      <x:c r="R25" s="222"/>
    </x:row>
    <x:row r="26" ht="30" customHeight="1">
      <x:c r="B26" s="25" t="s">
        <x:v>44</x:v>
      </x:c>
      <x:c r="C26" s="38">
        <x:v>1799898</x:v>
      </x:c>
      <x:c r="D26" s="350" t="s">
        <x:v>45</x:v>
      </x:c>
      <x:c r="E26" s="351"/>
      <x:c r="F26" s="351"/>
      <x:c r="G26" s="351"/>
      <x:c r="H26" s="351"/>
      <x:c r="I26" s="351"/>
      <x:c r="J26" s="352"/>
      <x:c r="K26" s="357" t="s">
        <x:v>46</x:v>
      </x:c>
      <x:c r="L26" s="358"/>
      <x:c r="M26" s="358"/>
      <x:c r="N26" s="358"/>
      <x:c r="O26" s="358"/>
      <x:c r="P26" s="358"/>
      <x:c r="Q26" s="358"/>
      <x:c r="R26" s="359"/>
    </x:row>
    <x:row r="27" ht="26.450000762939453" customHeight="1">
      <x:c r="B27" s="25" t="s">
        <x:v>47</x:v>
      </x:c>
      <x:c r="C27" s="181" t="str">
        <x:v>масштабування власної справи</x:v>
      </x:c>
      <x:c r="D27" s="26"/>
      <x:c r="E27" s="40"/>
      <x:c r="F27" s="41"/>
      <x:c r="G27" s="41"/>
      <x:c r="H27" s="41"/>
      <x:c r="I27" s="41"/>
      <x:c r="J27" s="42"/>
      <x:c r="K27" s="360"/>
      <x:c r="L27" s="361"/>
      <x:c r="M27" s="361"/>
      <x:c r="N27" s="361"/>
      <x:c r="O27" s="361"/>
      <x:c r="P27" s="361"/>
      <x:c r="Q27" s="361"/>
      <x:c r="R27" s="362"/>
    </x:row>
    <x:row r="28">
      <x:c r="B28" s="43" t="s">
        <x:v>48</x:v>
      </x:c>
      <x:c r="C28" s="44">
        <x:v>1500000</x:v>
      </x:c>
      <x:c r="D28" s="27"/>
      <x:c r="E28" s="279"/>
      <x:c r="F28" s="353"/>
      <x:c r="G28" s="353"/>
      <x:c r="H28" s="353"/>
      <x:c r="I28" s="353"/>
      <x:c r="J28" s="353"/>
      <x:c r="K28" s="360"/>
      <x:c r="L28" s="361"/>
      <x:c r="M28" s="361"/>
      <x:c r="N28" s="361"/>
      <x:c r="O28" s="361"/>
      <x:c r="P28" s="361"/>
      <x:c r="Q28" s="361"/>
      <x:c r="R28" s="362"/>
    </x:row>
    <x:row r="29" ht="31.5">
      <x:c r="B29" s="45" t="s">
        <x:v>49</x:v>
      </x:c>
      <x:c r="C29" s="46" t="s">
        <x:v>50</x:v>
      </x:c>
      <x:c r="D29" s="28" t="n">
        <x:f>IF(C29="Платник ПДВ",20%,0%)</x:f>
        <x:v>0</x:v>
      </x:c>
      <x:c r="E29" s="279"/>
      <x:c r="F29" s="353"/>
      <x:c r="G29" s="353"/>
      <x:c r="H29" s="353"/>
      <x:c r="I29" s="353"/>
      <x:c r="J29" s="353"/>
      <x:c r="K29" s="360"/>
      <x:c r="L29" s="361"/>
      <x:c r="M29" s="361"/>
      <x:c r="N29" s="361"/>
      <x:c r="O29" s="361"/>
      <x:c r="P29" s="361"/>
      <x:c r="Q29" s="361"/>
      <x:c r="R29" s="362"/>
    </x:row>
    <x:row r="30" ht="50.45000076293945" customHeight="1">
      <x:c r="B30" s="45" t="s">
        <x:v>51</x:v>
      </x:c>
      <x:c r="C30" s="39" t="s">
        <x:v>52</x:v>
      </x:c>
      <x:c r="D30" s="47" t="n">
        <x:f>IF(C30="Так",5%,0%)</x:f>
        <x:v>0</x:v>
      </x:c>
      <x:c r="E30" s="279"/>
      <x:c r="F30" s="353"/>
      <x:c r="G30" s="353"/>
      <x:c r="H30" s="353"/>
      <x:c r="I30" s="353"/>
      <x:c r="J30" s="353"/>
      <x:c r="K30" s="360"/>
      <x:c r="L30" s="361"/>
      <x:c r="M30" s="361"/>
      <x:c r="N30" s="361"/>
      <x:c r="O30" s="361"/>
      <x:c r="P30" s="361"/>
      <x:c r="Q30" s="361"/>
      <x:c r="R30" s="362"/>
    </x:row>
    <x:row r="31">
      <x:c r="B31" s="48" t="s">
        <x:v>53</x:v>
      </x:c>
      <x:c r="C31" s="39" t="s">
        <x:v>52</x:v>
      </x:c>
      <x:c r="D31" s="47" t="n">
        <x:f>IF(C31="Так",20%,0%)</x:f>
        <x:v>0</x:v>
      </x:c>
      <x:c r="E31" s="279"/>
      <x:c r="F31" s="353"/>
      <x:c r="G31" s="353"/>
      <x:c r="H31" s="353"/>
      <x:c r="I31" s="353"/>
      <x:c r="J31" s="353"/>
      <x:c r="K31" s="360"/>
      <x:c r="L31" s="361"/>
      <x:c r="M31" s="361"/>
      <x:c r="N31" s="361"/>
      <x:c r="O31" s="361"/>
      <x:c r="P31" s="361"/>
      <x:c r="Q31" s="361"/>
      <x:c r="R31" s="362"/>
    </x:row>
    <x:row r="32" ht="52.900001525878906" customHeight="1">
      <x:c r="B32" s="43" t="s">
        <x:v>54</x:v>
      </x:c>
      <x:c r="C32" s="39" t="str">
        <x:v>Не підтверджено</x:v>
      </x:c>
      <x:c r="D32" s="49" t="n">
        <x:f>IF(C32="Так",20%,0%)</x:f>
        <x:v>0</x:v>
      </x:c>
      <x:c r="E32" s="279"/>
      <x:c r="F32" s="353"/>
      <x:c r="G32" s="353"/>
      <x:c r="H32" s="353"/>
      <x:c r="I32" s="353"/>
      <x:c r="J32" s="353"/>
      <x:c r="K32" s="360"/>
      <x:c r="L32" s="361"/>
      <x:c r="M32" s="361"/>
      <x:c r="N32" s="361"/>
      <x:c r="O32" s="361"/>
      <x:c r="P32" s="361"/>
      <x:c r="Q32" s="361"/>
      <x:c r="R32" s="362"/>
    </x:row>
    <x:row r="33" ht="52.900001525878906" customHeight="1">
      <x:c r="B33" s="43" t="s">
        <x:v>55</x:v>
      </x:c>
      <x:c r="C33" s="39" t="s">
        <x:v>52</x:v>
      </x:c>
      <x:c r="D33" s="49" t="n">
        <x:f>IF(C33="Так",20%,0%)</x:f>
        <x:v>0</x:v>
      </x:c>
      <x:c r="E33" s="279"/>
      <x:c r="F33" s="353"/>
      <x:c r="G33" s="353"/>
      <x:c r="H33" s="353"/>
      <x:c r="I33" s="353"/>
      <x:c r="J33" s="353"/>
      <x:c r="K33" s="360"/>
      <x:c r="L33" s="361"/>
      <x:c r="M33" s="361"/>
      <x:c r="N33" s="361"/>
      <x:c r="O33" s="361"/>
      <x:c r="P33" s="361"/>
      <x:c r="Q33" s="361"/>
      <x:c r="R33" s="362"/>
    </x:row>
    <x:row r="34" ht="50.45000076293945" customHeight="1">
      <x:c r="B34" s="43" t="s">
        <x:v>56</x:v>
      </x:c>
      <x:c r="C34" s="39" t="s">
        <x:v>57</x:v>
      </x:c>
      <x:c r="D34" s="49" t="n">
        <x:f>IF(C34="Так",20%,0%)</x:f>
        <x:v>0.2</x:v>
      </x:c>
      <x:c r="E34" s="356" t="str">
        <x:f>IF(C34="Так",IF(B99&gt;=2,"2+ нових місця заплановано","УВАГА: у кадровому плані менше 2 нових місць"),"")</x:f>
        <x:v>2+ нових місця заплановано</x:v>
      </x:c>
      <x:c r="F34" s="353"/>
      <x:c r="G34" s="353"/>
      <x:c r="H34" s="353"/>
      <x:c r="I34" s="353"/>
      <x:c r="J34" s="353"/>
      <x:c r="K34" s="360"/>
      <x:c r="L34" s="361"/>
      <x:c r="M34" s="361"/>
      <x:c r="N34" s="361"/>
      <x:c r="O34" s="361"/>
      <x:c r="P34" s="361"/>
      <x:c r="Q34" s="361"/>
      <x:c r="R34" s="362"/>
    </x:row>
    <x:row r="35" ht="47.25">
      <x:c r="B35" s="43" t="s">
        <x:v>58</x:v>
      </x:c>
      <x:c r="C35" s="39" t="s">
        <x:v>52</x:v>
      </x:c>
      <x:c r="D35" s="49" t="n">
        <x:f>IF(C35="Так",30%,0%)</x:f>
        <x:v>0</x:v>
      </x:c>
      <x:c r="E35" s="279"/>
      <x:c r="F35" s="353"/>
      <x:c r="G35" s="353"/>
      <x:c r="H35" s="353"/>
      <x:c r="I35" s="353"/>
      <x:c r="J35" s="353"/>
      <x:c r="K35" s="360"/>
      <x:c r="L35" s="361"/>
      <x:c r="M35" s="361"/>
      <x:c r="N35" s="361"/>
      <x:c r="O35" s="361"/>
      <x:c r="P35" s="361"/>
      <x:c r="Q35" s="361"/>
      <x:c r="R35" s="362"/>
    </x:row>
    <x:row r="36" ht="63">
      <x:c r="B36" s="43" t="s">
        <x:v>59</x:v>
      </x:c>
      <x:c r="C36" s="39" t="s">
        <x:v>52</x:v>
      </x:c>
      <x:c r="D36" s="49" t="n">
        <x:f>IF(C36="Так",30%,0%)</x:f>
        <x:v>0</x:v>
      </x:c>
      <x:c r="E36" s="279"/>
      <x:c r="F36" s="353"/>
      <x:c r="G36" s="353"/>
      <x:c r="H36" s="353"/>
      <x:c r="I36" s="353"/>
      <x:c r="J36" s="353"/>
      <x:c r="K36" s="360"/>
      <x:c r="L36" s="361"/>
      <x:c r="M36" s="361"/>
      <x:c r="N36" s="361"/>
      <x:c r="O36" s="361"/>
      <x:c r="P36" s="361"/>
      <x:c r="Q36" s="361"/>
      <x:c r="R36" s="362"/>
    </x:row>
    <x:row r="37" ht="47.25">
      <x:c r="B37" s="43" t="s">
        <x:v>60</x:v>
      </x:c>
      <x:c r="C37" s="39" t="s">
        <x:v>52</x:v>
      </x:c>
      <x:c r="D37" s="47" t="n">
        <x:f>IF(C37="Так",50%,0%)</x:f>
        <x:v>0</x:v>
      </x:c>
      <x:c r="E37" s="279"/>
      <x:c r="F37" s="353"/>
      <x:c r="G37" s="353"/>
      <x:c r="H37" s="353"/>
      <x:c r="I37" s="353"/>
      <x:c r="J37" s="353"/>
      <x:c r="K37" s="360"/>
      <x:c r="L37" s="361"/>
      <x:c r="M37" s="361"/>
      <x:c r="N37" s="361"/>
      <x:c r="O37" s="361"/>
      <x:c r="P37" s="361"/>
      <x:c r="Q37" s="361"/>
      <x:c r="R37" s="362"/>
    </x:row>
    <x:row r="38">
      <x:c r="B38" s="50" t="s">
        <x:v>61</x:v>
      </x:c>
      <x:c r="C38" s="51" t="s">
        <x:v>62</x:v>
      </x:c>
      <x:c r="D38" s="52" t="n">
        <x:f>SUM(D29:D37)</x:f>
        <x:v>0.2</x:v>
      </x:c>
      <x:c r="E38" s="279"/>
      <x:c r="F38" s="353"/>
      <x:c r="G38" s="353"/>
      <x:c r="H38" s="353"/>
      <x:c r="I38" s="353"/>
      <x:c r="J38" s="353"/>
      <x:c r="K38" s="360"/>
      <x:c r="L38" s="361"/>
      <x:c r="M38" s="361"/>
      <x:c r="N38" s="361"/>
      <x:c r="O38" s="361"/>
      <x:c r="P38" s="361"/>
      <x:c r="Q38" s="361"/>
      <x:c r="R38" s="362"/>
    </x:row>
    <x:row r="39" ht="62" customHeight="1">
      <x:c r="B39" s="453" t="s">
        <x:v>63</x:v>
      </x:c>
      <x:c r="C39" s="467" t="n">
        <x:f>MIN(2500000,C28*(1+SUM(D29:D37)))</x:f>
        <x:v>1800000</x:v>
      </x:c>
      <x:c r="D39" s="468" t="str">
        <x:f>IF(C26&gt;C39,"Понад ліміт","У межах")</x:f>
        <x:v>У межах</x:v>
      </x:c>
      <x:c r="E39" s="469" t="str">
        <x:v>Ліміт умовний: два нові місця; документи й остаточний договір перевірити.</x:v>
      </x:c>
      <x:c r="F39" s="470"/>
      <x:c r="G39" s="470"/>
      <x:c r="H39" s="470"/>
      <x:c r="I39" s="470"/>
      <x:c r="J39" s="471"/>
      <x:c r="K39" s="363"/>
      <x:c r="L39" s="364"/>
      <x:c r="M39" s="364"/>
      <x:c r="N39" s="364"/>
      <x:c r="O39" s="364"/>
      <x:c r="P39" s="364"/>
      <x:c r="Q39" s="364"/>
      <x:c r="R39" s="365"/>
    </x:row>
    <x:row r="40" ht="30" customHeight="1">
      <x:c r="B40" s="263" t="s">
        <x:v>64</x:v>
      </x:c>
      <x:c r="C40" s="222"/>
      <x:c r="D40" s="222"/>
      <x:c r="E40" s="222"/>
      <x:c r="F40" s="222"/>
      <x:c r="G40" s="222"/>
      <x:c r="H40" s="222"/>
      <x:c r="I40" s="222"/>
      <x:c r="J40" s="222"/>
      <x:c r="K40" s="221"/>
      <x:c r="L40" s="222"/>
      <x:c r="M40" s="222"/>
      <x:c r="N40" s="222"/>
      <x:c r="O40" s="222"/>
      <x:c r="P40" s="222"/>
      <x:c r="Q40" s="222"/>
      <x:c r="R40" s="222"/>
    </x:row>
    <x:row r="41" ht="84.5999984741211" customHeight="1">
      <x:c r="B41" s="182" t="s">
        <x:v>65</x:v>
      </x:c>
      <x:c r="C41" s="366" t="str">
        <x:v>Спрощена система — 3 група, 5% (підтвердити витягом)</x:v>
      </x:c>
      <x:c r="D41" s="367"/>
      <x:c r="E41" s="367"/>
      <x:c r="F41" s="367"/>
      <x:c r="G41" s="367"/>
      <x:c r="H41" s="367"/>
      <x:c r="I41" s="367"/>
      <x:c r="J41" s="368"/>
      <x:c r="K41" s="214" t="s">
        <x:v>66</x:v>
      </x:c>
      <x:c r="L41" s="215"/>
      <x:c r="M41" s="215"/>
      <x:c r="N41" s="215"/>
      <x:c r="O41" s="215"/>
      <x:c r="P41" s="215"/>
      <x:c r="Q41" s="215"/>
      <x:c r="R41" s="215"/>
    </x:row>
    <x:row r="42" ht="30" customHeight="1">
      <x:c r="B42" s="263"/>
      <x:c r="C42" s="222"/>
      <x:c r="D42" s="222"/>
      <x:c r="E42" s="222"/>
      <x:c r="F42" s="222"/>
      <x:c r="G42" s="222"/>
      <x:c r="H42" s="222"/>
      <x:c r="I42" s="222"/>
      <x:c r="J42" s="222"/>
      <x:c r="K42" s="221"/>
      <x:c r="L42" s="222"/>
      <x:c r="M42" s="222"/>
      <x:c r="N42" s="222"/>
      <x:c r="O42" s="222"/>
      <x:c r="P42" s="222"/>
      <x:c r="Q42" s="222"/>
      <x:c r="R42" s="222"/>
    </x:row>
    <x:row r="43" ht="85.1500015258789" customHeight="1">
      <x:c r="B43" s="21" t="s">
        <x:v>50</x:v>
      </x:c>
      <x:c r="C43" s="366" t="str">
        <x:v>Не платник ПДВ (підтвердити)</x:v>
      </x:c>
      <x:c r="D43" s="367"/>
      <x:c r="E43" s="367"/>
      <x:c r="F43" s="367"/>
      <x:c r="G43" s="367"/>
      <x:c r="H43" s="367"/>
      <x:c r="I43" s="367"/>
      <x:c r="J43" s="368"/>
      <x:c r="K43" s="214" t="s">
        <x:v>67</x:v>
      </x:c>
      <x:c r="L43" s="215"/>
      <x:c r="M43" s="215"/>
      <x:c r="N43" s="215"/>
      <x:c r="O43" s="215"/>
      <x:c r="P43" s="215"/>
      <x:c r="Q43" s="215"/>
      <x:c r="R43" s="215"/>
    </x:row>
    <x:row r="44" ht="30" customHeight="1">
      <x:c r="B44" s="263" t="s">
        <x:v>68</x:v>
      </x:c>
      <x:c r="C44" s="222"/>
      <x:c r="D44" s="222"/>
      <x:c r="E44" s="222"/>
      <x:c r="F44" s="222"/>
      <x:c r="G44" s="222"/>
      <x:c r="H44" s="222"/>
      <x:c r="I44" s="222"/>
      <x:c r="J44" s="222"/>
      <x:c r="K44" s="221"/>
      <x:c r="L44" s="222"/>
      <x:c r="M44" s="222"/>
      <x:c r="N44" s="222"/>
      <x:c r="O44" s="222"/>
      <x:c r="P44" s="222"/>
      <x:c r="Q44" s="222"/>
      <x:c r="R44" s="222"/>
    </x:row>
    <x:row r="45" ht="44" customHeight="1">
      <x:c r="B45" s="439" t="str">
        <x:v>Надавати бізнесу практичну консультаційну підтримку з організації внутрішнього контролю та управління ризиками в межах підтверджених компетенцій.</x:v>
      </x:c>
      <x:c r="C45" s="440"/>
      <x:c r="D45" s="440"/>
      <x:c r="E45" s="440"/>
      <x:c r="F45" s="440"/>
      <x:c r="G45" s="440"/>
      <x:c r="H45" s="440"/>
      <x:c r="I45" s="440"/>
      <x:c r="J45" s="441"/>
      <x:c r="K45" s="214" t="s">
        <x:v>69</x:v>
      </x:c>
      <x:c r="L45" s="215"/>
      <x:c r="M45" s="215"/>
      <x:c r="N45" s="215"/>
      <x:c r="O45" s="215"/>
      <x:c r="P45" s="215"/>
      <x:c r="Q45" s="215"/>
      <x:c r="R45" s="215"/>
    </x:row>
    <x:row r="46" ht="30" customHeight="1">
      <x:c r="B46" s="263" t="s">
        <x:v>70</x:v>
      </x:c>
      <x:c r="C46" s="222"/>
      <x:c r="D46" s="222"/>
      <x:c r="E46" s="222"/>
      <x:c r="F46" s="222"/>
      <x:c r="G46" s="222"/>
      <x:c r="H46" s="222"/>
      <x:c r="I46" s="222"/>
      <x:c r="J46" s="222"/>
      <x:c r="K46" s="221"/>
      <x:c r="L46" s="222"/>
      <x:c r="M46" s="222"/>
      <x:c r="N46" s="222"/>
      <x:c r="O46" s="222"/>
      <x:c r="P46" s="222"/>
      <x:c r="Q46" s="222"/>
      <x:c r="R46" s="222"/>
    </x:row>
    <x:row r="47" ht="76" customHeight="1">
      <x:c r="B47" s="442" t="str">
        <x:v>1. Консультаційна оцінка внутрішніх процесів та ризиків. 2. Розроблення проєктів політик і процедур. 3. Перевірка контрагентів у погодженому обсязі та за законними джерелами. 4. Навчання команди клієнта. Юридичні послуги — лише після перевірки належних КВЕД, податкового статусу і компетенцій. Аудит фінансової звітності, сертифікація ISO та регульовані послуги без належного статусу до цього переліку не включені.</x:v>
      </x:c>
      <x:c r="C47" s="443"/>
      <x:c r="D47" s="443"/>
      <x:c r="E47" s="443"/>
      <x:c r="F47" s="443"/>
      <x:c r="G47" s="443"/>
      <x:c r="H47" s="443"/>
      <x:c r="I47" s="443"/>
      <x:c r="J47" s="444"/>
      <x:c r="K47" s="214" t="s">
        <x:v>71</x:v>
      </x:c>
      <x:c r="L47" s="215"/>
      <x:c r="M47" s="215"/>
      <x:c r="N47" s="215"/>
      <x:c r="O47" s="215"/>
      <x:c r="P47" s="215"/>
      <x:c r="Q47" s="215"/>
      <x:c r="R47" s="215"/>
    </x:row>
    <x:row r="48" ht="30" customHeight="1">
      <x:c r="B48" s="211" t="s">
        <x:v>72</x:v>
      </x:c>
      <x:c r="C48" s="212"/>
      <x:c r="D48" s="212"/>
      <x:c r="E48" s="212"/>
      <x:c r="F48" s="212"/>
      <x:c r="G48" s="212"/>
      <x:c r="H48" s="212"/>
      <x:c r="I48" s="212"/>
      <x:c r="J48" s="213"/>
      <x:c r="K48" s="216"/>
      <x:c r="L48" s="217"/>
      <x:c r="M48" s="217"/>
      <x:c r="N48" s="217"/>
      <x:c r="O48" s="217"/>
      <x:c r="P48" s="217"/>
      <x:c r="Q48" s="217"/>
      <x:c r="R48" s="218"/>
    </x:row>
    <x:row r="49" ht="60" customHeight="1">
      <x:c r="B49" s="439" t="str">
        <x:v>Початкові цільові сегменти для перевірки попиту: малий і середній бізнес, який потребує внутрішніх політик та перевірки контрагентів. Підтвердити 2–3 пріоритетні сегменти, географію, кількість потенційних клієнтів, конкурентів, канали продажів, тарифи та листи намірів. Наявний прогноз не є підтвердженим портфелем.</x:v>
      </x:c>
      <x:c r="C49" s="443"/>
      <x:c r="D49" s="443"/>
      <x:c r="E49" s="443"/>
      <x:c r="F49" s="443"/>
      <x:c r="G49" s="443"/>
      <x:c r="H49" s="443"/>
      <x:c r="I49" s="443"/>
      <x:c r="J49" s="444"/>
      <x:c r="K49" s="214" t="s">
        <x:v>73</x:v>
      </x:c>
      <x:c r="L49" s="215"/>
      <x:c r="M49" s="215"/>
      <x:c r="N49" s="215"/>
      <x:c r="O49" s="215"/>
      <x:c r="P49" s="215"/>
      <x:c r="Q49" s="215"/>
      <x:c r="R49" s="215"/>
    </x:row>
    <x:row r="50" ht="30" customHeight="1">
      <x:c r="B50" s="211" t="s">
        <x:v>74</x:v>
      </x:c>
      <x:c r="C50" s="212"/>
      <x:c r="D50" s="212"/>
      <x:c r="E50" s="212"/>
      <x:c r="F50" s="212"/>
      <x:c r="G50" s="212"/>
      <x:c r="H50" s="212"/>
      <x:c r="I50" s="212"/>
      <x:c r="J50" s="213"/>
      <x:c r="K50" s="221"/>
      <x:c r="L50" s="222"/>
      <x:c r="M50" s="222"/>
      <x:c r="N50" s="222"/>
      <x:c r="O50" s="222"/>
      <x:c r="P50" s="222"/>
      <x:c r="Q50" s="222"/>
      <x:c r="R50" s="222"/>
    </x:row>
    <x:row r="51" ht="44" customHeight="1">
      <x:c r="B51" s="439" t="str">
        <x:v>Місце реалізації за даними заявниці: м. Жашків, вул. Соборна, 37. Право користування, площу, строк оренди та згоду на ремонт підтвердити. Адресу державної реєстрації звірити окремо з ЄДР.</x:v>
      </x:c>
      <x:c r="C51" s="443"/>
      <x:c r="D51" s="443"/>
      <x:c r="E51" s="443"/>
      <x:c r="F51" s="443"/>
      <x:c r="G51" s="443"/>
      <x:c r="H51" s="443"/>
      <x:c r="I51" s="443"/>
      <x:c r="J51" s="444"/>
      <x:c r="K51" s="214" t="s">
        <x:v>75</x:v>
      </x:c>
      <x:c r="L51" s="215"/>
      <x:c r="M51" s="215"/>
      <x:c r="N51" s="215"/>
      <x:c r="O51" s="215"/>
      <x:c r="P51" s="215"/>
      <x:c r="Q51" s="215"/>
      <x:c r="R51" s="215"/>
    </x:row>
    <x:row r="52" ht="30" customHeight="1">
      <x:c r="B52" s="211" t="s">
        <x:v>76</x:v>
      </x:c>
      <x:c r="C52" s="212"/>
      <x:c r="D52" s="212"/>
      <x:c r="E52" s="212"/>
      <x:c r="F52" s="212"/>
      <x:c r="G52" s="212"/>
      <x:c r="H52" s="212"/>
      <x:c r="I52" s="212"/>
      <x:c r="J52" s="213"/>
      <x:c r="K52" s="316" t="s">
        <x:v>77</x:v>
      </x:c>
      <x:c r="L52" s="317"/>
      <x:c r="M52" s="317"/>
      <x:c r="N52" s="317"/>
      <x:c r="O52" s="317"/>
      <x:c r="P52" s="317"/>
      <x:c r="Q52" s="317"/>
      <x:c r="R52" s="318"/>
    </x:row>
    <x:row r="53" ht="44" customHeight="1">
      <x:c r="B53" s="445" t="str">
        <x:v>М1 — місяць фактичного зарахування гранту; календарну дату внести після документального підтвердження.</x:v>
      </x:c>
      <x:c r="C53" s="443"/>
      <x:c r="D53" s="443"/>
      <x:c r="E53" s="443"/>
      <x:c r="F53" s="443"/>
      <x:c r="G53" s="443"/>
      <x:c r="H53" s="443"/>
      <x:c r="I53" s="443"/>
      <x:c r="J53" s="444"/>
      <x:c r="K53" s="243" t="s">
        <x:v>78</x:v>
      </x:c>
      <x:c r="L53" s="244"/>
      <x:c r="M53" s="244"/>
      <x:c r="N53" s="244"/>
      <x:c r="O53" s="244"/>
      <x:c r="P53" s="244"/>
      <x:c r="Q53" s="244"/>
      <x:c r="R53" s="245"/>
    </x:row>
    <x:row r="54" ht="60" customHeight="1">
      <x:c r="B54" s="446" t="str">
        <x:v>До подання: витяги, кошториси, комерційні пропозиції, докази попиту й власних коштів. Після рішення — договір і банківський рахунок у строк п. 22 Порядку. До спливу 3 місяців від зарахування — цільові платежі та створення обов’язкових робочих місць.</x:v>
      </x:c>
      <x:c r="C54" s="443"/>
      <x:c r="D54" s="443"/>
      <x:c r="E54" s="443"/>
      <x:c r="F54" s="443"/>
      <x:c r="G54" s="443"/>
      <x:c r="H54" s="443"/>
      <x:c r="I54" s="443"/>
      <x:c r="J54" s="444"/>
      <x:c r="K54" s="246"/>
      <x:c r="L54" s="247"/>
      <x:c r="M54" s="247"/>
      <x:c r="N54" s="247"/>
      <x:c r="O54" s="247"/>
      <x:c r="P54" s="247"/>
      <x:c r="Q54" s="247"/>
      <x:c r="R54" s="248"/>
    </x:row>
    <x:row r="55" ht="44" customHeight="1">
      <x:c r="B55" s="446" t="str">
        <x:v>М1–М36: надання послуг, облік платежів і податків, кадровий контроль, моніторинг ризиків. Навчання — за підтвердженим графіком. В моделі умовно: 110 000 у М1 і 275 860 у М13, за власні кошти.</x:v>
      </x:c>
      <x:c r="C55" s="443"/>
      <x:c r="D55" s="443"/>
      <x:c r="E55" s="443"/>
      <x:c r="F55" s="443"/>
      <x:c r="G55" s="443"/>
      <x:c r="H55" s="443"/>
      <x:c r="I55" s="443"/>
      <x:c r="J55" s="444"/>
      <x:c r="K55" s="246"/>
      <x:c r="L55" s="247"/>
      <x:c r="M55" s="247"/>
      <x:c r="N55" s="247"/>
      <x:c r="O55" s="247"/>
      <x:c r="P55" s="247"/>
      <x:c r="Q55" s="247"/>
      <x:c r="R55" s="248"/>
    </x:row>
    <x:row r="56" ht="44" customHeight="1">
      <x:c r="B56" s="447" t="str">
        <x:v>Завершення планового періоду — М36. Виконання грантових умов підтверджується в установленому порядку; розрахункове досягнення суми податків саме по собі не припиняє зобов’язань.</x:v>
      </x:c>
      <x:c r="C56" s="448"/>
      <x:c r="D56" s="448"/>
      <x:c r="E56" s="448"/>
      <x:c r="F56" s="448"/>
      <x:c r="G56" s="448"/>
      <x:c r="H56" s="448"/>
      <x:c r="I56" s="448"/>
      <x:c r="J56" s="449"/>
      <x:c r="K56" s="246"/>
      <x:c r="L56" s="247"/>
      <x:c r="M56" s="247"/>
      <x:c r="N56" s="247"/>
      <x:c r="O56" s="247"/>
      <x:c r="P56" s="247"/>
      <x:c r="Q56" s="247"/>
      <x:c r="R56" s="248"/>
    </x:row>
    <x:row r="57" ht="30" customHeight="1">
      <x:c r="B57" s="324" t="s">
        <x:v>79</x:v>
      </x:c>
      <x:c r="C57" s="324"/>
      <x:c r="D57" s="324"/>
      <x:c r="E57" s="324"/>
      <x:c r="F57" s="324"/>
      <x:c r="G57" s="324"/>
      <x:c r="H57" s="324"/>
      <x:c r="I57" s="324"/>
      <x:c r="J57" s="324"/>
      <x:c r="K57" s="221"/>
      <x:c r="L57" s="222"/>
      <x:c r="M57" s="222"/>
      <x:c r="N57" s="222"/>
      <x:c r="O57" s="222"/>
      <x:c r="P57" s="222"/>
      <x:c r="Q57" s="222"/>
      <x:c r="R57" s="222"/>
    </x:row>
    <x:row r="58" ht="60" customHeight="1">
      <x:c r="B58" s="439" t="str">
        <x:v>Початковий бюджет 2 185 758 грн = грант 1 799 898 + заявлений власний внесок 385 860. Поточні витрати та резерв ліквідності фінансуються доходами/іншими підтвердженими джерелами. Наявність внеску не підтверджена. Строки платежів уточнити за договорами.</x:v>
      </x:c>
      <x:c r="C58" s="443"/>
      <x:c r="D58" s="443"/>
      <x:c r="E58" s="443"/>
      <x:c r="F58" s="443"/>
      <x:c r="G58" s="443"/>
      <x:c r="H58" s="443"/>
      <x:c r="I58" s="443"/>
      <x:c r="J58" s="444"/>
      <x:c r="K58" s="214" t="s">
        <x:v>80</x:v>
      </x:c>
      <x:c r="L58" s="215"/>
      <x:c r="M58" s="215"/>
      <x:c r="N58" s="215"/>
      <x:c r="O58" s="215"/>
      <x:c r="P58" s="215"/>
      <x:c r="Q58" s="215"/>
      <x:c r="R58" s="215"/>
    </x:row>
    <x:row r="59" ht="30" customHeight="1">
      <x:c r="B59" s="211" t="s">
        <x:v>81</x:v>
      </x:c>
      <x:c r="C59" s="212"/>
      <x:c r="D59" s="212"/>
      <x:c r="E59" s="212"/>
      <x:c r="F59" s="212"/>
      <x:c r="G59" s="212"/>
      <x:c r="H59" s="212"/>
      <x:c r="I59" s="212"/>
      <x:c r="J59" s="213"/>
      <x:c r="K59" s="221"/>
      <x:c r="L59" s="222"/>
      <x:c r="M59" s="222"/>
      <x:c r="N59" s="222"/>
      <x:c r="O59" s="222"/>
      <x:c r="P59" s="222"/>
      <x:c r="Q59" s="222"/>
      <x:c r="R59" s="222"/>
    </x:row>
    <x:row r="60" ht="60" customHeight="1">
      <x:c r="B60" s="450" t="str">
        <x:v>Підтвердити освіту, попередні проєкти, досвід 2009–2015, CV кандидатів і статус навчання ICA. Розмежувати управлінський консалтинг, юридичні послуги, фінмоніторинг та аудиторську діяльність. Не заявляти неотриманих сертифікатів.</x:v>
      </x:c>
      <x:c r="C60" s="451"/>
      <x:c r="D60" s="451"/>
      <x:c r="E60" s="451"/>
      <x:c r="F60" s="451"/>
      <x:c r="G60" s="451"/>
      <x:c r="H60" s="451"/>
      <x:c r="I60" s="451"/>
      <x:c r="J60" s="451"/>
      <x:c r="K60" s="320" t="s">
        <x:v>82</x:v>
      </x:c>
      <x:c r="L60" s="321"/>
      <x:c r="M60" s="321"/>
      <x:c r="N60" s="321"/>
      <x:c r="O60" s="321"/>
      <x:c r="P60" s="321"/>
      <x:c r="Q60" s="321"/>
      <x:c r="R60" s="321"/>
    </x:row>
    <x:row r="61" ht="30" customHeight="1">
      <x:c r="B61" s="211" t="s">
        <x:v>83</x:v>
      </x:c>
      <x:c r="C61" s="212"/>
      <x:c r="D61" s="212"/>
      <x:c r="E61" s="212"/>
      <x:c r="F61" s="212"/>
      <x:c r="G61" s="212"/>
      <x:c r="H61" s="212"/>
      <x:c r="I61" s="212"/>
      <x:c r="J61" s="213"/>
      <x:c r="K61" s="221"/>
      <x:c r="L61" s="222"/>
      <x:c r="M61" s="222"/>
      <x:c r="N61" s="222"/>
      <x:c r="O61" s="222"/>
      <x:c r="P61" s="222"/>
      <x:c r="Q61" s="222"/>
      <x:c r="R61" s="222"/>
    </x:row>
    <x:row r="62" ht="60" customHeight="1">
      <x:c r="B62" s="452" t="str">
        <x:v>Умовний прогноз заявниці збережено: від 200 000 до 750 000 грн/місяць, 20 220 000 за М1–М36. Перші/другі/треті 12 місяців — 3 830 000 / 7 390 000 / 9 000 000. Потрібен розрахунок кількість × тариф і потужність команди. Юридична виручка 8 140 000 залежить від підтвердження права на відповідні послуги.</x:v>
      </x:c>
      <x:c r="C62" s="453"/>
      <x:c r="D62" s="453"/>
      <x:c r="E62" s="453"/>
      <x:c r="F62" s="453"/>
      <x:c r="G62" s="453"/>
      <x:c r="H62" s="453"/>
      <x:c r="I62" s="453"/>
      <x:c r="J62" s="453"/>
      <x:c r="K62" s="323" t="s">
        <x:v>84</x:v>
      </x:c>
      <x:c r="L62" s="291"/>
      <x:c r="M62" s="291"/>
      <x:c r="N62" s="291"/>
      <x:c r="O62" s="291"/>
      <x:c r="P62" s="291"/>
      <x:c r="Q62" s="291"/>
      <x:c r="R62" s="291"/>
    </x:row>
    <x:row r="63" ht="44" customHeight="1">
      <x:c r="B63" s="452" t="str">
        <x:v>Рентабельність не підтверджена. Не прирівнювати касовий залишок до прибутку. Для розрахунку прибутку узгодити обліковий підхід до ремонту, обладнання, сайту, ПЗ та амортизації.</x:v>
      </x:c>
      <x:c r="C63" s="453"/>
      <x:c r="D63" s="453"/>
      <x:c r="E63" s="453"/>
      <x:c r="F63" s="453"/>
      <x:c r="G63" s="453"/>
      <x:c r="H63" s="453"/>
      <x:c r="I63" s="453"/>
      <x:c r="J63" s="453"/>
      <x:c r="K63" s="315" t="s">
        <x:v>85</x:v>
      </x:c>
      <x:c r="L63" s="291"/>
      <x:c r="M63" s="291"/>
      <x:c r="N63" s="291"/>
      <x:c r="O63" s="291"/>
      <x:c r="P63" s="291"/>
      <x:c r="Q63" s="291"/>
      <x:c r="R63" s="291"/>
    </x:row>
    <x:row r="64" ht="44" customHeight="1">
      <x:c r="B64" s="454" t="str">
        <x:v>Чистий прибуток не визначено через відсутність узгодженого P&amp;L та правил визнання витрат. Попереднє значення 3 303 695 грн вилучено як неузгоджене.</x:v>
      </x:c>
      <x:c r="C64" s="455"/>
      <x:c r="D64" s="455"/>
      <x:c r="E64" s="455"/>
      <x:c r="F64" s="455"/>
      <x:c r="G64" s="455"/>
      <x:c r="H64" s="455"/>
      <x:c r="I64" s="455"/>
      <x:c r="J64" s="455"/>
      <x:c r="K64" s="315" t="s">
        <x:v>86</x:v>
      </x:c>
      <x:c r="L64" s="250"/>
      <x:c r="M64" s="250"/>
      <x:c r="N64" s="250"/>
      <x:c r="O64" s="250"/>
      <x:c r="P64" s="250"/>
      <x:c r="Q64" s="250"/>
      <x:c r="R64" s="250"/>
    </x:row>
    <x:row r="65" ht="60" customHeight="1">
      <x:c r="B65" s="452" t="str">
        <x:v>Базовий умовний касовий залишок на кінець М36 — 14 564 915,76 грн. Уключає грантове й власне фінансування та всі розраховані платежі. Це не підтверджений прибуток і не гарантія майбутнього залишку; залежить від продажів, авансу оренди та неврахованих витрат.</x:v>
      </x:c>
      <x:c r="C65" s="453"/>
      <x:c r="D65" s="453"/>
      <x:c r="E65" s="453"/>
      <x:c r="F65" s="453"/>
      <x:c r="G65" s="453"/>
      <x:c r="H65" s="453"/>
      <x:c r="I65" s="453"/>
      <x:c r="J65" s="453"/>
      <x:c r="K65" s="315" t="s">
        <x:v>87</x:v>
      </x:c>
      <x:c r="L65" s="250"/>
      <x:c r="M65" s="250"/>
      <x:c r="N65" s="250"/>
      <x:c r="O65" s="250"/>
      <x:c r="P65" s="250"/>
      <x:c r="Q65" s="250"/>
      <x:c r="R65" s="250"/>
    </x:row>
    <x:row r="66" ht="72" customHeight="1">
      <x:c r="B66" s="286" t="s">
        <x:v>88</x:v>
      </x:c>
      <x:c r="C66" s="287"/>
      <x:c r="D66" s="287"/>
      <x:c r="E66" s="287"/>
      <x:c r="F66" s="287"/>
      <x:c r="G66" s="287"/>
      <x:c r="H66" s="287"/>
      <x:c r="I66" s="287"/>
      <x:c r="J66" s="288"/>
      <x:c r="K66" s="289" t="s">
        <x:v>89</x:v>
      </x:c>
      <x:c r="L66" s="290"/>
      <x:c r="M66" s="290"/>
      <x:c r="N66" s="290"/>
      <x:c r="O66" s="290"/>
      <x:c r="P66" s="290"/>
      <x:c r="Q66" s="290"/>
      <x:c r="R66" s="290"/>
    </x:row>
    <x:row r="67" ht="44" customHeight="1">
      <x:c r="B67" s="450" t="str">
        <x:v>Окупність інвестицій не засвідчена. Необхідно погодити інвестиційну базу, відокремити фінансування та обрати операційний грошовий потік. Строк 36 місяців є строком проєкту, а не доведеним строком окупності.</x:v>
      </x:c>
      <x:c r="C67" s="451"/>
      <x:c r="D67" s="451"/>
      <x:c r="E67" s="451"/>
      <x:c r="F67" s="451"/>
      <x:c r="G67" s="451"/>
      <x:c r="H67" s="451"/>
      <x:c r="I67" s="451"/>
      <x:c r="J67" s="451"/>
      <x:c r="K67" s="249" t="s">
        <x:v>90</x:v>
      </x:c>
      <x:c r="L67" s="291"/>
      <x:c r="M67" s="291"/>
      <x:c r="N67" s="291"/>
      <x:c r="O67" s="291"/>
      <x:c r="P67" s="291"/>
      <x:c r="Q67" s="291"/>
      <x:c r="R67" s="291"/>
    </x:row>
    <x:row r="68" ht="44" customHeight="1">
      <x:c r="B68" s="450" t="str">
        <x:v>ROI не підтверджено; попередні 100% вилучено. Розрахувати після погодження інвестиційної бази та чистого результату.</x:v>
      </x:c>
      <x:c r="C68" s="451"/>
      <x:c r="D68" s="451"/>
      <x:c r="E68" s="451"/>
      <x:c r="F68" s="451"/>
      <x:c r="G68" s="451"/>
      <x:c r="H68" s="451"/>
      <x:c r="I68" s="451"/>
      <x:c r="J68" s="451"/>
      <x:c r="K68" s="249" t="s">
        <x:v>91</x:v>
      </x:c>
      <x:c r="L68" s="250"/>
      <x:c r="M68" s="250"/>
      <x:c r="N68" s="250"/>
      <x:c r="O68" s="250"/>
      <x:c r="P68" s="250"/>
      <x:c r="Q68" s="250"/>
      <x:c r="R68" s="250"/>
    </x:row>
    <x:row r="69" ht="44" customHeight="1">
      <x:c r="B69" s="456" t="str">
        <x:v>IRR не розраховано: спочатку визначити інвестиційний потік, строки й залишкову вартість. Не використовувати потік з отриманим грантом як операційну дохідність проєкту.</x:v>
      </x:c>
      <x:c r="C69" s="451"/>
      <x:c r="D69" s="451"/>
      <x:c r="E69" s="451"/>
      <x:c r="F69" s="451"/>
      <x:c r="G69" s="451"/>
      <x:c r="H69" s="451"/>
      <x:c r="I69" s="451"/>
      <x:c r="J69" s="451"/>
      <x:c r="K69" s="249" t="s">
        <x:v>92</x:v>
      </x:c>
      <x:c r="L69" s="250"/>
      <x:c r="M69" s="250"/>
      <x:c r="N69" s="250"/>
      <x:c r="O69" s="250"/>
      <x:c r="P69" s="250"/>
      <x:c r="Q69" s="250"/>
      <x:c r="R69" s="250"/>
    </x:row>
    <x:row r="70" ht="44" customHeight="1">
      <x:c r="B70" s="450" t="str">
        <x:v>Очікуваний суспільний ефект — створення робочих місць і сплата податків за фактичних результатів. Не заявляти цільового спрямування податків конкретним отримувачам без законодавчої підстави.</x:v>
      </x:c>
      <x:c r="C70" s="451"/>
      <x:c r="D70" s="451"/>
      <x:c r="E70" s="451"/>
      <x:c r="F70" s="451"/>
      <x:c r="G70" s="451"/>
      <x:c r="H70" s="451"/>
      <x:c r="I70" s="451"/>
      <x:c r="J70" s="451"/>
      <x:c r="K70" s="249" t="s">
        <x:v>93</x:v>
      </x:c>
      <x:c r="L70" s="250"/>
      <x:c r="M70" s="250"/>
      <x:c r="N70" s="250"/>
      <x:c r="O70" s="250"/>
      <x:c r="P70" s="250"/>
      <x:c r="Q70" s="250"/>
      <x:c r="R70" s="250"/>
    </x:row>
    <x:row r="71" ht="44" customHeight="1">
      <x:c r="B71" s="456" t="str">
        <x:v>Екологічний ефект кількісно не оцінено. Для офісу передбачити ощадливе споживання електроенергії та належне поводження з електронними відходами; не заявляти непідтверджених екологічних показників.</x:v>
      </x:c>
      <x:c r="C71" s="451"/>
      <x:c r="D71" s="451"/>
      <x:c r="E71" s="451"/>
      <x:c r="F71" s="451"/>
      <x:c r="G71" s="451"/>
      <x:c r="H71" s="451"/>
      <x:c r="I71" s="451"/>
      <x:c r="J71" s="451"/>
      <x:c r="K71" s="249" t="s">
        <x:v>94</x:v>
      </x:c>
      <x:c r="L71" s="250"/>
      <x:c r="M71" s="250"/>
      <x:c r="N71" s="250"/>
      <x:c r="O71" s="250"/>
      <x:c r="P71" s="250"/>
      <x:c r="Q71" s="250"/>
      <x:c r="R71" s="250"/>
    </x:row>
    <x:row r="72" ht="33" customHeight="1">
      <x:c r="B72" s="223" t="s">
        <x:v>95</x:v>
      </x:c>
      <x:c r="C72" s="224"/>
      <x:c r="D72" s="224"/>
      <x:c r="E72" s="224"/>
      <x:c r="F72" s="224"/>
      <x:c r="G72" s="224"/>
      <x:c r="H72" s="224"/>
      <x:c r="I72" s="224"/>
      <x:c r="J72" s="224"/>
      <x:c r="K72" s="249" t="s">
        <x:v>96</x:v>
      </x:c>
      <x:c r="L72" s="250"/>
      <x:c r="M72" s="250"/>
      <x:c r="N72" s="250"/>
      <x:c r="O72" s="250"/>
      <x:c r="P72" s="250"/>
      <x:c r="Q72" s="250"/>
      <x:c r="R72" s="250"/>
    </x:row>
    <x:row r="73" ht="30" customHeight="1">
      <x:c r="B73" s="211" t="s">
        <x:v>97</x:v>
      </x:c>
      <x:c r="C73" s="212"/>
      <x:c r="D73" s="212"/>
      <x:c r="E73" s="212"/>
      <x:c r="F73" s="212"/>
      <x:c r="G73" s="212"/>
      <x:c r="H73" s="212"/>
      <x:c r="I73" s="212"/>
      <x:c r="J73" s="213"/>
      <x:c r="K73" s="221"/>
      <x:c r="L73" s="222"/>
      <x:c r="M73" s="222"/>
      <x:c r="N73" s="222"/>
      <x:c r="O73" s="222"/>
      <x:c r="P73" s="222"/>
      <x:c r="Q73" s="222"/>
      <x:c r="R73" s="222"/>
    </x:row>
    <x:row r="74" ht="60" customHeight="1">
      <x:c r="B74" s="456" t="str">
        <x:v>Точка беззбитковості потребує поділу витрат на постійні/змінні та тарифної моделі. Орієнтир М1 для поточного касового покриття: 120 800,36 грн/місяць за 6% податків з виручки; без разових інвестицій, навчання, вилучень і неврахованих витрат.</x:v>
      </x:c>
      <x:c r="C74" s="451"/>
      <x:c r="D74" s="451"/>
      <x:c r="E74" s="451"/>
      <x:c r="F74" s="451"/>
      <x:c r="G74" s="451"/>
      <x:c r="H74" s="451"/>
      <x:c r="I74" s="451"/>
      <x:c r="J74" s="451"/>
      <x:c r="K74" s="323" t="s">
        <x:v>98</x:v>
      </x:c>
      <x:c r="L74" s="291"/>
      <x:c r="M74" s="291"/>
      <x:c r="N74" s="291"/>
      <x:c r="O74" s="291"/>
      <x:c r="P74" s="291"/>
      <x:c r="Q74" s="291"/>
      <x:c r="R74" s="291"/>
    </x:row>
    <x:row r="75" ht="44" customHeight="1">
      <x:c r="B75" s="458" t="str">
        <x:v>Версія 2 — робоча редакція після перевірки; НЕ ГОТОВА ДО ПОДАННЯ без доказів і остаточної звірки.</x:v>
      </x:c>
      <x:c r="C75" s="459"/>
      <x:c r="D75" s="459"/>
      <x:c r="E75" s="459"/>
      <x:c r="F75" s="459"/>
      <x:c r="G75" s="459"/>
      <x:c r="H75" s="459"/>
      <x:c r="I75" s="459"/>
      <x:c r="J75" s="460"/>
      <x:c r="K75" s="221"/>
      <x:c r="L75" s="222"/>
      <x:c r="M75" s="222"/>
      <x:c r="N75" s="222"/>
      <x:c r="O75" s="222"/>
      <x:c r="P75" s="222"/>
      <x:c r="Q75" s="222"/>
      <x:c r="R75" s="222"/>
    </x:row>
    <x:row r="76" ht="76.1500015258789" customHeight="1">
      <x:c r="B76" s="345" t="s">
        <x:v>99</x:v>
      </x:c>
      <x:c r="C76" s="224"/>
      <x:c r="D76" s="224"/>
      <x:c r="E76" s="224"/>
      <x:c r="F76" s="224"/>
      <x:c r="G76" s="224"/>
      <x:c r="H76" s="224"/>
      <x:c r="I76" s="224"/>
      <x:c r="J76" s="224"/>
      <x:c r="K76" s="214" t="s">
        <x:v>100</x:v>
      </x:c>
      <x:c r="L76" s="215"/>
      <x:c r="M76" s="215"/>
      <x:c r="N76" s="215"/>
      <x:c r="O76" s="215"/>
      <x:c r="P76" s="215"/>
      <x:c r="Q76" s="215"/>
      <x:c r="R76" s="215"/>
    </x:row>
    <x:row r="77" ht="44" customHeight="1">
      <x:c r="B77" s="458" t="str">
        <x:v>Дата доопрацювання: 16.10.2026. Правила та ставки повторно перевірити на дату подання і платежів.</x:v>
      </x:c>
      <x:c r="C77" s="459"/>
      <x:c r="D77" s="459"/>
      <x:c r="E77" s="459"/>
      <x:c r="F77" s="459"/>
      <x:c r="G77" s="459"/>
      <x:c r="H77" s="459"/>
      <x:c r="I77" s="459"/>
      <x:c r="J77" s="460"/>
      <x:c r="K77" s="221"/>
      <x:c r="L77" s="222"/>
      <x:c r="M77" s="222"/>
      <x:c r="N77" s="222"/>
      <x:c r="O77" s="222"/>
      <x:c r="P77" s="222"/>
      <x:c r="Q77" s="222"/>
      <x:c r="R77" s="222"/>
    </x:row>
    <x:row r="78" ht="50.45000076293945" customHeight="1">
      <x:c r="B78" s="227"/>
      <x:c r="C78" s="224"/>
      <x:c r="D78" s="224"/>
      <x:c r="E78" s="224"/>
      <x:c r="F78" s="224"/>
      <x:c r="G78" s="224"/>
      <x:c r="H78" s="224"/>
      <x:c r="I78" s="224"/>
      <x:c r="J78" s="224"/>
      <x:c r="K78" s="214" t="s">
        <x:v>101</x:v>
      </x:c>
      <x:c r="L78" s="215"/>
      <x:c r="M78" s="215"/>
      <x:c r="N78" s="215"/>
      <x:c r="O78" s="215"/>
      <x:c r="P78" s="215"/>
      <x:c r="Q78" s="215"/>
      <x:c r="R78" s="215"/>
    </x:row>
    <x:row r="79" ht="48.599998474121094" customHeight="1">
      <x:c r="B79" s="307" t="s">
        <x:v>102</x:v>
      </x:c>
      <x:c r="C79" s="307"/>
      <x:c r="D79" s="307"/>
      <x:c r="E79" s="307"/>
      <x:c r="F79" s="307"/>
      <x:c r="G79" s="307"/>
      <x:c r="H79" s="307"/>
      <x:c r="I79" s="307"/>
      <x:c r="J79" s="307"/>
      <x:c r="K79" s="225" t="s">
        <x:v>16</x:v>
      </x:c>
      <x:c r="L79" s="226"/>
      <x:c r="M79" s="226"/>
      <x:c r="N79" s="226"/>
      <x:c r="O79" s="226"/>
      <x:c r="P79" s="226"/>
      <x:c r="Q79" s="226"/>
      <x:c r="R79" s="226"/>
      <x:c r="S79" s="17"/>
      <x:c r="T79" s="17"/>
      <x:c r="U79" s="17"/>
      <x:c r="V79" s="17"/>
      <x:c r="W79" s="17"/>
      <x:c r="X79" s="17"/>
    </x:row>
    <x:row r="80" ht="27.600000381469727" customHeight="1">
      <x:c r="B80" s="263" t="s">
        <x:v>103</x:v>
      </x:c>
      <x:c r="C80" s="222"/>
      <x:c r="D80" s="222"/>
      <x:c r="E80" s="222"/>
      <x:c r="F80" s="222"/>
      <x:c r="G80" s="222"/>
      <x:c r="H80" s="222"/>
      <x:c r="I80" s="222"/>
      <x:c r="J80" s="222"/>
      <x:c r="K80" s="221"/>
      <x:c r="L80" s="222"/>
      <x:c r="M80" s="222"/>
      <x:c r="N80" s="222"/>
      <x:c r="O80" s="222"/>
      <x:c r="P80" s="222"/>
      <x:c r="Q80" s="222"/>
      <x:c r="R80" s="222"/>
      <x:c r="S80" s="17"/>
      <x:c r="T80" s="17"/>
      <x:c r="U80" s="17"/>
      <x:c r="V80" s="17"/>
      <x:c r="W80" s="17"/>
      <x:c r="X80" s="17"/>
    </x:row>
    <x:row r="81" ht="33" customHeight="1">
      <x:c r="B81" s="334" t="s">
        <x:v>104</x:v>
      </x:c>
      <x:c r="C81" s="330"/>
      <x:c r="D81" s="330"/>
      <x:c r="E81" s="29" t="s">
        <x:v>105</x:v>
      </x:c>
      <x:c r="F81" s="334" t="s">
        <x:v>106</x:v>
      </x:c>
      <x:c r="G81" s="330"/>
      <x:c r="H81" s="330"/>
      <x:c r="I81" s="330"/>
      <x:c r="J81" s="341"/>
      <x:c r="K81" s="295" t="s">
        <x:v>107</x:v>
      </x:c>
      <x:c r="L81" s="296"/>
      <x:c r="M81" s="296"/>
      <x:c r="N81" s="296"/>
      <x:c r="O81" s="296"/>
      <x:c r="P81" s="296"/>
      <x:c r="Q81" s="296"/>
      <x:c r="R81" s="297"/>
    </x:row>
    <x:row r="82" ht="54" customHeight="1">
      <x:c r="B82" s="476" t="s">
        <x:v>108</x:v>
      </x:c>
      <x:c r="C82" s="455"/>
      <x:c r="D82" s="455"/>
      <x:c r="E82" s="463">
        <x:v>360000</x:v>
      </x:c>
      <x:c r="F82" s="477" t="str">
        <x:v>Умовний аванс 24 × 15 000 у М1. Допустимість, договір і рахунок підтвердити; інакше переглянути бюджет.</x:v>
      </x:c>
      <x:c r="G82" s="451"/>
      <x:c r="H82" s="451"/>
      <x:c r="I82" s="451"/>
      <x:c r="J82" s="478"/>
      <x:c r="K82" s="246"/>
      <x:c r="L82" s="247"/>
      <x:c r="M82" s="247"/>
      <x:c r="N82" s="247"/>
      <x:c r="O82" s="247"/>
      <x:c r="P82" s="247"/>
      <x:c r="Q82" s="247"/>
      <x:c r="R82" s="298"/>
    </x:row>
    <x:row r="83" ht="15.75" customHeight="1">
      <x:c r="B83" s="329" t="s">
        <x:v>109</x:v>
      </x:c>
      <x:c r="C83" s="330"/>
      <x:c r="D83" s="330"/>
      <x:c r="E83" s="30">
        <x:v>613758</x:v>
      </x:c>
      <x:c r="F83" s="329" t="s">
        <x:v>110</x:v>
      </x:c>
      <x:c r="G83" s="224"/>
      <x:c r="H83" s="224"/>
      <x:c r="I83" s="224"/>
      <x:c r="J83" s="331"/>
      <x:c r="K83" s="246"/>
      <x:c r="L83" s="247"/>
      <x:c r="M83" s="247"/>
      <x:c r="N83" s="247"/>
      <x:c r="O83" s="247"/>
      <x:c r="P83" s="247"/>
      <x:c r="Q83" s="247"/>
      <x:c r="R83" s="298"/>
    </x:row>
    <x:row r="84" ht="14.25" customHeight="1">
      <x:c r="B84" s="329" t="s">
        <x:v>111</x:v>
      </x:c>
      <x:c r="C84" s="330"/>
      <x:c r="D84" s="330"/>
      <x:c r="E84" s="184">
        <x:v>257140</x:v>
      </x:c>
      <x:c r="F84" s="329" t="s">
        <x:v>112</x:v>
      </x:c>
      <x:c r="G84" s="224"/>
      <x:c r="H84" s="224"/>
      <x:c r="I84" s="224"/>
      <x:c r="J84" s="331"/>
      <x:c r="K84" s="246"/>
      <x:c r="L84" s="247"/>
      <x:c r="M84" s="247"/>
      <x:c r="N84" s="247"/>
      <x:c r="O84" s="247"/>
      <x:c r="P84" s="247"/>
      <x:c r="Q84" s="247"/>
      <x:c r="R84" s="298"/>
    </x:row>
    <x:row r="85" ht="15.75" customHeight="1">
      <x:c r="B85" s="292" t="s">
        <x:v>113</x:v>
      </x:c>
      <x:c r="C85" s="293"/>
      <x:c r="D85" s="293"/>
      <x:c r="E85" s="31">
        <x:v>112000</x:v>
      </x:c>
      <x:c r="F85" s="292" t="s">
        <x:v>114</x:v>
      </x:c>
      <x:c r="G85" s="293"/>
      <x:c r="H85" s="293"/>
      <x:c r="I85" s="293"/>
      <x:c r="J85" s="294"/>
      <x:c r="K85" s="246"/>
      <x:c r="L85" s="247"/>
      <x:c r="M85" s="247"/>
      <x:c r="N85" s="247"/>
      <x:c r="O85" s="247"/>
      <x:c r="P85" s="247"/>
      <x:c r="Q85" s="247"/>
      <x:c r="R85" s="298"/>
    </x:row>
    <x:row r="86">
      <x:c r="B86" s="292" t="s">
        <x:v>115</x:v>
      </x:c>
      <x:c r="C86" s="293"/>
      <x:c r="D86" s="293"/>
      <x:c r="E86" s="31">
        <x:v>179000</x:v>
      </x:c>
      <x:c r="F86" s="332"/>
      <x:c r="G86" s="293"/>
      <x:c r="H86" s="293"/>
      <x:c r="I86" s="293"/>
      <x:c r="J86" s="294"/>
      <x:c r="K86" s="246"/>
      <x:c r="L86" s="247"/>
      <x:c r="M86" s="247"/>
      <x:c r="N86" s="247"/>
      <x:c r="O86" s="247"/>
      <x:c r="P86" s="247"/>
      <x:c r="Q86" s="247"/>
      <x:c r="R86" s="298"/>
    </x:row>
    <x:row r="87">
      <x:c r="B87" s="292" t="s">
        <x:v>116</x:v>
      </x:c>
      <x:c r="C87" s="293"/>
      <x:c r="D87" s="293"/>
      <x:c r="E87" s="31">
        <x:v>100000</x:v>
      </x:c>
      <x:c r="F87" s="292" t="s">
        <x:v>117</x:v>
      </x:c>
      <x:c r="G87" s="293"/>
      <x:c r="H87" s="293"/>
      <x:c r="I87" s="293"/>
      <x:c r="J87" s="294"/>
      <x:c r="K87" s="246"/>
      <x:c r="L87" s="247"/>
      <x:c r="M87" s="247"/>
      <x:c r="N87" s="247"/>
      <x:c r="O87" s="247"/>
      <x:c r="P87" s="247"/>
      <x:c r="Q87" s="247"/>
      <x:c r="R87" s="298"/>
    </x:row>
    <x:row r="88">
      <x:c r="B88" s="292" t="s">
        <x:v>118</x:v>
      </x:c>
      <x:c r="C88" s="293"/>
      <x:c r="D88" s="293"/>
      <x:c r="E88" s="31">
        <x:v>178000</x:v>
      </x:c>
      <x:c r="F88" s="292" t="s">
        <x:v>119</x:v>
      </x:c>
      <x:c r="G88" s="293"/>
      <x:c r="H88" s="293"/>
      <x:c r="I88" s="293"/>
      <x:c r="J88" s="294"/>
      <x:c r="K88" s="246"/>
      <x:c r="L88" s="247"/>
      <x:c r="M88" s="247"/>
      <x:c r="N88" s="247"/>
      <x:c r="O88" s="247"/>
      <x:c r="P88" s="247"/>
      <x:c r="Q88" s="247"/>
      <x:c r="R88" s="298"/>
    </x:row>
    <x:row r="89" ht="26.450000762939453" customHeight="1">
      <x:c r="B89" s="335" t="s">
        <x:v>120</x:v>
      </x:c>
      <x:c r="C89" s="336"/>
      <x:c r="D89" s="336"/>
      <x:c r="E89" s="32" t="n">
        <x:f>SUM(E82:E88)</x:f>
        <x:v>1799898</x:v>
      </x:c>
      <x:c r="F89" s="337" t="s">
        <x:v>62</x:v>
      </x:c>
      <x:c r="G89" s="293"/>
      <x:c r="H89" s="293"/>
      <x:c r="I89" s="293"/>
      <x:c r="J89" s="294"/>
      <x:c r="K89" s="299"/>
      <x:c r="L89" s="300"/>
      <x:c r="M89" s="300"/>
      <x:c r="N89" s="300"/>
      <x:c r="O89" s="300"/>
      <x:c r="P89" s="300"/>
      <x:c r="Q89" s="300"/>
      <x:c r="R89" s="301"/>
    </x:row>
    <x:row r="90" ht="36" customHeight="1">
      <x:c r="B90" s="219" t="s">
        <x:v>121</x:v>
      </x:c>
      <x:c r="C90" s="220"/>
      <x:c r="D90" s="220"/>
      <x:c r="E90" s="220"/>
      <x:c r="F90" s="220"/>
      <x:c r="G90" s="220"/>
      <x:c r="H90" s="220"/>
      <x:c r="I90" s="220"/>
      <x:c r="J90" s="220"/>
      <x:c r="K90" s="338" t="s">
        <x:v>62</x:v>
      </x:c>
      <x:c r="L90" s="339"/>
      <x:c r="M90" s="339"/>
      <x:c r="N90" s="339"/>
      <x:c r="O90" s="339"/>
      <x:c r="P90" s="339"/>
      <x:c r="Q90" s="339"/>
      <x:c r="R90" s="340"/>
    </x:row>
    <x:row r="91" ht="30" customHeight="1">
      <x:c r="B91" s="333" t="s">
        <x:v>122</x:v>
      </x:c>
      <x:c r="C91" s="230"/>
      <x:c r="D91" s="231"/>
      <x:c r="E91" s="33" t="s">
        <x:v>105</x:v>
      </x:c>
      <x:c r="F91" s="333" t="s">
        <x:v>106</x:v>
      </x:c>
      <x:c r="G91" s="230"/>
      <x:c r="H91" s="230"/>
      <x:c r="I91" s="230"/>
      <x:c r="J91" s="230"/>
      <x:c r="K91" s="246" t="s">
        <x:v>123</x:v>
      </x:c>
      <x:c r="L91" s="247"/>
      <x:c r="M91" s="247"/>
      <x:c r="N91" s="247"/>
      <x:c r="O91" s="247"/>
      <x:c r="P91" s="247"/>
      <x:c r="Q91" s="247"/>
      <x:c r="R91" s="298"/>
    </x:row>
    <x:row r="92" ht="15.75" customHeight="1">
      <x:c r="B92" s="229" t="s">
        <x:v>124</x:v>
      </x:c>
      <x:c r="C92" s="230"/>
      <x:c r="D92" s="231"/>
      <x:c r="E92" s="34">
        <x:v>110000</x:v>
      </x:c>
      <x:c r="F92" s="229" t="s">
        <x:v>125</x:v>
      </x:c>
      <x:c r="G92" s="232"/>
      <x:c r="H92" s="232"/>
      <x:c r="I92" s="232"/>
      <x:c r="J92" s="233"/>
      <x:c r="K92" s="246"/>
      <x:c r="L92" s="247"/>
      <x:c r="M92" s="247"/>
      <x:c r="N92" s="247"/>
      <x:c r="O92" s="247"/>
      <x:c r="P92" s="247"/>
      <x:c r="Q92" s="247"/>
      <x:c r="R92" s="298"/>
    </x:row>
    <x:row r="93" ht="15.75" customHeight="1">
      <x:c r="B93" s="234" t="s">
        <x:v>126</x:v>
      </x:c>
      <x:c r="C93" s="235"/>
      <x:c r="D93" s="236"/>
      <x:c r="E93" s="35">
        <x:v>275860</x:v>
      </x:c>
      <x:c r="F93" s="234" t="s">
        <x:v>127</x:v>
      </x:c>
      <x:c r="G93" s="235"/>
      <x:c r="H93" s="235"/>
      <x:c r="I93" s="235"/>
      <x:c r="J93" s="235"/>
      <x:c r="K93" s="246"/>
      <x:c r="L93" s="247"/>
      <x:c r="M93" s="247"/>
      <x:c r="N93" s="247"/>
      <x:c r="O93" s="247"/>
      <x:c r="P93" s="247"/>
      <x:c r="Q93" s="247"/>
      <x:c r="R93" s="298"/>
    </x:row>
    <x:row r="94" ht="15.75" customHeight="1">
      <x:c r="B94" s="229"/>
      <x:c r="C94" s="230"/>
      <x:c r="D94" s="231"/>
      <x:c r="E94" s="34"/>
      <x:c r="F94" s="229"/>
      <x:c r="G94" s="232"/>
      <x:c r="H94" s="232"/>
      <x:c r="I94" s="232"/>
      <x:c r="J94" s="233"/>
      <x:c r="K94" s="246"/>
      <x:c r="L94" s="247"/>
      <x:c r="M94" s="247"/>
      <x:c r="N94" s="247"/>
      <x:c r="O94" s="247"/>
      <x:c r="P94" s="247"/>
      <x:c r="Q94" s="247"/>
      <x:c r="R94" s="298"/>
    </x:row>
    <x:row r="95" ht="15.75" customHeight="1">
      <x:c r="B95" s="234"/>
      <x:c r="C95" s="235"/>
      <x:c r="D95" s="236"/>
      <x:c r="E95" s="35"/>
      <x:c r="F95" s="234"/>
      <x:c r="G95" s="235"/>
      <x:c r="H95" s="235"/>
      <x:c r="I95" s="235"/>
      <x:c r="J95" s="235"/>
      <x:c r="K95" s="246"/>
      <x:c r="L95" s="247"/>
      <x:c r="M95" s="247"/>
      <x:c r="N95" s="247"/>
      <x:c r="O95" s="247"/>
      <x:c r="P95" s="247"/>
      <x:c r="Q95" s="247"/>
      <x:c r="R95" s="298"/>
    </x:row>
    <x:row r="96" ht="15.75" customHeight="1">
      <x:c r="B96" s="334" t="s">
        <x:v>120</x:v>
      </x:c>
      <x:c r="C96" s="344"/>
      <x:c r="D96" s="344"/>
      <x:c r="E96" s="36" t="n">
        <x:f>SUM(E92:E95)</x:f>
        <x:v>385860</x:v>
      </x:c>
      <x:c r="F96" s="214" t="s">
        <x:v>62</x:v>
      </x:c>
      <x:c r="G96" s="330"/>
      <x:c r="H96" s="330"/>
      <x:c r="I96" s="330"/>
      <x:c r="J96" s="330"/>
      <x:c r="K96" s="299"/>
      <x:c r="L96" s="300"/>
      <x:c r="M96" s="300"/>
      <x:c r="N96" s="300"/>
      <x:c r="O96" s="300"/>
      <x:c r="P96" s="300"/>
      <x:c r="Q96" s="300"/>
      <x:c r="R96" s="301"/>
    </x:row>
    <x:row r="97" ht="43.150001525878906" customHeight="1">
      <x:c r="B97" s="326" t="s">
        <x:v>128</x:v>
      </x:c>
      <x:c r="C97" s="326"/>
      <x:c r="D97" s="326"/>
      <x:c r="E97" s="326"/>
      <x:c r="F97" s="326"/>
      <x:c r="G97" s="326"/>
      <x:c r="H97" s="326"/>
      <x:c r="I97" s="326"/>
      <x:c r="J97" s="326"/>
      <x:c r="K97" s="225" t="s">
        <x:v>16</x:v>
      </x:c>
      <x:c r="L97" s="226"/>
      <x:c r="M97" s="226"/>
      <x:c r="N97" s="226"/>
      <x:c r="O97" s="226"/>
      <x:c r="P97" s="226"/>
      <x:c r="Q97" s="226"/>
      <x:c r="R97" s="226"/>
    </x:row>
    <x:row r="98" ht="30" customHeight="1">
      <x:c r="B98" s="211" t="s">
        <x:v>129</x:v>
      </x:c>
      <x:c r="C98" s="212"/>
      <x:c r="D98" s="212"/>
      <x:c r="E98" s="212"/>
      <x:c r="F98" s="212"/>
      <x:c r="G98" s="212"/>
      <x:c r="H98" s="212"/>
      <x:c r="I98" s="212"/>
      <x:c r="J98" s="213"/>
      <x:c r="K98" s="221"/>
      <x:c r="L98" s="222"/>
      <x:c r="M98" s="222"/>
      <x:c r="N98" s="222"/>
      <x:c r="O98" s="222"/>
      <x:c r="P98" s="222"/>
      <x:c r="Q98" s="222"/>
      <x:c r="R98" s="222"/>
    </x:row>
    <x:row r="99" ht="77.44999694824219" customHeight="1">
      <x:c r="B99" s="214" t="n">
        <x:v>3</x:v>
      </x:c>
      <x:c r="C99" s="214"/>
      <x:c r="D99" s="214"/>
      <x:c r="E99" s="214"/>
      <x:c r="F99" s="214"/>
      <x:c r="G99" s="214"/>
      <x:c r="H99" s="214"/>
      <x:c r="I99" s="214"/>
      <x:c r="J99" s="214"/>
      <x:c r="K99" s="214" t="s">
        <x:v>130</x:v>
      </x:c>
      <x:c r="L99" s="215"/>
      <x:c r="M99" s="215"/>
      <x:c r="N99" s="215"/>
      <x:c r="O99" s="215"/>
      <x:c r="P99" s="215"/>
      <x:c r="Q99" s="215"/>
      <x:c r="R99" s="215"/>
    </x:row>
    <x:row r="100" ht="30" customHeight="1">
      <x:c r="B100" s="211" t="s">
        <x:v>131</x:v>
      </x:c>
      <x:c r="C100" s="212"/>
      <x:c r="D100" s="212"/>
      <x:c r="E100" s="212"/>
      <x:c r="F100" s="212"/>
      <x:c r="G100" s="212"/>
      <x:c r="H100" s="212"/>
      <x:c r="I100" s="212"/>
      <x:c r="J100" s="213"/>
      <x:c r="K100" s="221"/>
      <x:c r="L100" s="222"/>
      <x:c r="M100" s="222"/>
      <x:c r="N100" s="222"/>
      <x:c r="O100" s="222"/>
      <x:c r="P100" s="222"/>
      <x:c r="Q100" s="222"/>
      <x:c r="R100" s="222"/>
    </x:row>
    <x:row r="101" ht="76" customHeight="1">
      <x:c r="B101" s="450" t="str">
        <x:v>План — 3 наймані працівники: два юристи/консультанти і бухгалтер. Стартова зарплата кожного 25 000 грн до утримання ПДФО/ВЗ (припущення); загальний фонд 75 000 і ЄСВ роботодавця 16 500 на місяць. Два нові місця — підстава заявленої надбавки; остаточні зобов’язання звірити з договором. ФОП до найманих працівників не включена.</x:v>
      </x:c>
      <x:c r="C101" s="451"/>
      <x:c r="D101" s="451"/>
      <x:c r="E101" s="451"/>
      <x:c r="F101" s="451"/>
      <x:c r="G101" s="451"/>
      <x:c r="H101" s="451"/>
      <x:c r="I101" s="451"/>
      <x:c r="J101" s="451"/>
      <x:c r="K101" s="214" t="s">
        <x:v>132</x:v>
      </x:c>
      <x:c r="L101" s="215"/>
      <x:c r="M101" s="215"/>
      <x:c r="N101" s="215"/>
      <x:c r="O101" s="215"/>
      <x:c r="P101" s="215"/>
      <x:c r="Q101" s="215"/>
      <x:c r="R101" s="215"/>
    </x:row>
    <x:row r="102" ht="43.150001525878906" customHeight="1">
      <x:c r="B102" s="326" t="s">
        <x:v>133</x:v>
      </x:c>
      <x:c r="C102" s="326"/>
      <x:c r="D102" s="326"/>
      <x:c r="E102" s="326"/>
      <x:c r="F102" s="326"/>
      <x:c r="G102" s="326"/>
      <x:c r="H102" s="326"/>
      <x:c r="I102" s="326"/>
      <x:c r="J102" s="326"/>
      <x:c r="K102" s="225" t="s">
        <x:v>16</x:v>
      </x:c>
      <x:c r="L102" s="226"/>
      <x:c r="M102" s="226"/>
      <x:c r="N102" s="226"/>
      <x:c r="O102" s="226"/>
      <x:c r="P102" s="226"/>
      <x:c r="Q102" s="226"/>
      <x:c r="R102" s="226"/>
    </x:row>
    <x:row r="103" ht="30" customHeight="1">
      <x:c r="B103" s="211" t="s">
        <x:v>134</x:v>
      </x:c>
      <x:c r="C103" s="212"/>
      <x:c r="D103" s="212"/>
      <x:c r="E103" s="212"/>
      <x:c r="F103" s="212"/>
      <x:c r="G103" s="212"/>
      <x:c r="H103" s="212"/>
      <x:c r="I103" s="212"/>
      <x:c r="J103" s="213"/>
      <x:c r="K103" s="221"/>
      <x:c r="L103" s="222"/>
      <x:c r="M103" s="222"/>
      <x:c r="N103" s="222"/>
      <x:c r="O103" s="222"/>
      <x:c r="P103" s="222"/>
      <x:c r="Q103" s="222"/>
      <x:c r="R103" s="222"/>
    </x:row>
    <x:row r="104" ht="44" customHeight="1">
      <x:c r="B104" s="456" t="str">
        <x:v>Ключові ризики: непідтверджений попит; затримка оплати; невідповідність складу послуг КВЕД/статусу; неприйнятність авансу оренди; завищення витрат; нестача власних коштів; кадрові та кіберризики; зміни податків.</x:v>
      </x:c>
      <x:c r="C104" s="451"/>
      <x:c r="D104" s="451"/>
      <x:c r="E104" s="451"/>
      <x:c r="F104" s="451"/>
      <x:c r="G104" s="451"/>
      <x:c r="H104" s="451"/>
      <x:c r="I104" s="451"/>
      <x:c r="J104" s="451"/>
      <x:c r="K104" s="214" t="s">
        <x:v>135</x:v>
      </x:c>
      <x:c r="L104" s="215"/>
      <x:c r="M104" s="215"/>
      <x:c r="N104" s="215"/>
      <x:c r="O104" s="215"/>
      <x:c r="P104" s="215"/>
      <x:c r="Q104" s="215"/>
      <x:c r="R104" s="215"/>
    </x:row>
    <x:row r="105" ht="30" customHeight="1">
      <x:c r="B105" s="211" t="s">
        <x:v>136</x:v>
      </x:c>
      <x:c r="C105" s="212"/>
      <x:c r="D105" s="212"/>
      <x:c r="E105" s="212"/>
      <x:c r="F105" s="212"/>
      <x:c r="G105" s="212"/>
      <x:c r="H105" s="212"/>
      <x:c r="I105" s="212"/>
      <x:c r="J105" s="213"/>
      <x:c r="K105" s="221"/>
      <x:c r="L105" s="222"/>
      <x:c r="M105" s="222"/>
      <x:c r="N105" s="222"/>
      <x:c r="O105" s="222"/>
      <x:c r="P105" s="222"/>
      <x:c r="Q105" s="222"/>
      <x:c r="R105" s="222"/>
    </x:row>
    <x:row r="106" ht="60" customHeight="1">
      <x:c r="B106" s="456" t="str">
        <x:v>До подання закрити реєстр недоліків. Підтвердити договори й кошти; перевірити ціни; вести календар податків/зайнятості; встановити договірні строки оплати; сформувати резерв за стрес-тестом; забезпечити конфіденційність і резервні копії. Резерв не вважати наявним без документів.</x:v>
      </x:c>
      <x:c r="C106" s="451"/>
      <x:c r="D106" s="451"/>
      <x:c r="E106" s="451"/>
      <x:c r="F106" s="451"/>
      <x:c r="G106" s="451"/>
      <x:c r="H106" s="451"/>
      <x:c r="I106" s="451"/>
      <x:c r="J106" s="451"/>
      <x:c r="K106" s="214" t="s">
        <x:v>137</x:v>
      </x:c>
      <x:c r="L106" s="215"/>
      <x:c r="M106" s="215"/>
      <x:c r="N106" s="215"/>
      <x:c r="O106" s="215"/>
      <x:c r="P106" s="215"/>
      <x:c r="Q106" s="215"/>
      <x:c r="R106" s="215"/>
    </x:row>
    <x:row r="107" ht="43.150001525878906" customHeight="1">
      <x:c r="B107" s="326" t="s">
        <x:v>138</x:v>
      </x:c>
      <x:c r="C107" s="326"/>
      <x:c r="D107" s="326"/>
      <x:c r="E107" s="326"/>
      <x:c r="F107" s="326"/>
      <x:c r="G107" s="326"/>
      <x:c r="H107" s="326"/>
      <x:c r="I107" s="326"/>
      <x:c r="J107" s="326"/>
      <x:c r="K107" s="225" t="s">
        <x:v>16</x:v>
      </x:c>
      <x:c r="L107" s="226"/>
      <x:c r="M107" s="226"/>
      <x:c r="N107" s="226"/>
      <x:c r="O107" s="226"/>
      <x:c r="P107" s="226"/>
      <x:c r="Q107" s="226"/>
      <x:c r="R107" s="226"/>
    </x:row>
    <x:row r="108" ht="30" customHeight="1">
      <x:c r="B108" s="211" t="s">
        <x:v>139</x:v>
      </x:c>
      <x:c r="C108" s="212"/>
      <x:c r="D108" s="212"/>
      <x:c r="E108" s="212"/>
      <x:c r="F108" s="212"/>
      <x:c r="G108" s="212"/>
      <x:c r="H108" s="212"/>
      <x:c r="I108" s="212"/>
      <x:c r="J108" s="213"/>
      <x:c r="K108" s="221"/>
      <x:c r="L108" s="222"/>
      <x:c r="M108" s="222"/>
      <x:c r="N108" s="222"/>
      <x:c r="O108" s="222"/>
      <x:c r="P108" s="222"/>
      <x:c r="Q108" s="222"/>
      <x:c r="R108" s="222"/>
    </x:row>
    <x:row r="109" ht="60" customHeight="1">
      <x:c r="B109" s="227" t="n">
        <x:v>3</x:v>
      </x:c>
      <x:c r="C109" s="224"/>
      <x:c r="D109" s="224"/>
      <x:c r="E109" s="224"/>
      <x:c r="F109" s="224"/>
      <x:c r="G109" s="224"/>
      <x:c r="H109" s="224"/>
      <x:c r="I109" s="224"/>
      <x:c r="J109" s="224"/>
      <x:c r="K109" s="214" t="s">
        <x:v>140</x:v>
      </x:c>
      <x:c r="L109" s="215"/>
      <x:c r="M109" s="215"/>
      <x:c r="N109" s="215"/>
      <x:c r="O109" s="215"/>
      <x:c r="P109" s="215"/>
      <x:c r="Q109" s="215"/>
      <x:c r="R109" s="215"/>
    </x:row>
    <x:row r="110" ht="30" customHeight="1">
      <x:c r="B110" s="211" t="s">
        <x:v>141</x:v>
      </x:c>
      <x:c r="C110" s="212"/>
      <x:c r="D110" s="212"/>
      <x:c r="E110" s="212"/>
      <x:c r="F110" s="212"/>
      <x:c r="G110" s="212"/>
      <x:c r="H110" s="212"/>
      <x:c r="I110" s="212"/>
      <x:c r="J110" s="213"/>
      <x:c r="K110" s="221"/>
      <x:c r="L110" s="222"/>
      <x:c r="M110" s="222"/>
      <x:c r="N110" s="222"/>
      <x:c r="O110" s="222"/>
      <x:c r="P110" s="222"/>
      <x:c r="Q110" s="222"/>
      <x:c r="R110" s="222"/>
    </x:row>
    <x:row r="111" ht="76" customHeight="1">
      <x:c r="B111" s="450" t="str">
        <x:v>Базовий умовний прогноз податків за 36 місяців: 2 750 934,24 грн: ЄСВ працівників 718 300; ПДФО 587 700; ВЗ працівників 163 250; ЄП ФОП 1 011 000; ВЗ ФОП 202 200; ЄСВ ФОП 68 484,24. За консервативним відліком з М2 до заліку планується 2 703 281,90. Фактичне виконання підтверджується платежами і даними уповноважених органів.</x:v>
      </x:c>
      <x:c r="C111" s="451"/>
      <x:c r="D111" s="451"/>
      <x:c r="E111" s="451"/>
      <x:c r="F111" s="451"/>
      <x:c r="G111" s="451"/>
      <x:c r="H111" s="451"/>
      <x:c r="I111" s="451"/>
      <x:c r="J111" s="451"/>
      <x:c r="K111" s="228" t="s">
        <x:v>142</x:v>
      </x:c>
      <x:c r="L111" s="215"/>
      <x:c r="M111" s="215"/>
      <x:c r="N111" s="215"/>
      <x:c r="O111" s="215"/>
      <x:c r="P111" s="215"/>
      <x:c r="Q111" s="215"/>
      <x:c r="R111" s="215"/>
    </x:row>
    <x:row r="112" ht="30" customHeight="1">
      <x:c r="B112" s="211" t="s">
        <x:v>143</x:v>
      </x:c>
      <x:c r="C112" s="212"/>
      <x:c r="D112" s="212"/>
      <x:c r="E112" s="212"/>
      <x:c r="F112" s="212"/>
      <x:c r="G112" s="212"/>
      <x:c r="H112" s="212"/>
      <x:c r="I112" s="212"/>
      <x:c r="J112" s="213"/>
      <x:c r="K112" s="221"/>
      <x:c r="L112" s="222"/>
      <x:c r="M112" s="222"/>
      <x:c r="N112" s="222"/>
      <x:c r="O112" s="222"/>
      <x:c r="P112" s="222"/>
      <x:c r="Q112" s="222"/>
      <x:c r="R112" s="222"/>
    </x:row>
    <x:row r="113" ht="105" customHeight="1">
      <x:c r="B113" s="223" t="s">
        <x:v>144</x:v>
      </x:c>
      <x:c r="C113" s="224"/>
      <x:c r="D113" s="224"/>
      <x:c r="E113" s="224"/>
      <x:c r="F113" s="224"/>
      <x:c r="G113" s="224"/>
      <x:c r="H113" s="224"/>
      <x:c r="I113" s="224"/>
      <x:c r="J113" s="224"/>
      <x:c r="K113" s="214" t="s">
        <x:v>145</x:v>
      </x:c>
      <x:c r="L113" s="215"/>
      <x:c r="M113" s="215"/>
      <x:c r="N113" s="215"/>
      <x:c r="O113" s="215"/>
      <x:c r="P113" s="215"/>
      <x:c r="Q113" s="215"/>
      <x:c r="R113" s="215"/>
    </x:row>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sheetData>
  <x:mergeCells>
    <x:mergeCell ref="C25:J25"/>
    <x:mergeCell ref="D26:J26"/>
    <x:mergeCell ref="E28:J28"/>
    <x:mergeCell ref="E29:J29"/>
    <x:mergeCell ref="E30:J30"/>
    <x:mergeCell ref="B45:J45"/>
    <x:mergeCell ref="B40:J40"/>
    <x:mergeCell ref="K40:R40"/>
    <x:mergeCell ref="K41:R41"/>
    <x:mergeCell ref="B42:J42"/>
    <x:mergeCell ref="K42:R42"/>
    <x:mergeCell ref="K43:R43"/>
    <x:mergeCell ref="E31:J31"/>
    <x:mergeCell ref="E32:J32"/>
    <x:mergeCell ref="E33:J33"/>
    <x:mergeCell ref="E34:J34"/>
    <x:mergeCell ref="K26:R39"/>
    <x:mergeCell ref="E35:J35"/>
    <x:mergeCell ref="E36:J36"/>
    <x:mergeCell ref="E37:J37"/>
    <x:mergeCell ref="E38:J38"/>
    <x:mergeCell ref="C41:J41"/>
    <x:mergeCell ref="C43:J43"/>
    <x:mergeCell ref="K51:R51"/>
    <x:mergeCell ref="K104:R104"/>
    <x:mergeCell ref="K105:R105"/>
    <x:mergeCell ref="K106:R106"/>
    <x:mergeCell ref="B58:J58"/>
    <x:mergeCell ref="B73:J73"/>
    <x:mergeCell ref="K73:R73"/>
    <x:mergeCell ref="B74:J74"/>
    <x:mergeCell ref="K74:R74"/>
    <x:mergeCell ref="B75:J75"/>
    <x:mergeCell ref="K75:R75"/>
    <x:mergeCell ref="B76:J76"/>
    <x:mergeCell ref="K76:R76"/>
    <x:mergeCell ref="B77:J77"/>
    <x:mergeCell ref="K77:R77"/>
    <x:mergeCell ref="K102:R102"/>
    <x:mergeCell ref="K103:R103"/>
    <x:mergeCell ref="B104:J104"/>
    <x:mergeCell ref="B105:J105"/>
    <x:mergeCell ref="B106:J106"/>
    <x:mergeCell ref="B78:J78"/>
    <x:mergeCell ref="K78:R78"/>
    <x:mergeCell ref="K100:R100"/>
    <x:mergeCell ref="K99:R99"/>
    <x:mergeCell ref="K101:R101"/>
    <x:mergeCell ref="B88:D88"/>
    <x:mergeCell ref="F88:J88"/>
    <x:mergeCell ref="B89:D89"/>
    <x:mergeCell ref="F89:J89"/>
    <x:mergeCell ref="B79:J79"/>
    <x:mergeCell ref="K79:R79"/>
    <x:mergeCell ref="K90:R90"/>
    <x:mergeCell ref="K91:R96"/>
    <x:mergeCell ref="B97:J97"/>
    <x:mergeCell ref="K97:R97"/>
    <x:mergeCell ref="B98:J98"/>
    <x:mergeCell ref="K80:R80"/>
    <x:mergeCell ref="F81:J81"/>
    <x:mergeCell ref="B82:D82"/>
    <x:mergeCell ref="B95:D95"/>
    <x:mergeCell ref="F95:J95"/>
    <x:mergeCell ref="B96:D96"/>
    <x:mergeCell ref="F96:J96"/>
    <x:mergeCell ref="F94:J94"/>
    <x:mergeCell ref="B49:J49"/>
    <x:mergeCell ref="B52:J52"/>
    <x:mergeCell ref="B54:J54"/>
    <x:mergeCell ref="B107:J107"/>
    <x:mergeCell ref="B60:J60"/>
    <x:mergeCell ref="B63:J63"/>
    <x:mergeCell ref="B64:J64"/>
    <x:mergeCell ref="B84:D84"/>
    <x:mergeCell ref="F84:J84"/>
    <x:mergeCell ref="B85:D85"/>
    <x:mergeCell ref="B86:D86"/>
    <x:mergeCell ref="F86:J86"/>
    <x:mergeCell ref="B91:D91"/>
    <x:mergeCell ref="F91:J91"/>
    <x:mergeCell ref="B100:J100"/>
    <x:mergeCell ref="B99:J99"/>
    <x:mergeCell ref="B101:J101"/>
    <x:mergeCell ref="B102:J102"/>
    <x:mergeCell ref="B103:J103"/>
    <x:mergeCell ref="B51:J51"/>
    <x:mergeCell ref="F82:J82"/>
    <x:mergeCell ref="B83:D83"/>
    <x:mergeCell ref="F83:J83"/>
    <x:mergeCell ref="B81:D81"/>
    <x:mergeCell ref="B1:R1"/>
    <x:mergeCell ref="B2:R2"/>
    <x:mergeCell ref="B14:J14"/>
    <x:mergeCell ref="K14:R14"/>
    <x:mergeCell ref="B13:J13"/>
    <x:mergeCell ref="K13:R13"/>
    <x:mergeCell ref="K12:R12"/>
    <x:mergeCell ref="K3:R5"/>
    <x:mergeCell ref="B65:J65"/>
    <x:mergeCell ref="K63:R63"/>
    <x:mergeCell ref="K64:R64"/>
    <x:mergeCell ref="K65:R65"/>
    <x:mergeCell ref="K52:R52"/>
    <x:mergeCell ref="B53:J53"/>
    <x:mergeCell ref="K60:R60"/>
    <x:mergeCell ref="B47:J47"/>
    <x:mergeCell ref="B61:J61"/>
    <x:mergeCell ref="K61:R61"/>
    <x:mergeCell ref="B62:J62"/>
    <x:mergeCell ref="K62:R62"/>
    <x:mergeCell ref="K58:R58"/>
    <x:mergeCell ref="B59:J59"/>
    <x:mergeCell ref="B57:J57"/>
    <x:mergeCell ref="K57:R57"/>
    <x:mergeCell ref="B66:J66"/>
    <x:mergeCell ref="K66:R66"/>
    <x:mergeCell ref="B67:J67"/>
    <x:mergeCell ref="K67:R67"/>
    <x:mergeCell ref="B68:J68"/>
    <x:mergeCell ref="K70:R70"/>
    <x:mergeCell ref="K71:R71"/>
    <x:mergeCell ref="K59:R59"/>
    <x:mergeCell ref="F85:J85"/>
    <x:mergeCell ref="B80:J80"/>
    <x:mergeCell ref="B69:J69"/>
    <x:mergeCell ref="B70:J70"/>
    <x:mergeCell ref="B71:J71"/>
    <x:mergeCell ref="B72:J72"/>
    <x:mergeCell ref="K81:R89"/>
    <x:mergeCell ref="B87:D87"/>
    <x:mergeCell ref="F87:J87"/>
    <x:mergeCell ref="K72:R72"/>
    <x:mergeCell ref="K69:R69"/>
    <x:mergeCell ref="B15:J15"/>
    <x:mergeCell ref="K15:R15"/>
    <x:mergeCell ref="B3:J5"/>
    <x:mergeCell ref="K6:R6"/>
    <x:mergeCell ref="B6:J6"/>
    <x:mergeCell ref="B7:J7"/>
    <x:mergeCell ref="B8:J8"/>
    <x:mergeCell ref="B9:J9"/>
    <x:mergeCell ref="B10:J10"/>
    <x:mergeCell ref="B11:J11"/>
    <x:mergeCell ref="K7:R7"/>
    <x:mergeCell ref="K8:R8"/>
    <x:mergeCell ref="K9:R9"/>
    <x:mergeCell ref="K10:R10"/>
    <x:mergeCell ref="K11:R11"/>
    <x:mergeCell ref="B12:J12"/>
    <x:mergeCell ref="B55:J55"/>
    <x:mergeCell ref="B56:J56"/>
    <x:mergeCell ref="K53:R56"/>
    <x:mergeCell ref="K68:R68"/>
    <x:mergeCell ref="B16:J16"/>
    <x:mergeCell ref="K16:R16"/>
    <x:mergeCell ref="B17:J17"/>
    <x:mergeCell ref="K17:R17"/>
    <x:mergeCell ref="B50:J50"/>
    <x:mergeCell ref="K50:R50"/>
    <x:mergeCell ref="B18:J20"/>
    <x:mergeCell ref="K18:R20"/>
    <x:mergeCell ref="B44:J44"/>
    <x:mergeCell ref="K44:R44"/>
    <x:mergeCell ref="K45:R45"/>
    <x:mergeCell ref="B46:J46"/>
    <x:mergeCell ref="K46:R46"/>
    <x:mergeCell ref="B21:J21"/>
    <x:mergeCell ref="K21:R21"/>
    <x:mergeCell ref="K22:R22"/>
    <x:mergeCell ref="B23:J23"/>
    <x:mergeCell ref="K23:R23"/>
    <x:mergeCell ref="K24:R24"/>
    <x:mergeCell ref="K25:R25"/>
    <x:mergeCell ref="B48:J48"/>
    <x:mergeCell ref="K47:R47"/>
    <x:mergeCell ref="K48:R48"/>
    <x:mergeCell ref="K49:R49"/>
    <x:mergeCell ref="B90:J90"/>
    <x:mergeCell ref="B112:J112"/>
    <x:mergeCell ref="K112:R112"/>
    <x:mergeCell ref="B113:J113"/>
    <x:mergeCell ref="K113:R113"/>
    <x:mergeCell ref="K107:R107"/>
    <x:mergeCell ref="B108:J108"/>
    <x:mergeCell ref="K108:R108"/>
    <x:mergeCell ref="B109:J109"/>
    <x:mergeCell ref="K109:R109"/>
    <x:mergeCell ref="B110:J110"/>
    <x:mergeCell ref="K110:R110"/>
    <x:mergeCell ref="B111:J111"/>
    <x:mergeCell ref="K111:R111"/>
    <x:mergeCell ref="K98:R98"/>
    <x:mergeCell ref="B92:D92"/>
    <x:mergeCell ref="F92:J92"/>
    <x:mergeCell ref="B93:D93"/>
    <x:mergeCell ref="F93:J93"/>
    <x:mergeCell ref="B94:D94"/>
    <x:mergeCell ref="E39:J39"/>
  </x:mergeCells>
  <x:conditionalFormatting sqref="B99:J99">
    <x:cfRule type="expression" dxfId="5" priority="1">
      <x:formula>AND($B$24="Масштабування власної справи",OR($B$99="",$B$99=0))</x:formula>
    </x:cfRule>
  </x:conditionalFormatting>
  <x:conditionalFormatting sqref="C26:C26">
    <x:cfRule type="expression" dxfId="4" priority="2">
      <x:formula>AND(ISNUMBER(C26),OR(C26&gt;$C$39,AND($B$24="Започаткування власної справи",C26&lt;100000),AND($B$24="Масштабування власної справи",C26&lt;500000)))</x:formula>
    </x:cfRule>
  </x:conditionalFormatting>
  <x:conditionalFormatting sqref="D39:D39">
    <x:cfRule type="expression" dxfId="3" priority="3">
      <x:formula>LEFT(D39,5)="УВАГА"</x:formula>
    </x:cfRule>
  </x:conditionalFormatting>
  <x:conditionalFormatting sqref="E34:E34">
    <x:cfRule type="expression" dxfId="2" priority="4">
      <x:formula>LEFT(E34,5)="УВАГА"</x:formula>
    </x:cfRule>
  </x:conditionalFormatting>
  <x:conditionalFormatting sqref="E39:E39">
    <x:cfRule type="expression" dxfId="1" priority="5">
      <x:formula>LEFT(E39,5)="УВАГА"</x:formula>
    </x:cfRule>
  </x:conditionalFormatting>
  <x:dataValidations count="10">
    <x:dataValidation type="list" allowBlank="1" showInputMessage="1" showErrorMessage="1" sqref="B22">
      <x:formula1>"36 місяців"</x:formula1>
    </x:dataValidation>
    <x:dataValidation type="list" allowBlank="1" showInputMessage="1" showErrorMessage="1" sqref="B24">
      <x:formula1>"Започаткування власної справи,Масштабування власної справи"</x:formula1>
    </x:dataValidation>
    <x:dataValidation type="list" allowBlank="1" showInputMessage="1" showErrorMessage="1" sqref="B43 C29">
      <x:formula1>"Платник ПДВ,Неплатник ПДВ"</x:formula1>
    </x:dataValidation>
    <x:dataValidation type="list" allowBlank="1" showInputMessage="1" showErrorMessage="1" sqref="B41">
      <x:formula1>"Загальна система,Спрощена система — 1 група (ФОП),Спрощена система — 2 група (ФОП),Спрощена система — 3 група,Спрощена система — 4 група (сільгосптоваровиробники)"</x:formula1>
    </x:dataValidation>
    <x:dataValidation type="list" allowBlank="1" showInputMessage="1" showErrorMessage="1" sqref="C30:C33 C35:C37">
      <x:formula1>"Так,Ні"</x:formula1>
    </x:dataValidation>
    <x:dataValidation type="whole" operator="greaterThanOrEqual" allowBlank="1" showInputMessage="1" showErrorMessage="1" sqref="B99:J99">
      <x:formula1>0</x:formula1>
    </x:dataValidation>
    <x:dataValidation type="decimal" operator="greaterThanOrEqual" allowBlank="1" showInputMessage="1" showErrorMessage="1" sqref="C26">
      <x:formula1>0</x:formula1>
    </x:dataValidation>
    <x:dataValidation type="list" sqref="C30:C37">
      <x:formula1>"Так,Ні"</x:formula1>
    </x:dataValidation>
    <x:dataValidation type="list" sqref="C29 B44">
      <x:formula1>"Платник ПДВ,Неплатник ПДВ"</x:formula1>
    </x:dataValidation>
    <x:dataValidation type="list" sqref="B42">
      <x:formula1>"Загальна система,Спрощена система — 1 група,Спрощена система — 2 група,Спрощена система — 3 група,Спрощена система — 4 група"</x:formula1>
    </x:dataValidation>
  </x:dataValidations>
  <x:pageMargins left="0.7" right="0.7" top="0.75" bottom="0.75" header="0.3" footer="0.3"/>
</x:worksheet>
</file>

<file path=xl/worksheets/sheet3.xml><?xml version="1.0" encoding="utf-8"?>
<x:worksheet xmlns:x="http://schemas.openxmlformats.org/spreadsheetml/2006/main">
  <x:sheetFormatPr defaultColWidth="12.625" defaultRowHeight="15.75"/>
  <x:cols>
    <x:col min="1" max="1" width="4.75" style="15" customWidth="1"/>
    <x:col min="2" max="2" width="50.5" style="37" customWidth="1"/>
    <x:col min="3" max="3" width="20.125" style="37" customWidth="1"/>
    <x:col min="4" max="4" width="17.25" style="37" customWidth="1"/>
    <x:col min="5" max="5" width="13.25" style="37" customWidth="1"/>
    <x:col min="6" max="6" width="11.75" style="37" customWidth="1"/>
    <x:col min="7" max="7" width="12.625" style="37" customWidth="1"/>
    <x:col min="8" max="8" width="12.75" style="37" customWidth="1"/>
    <x:col min="9" max="10" width="10.25" style="37" customWidth="1"/>
    <x:col min="11" max="11" width="11" style="37" customWidth="1"/>
    <x:col min="12" max="12" width="11.125" style="37" customWidth="1"/>
    <x:col min="13" max="13" width="10.875" style="37" customWidth="1"/>
    <x:col min="14" max="15" width="10.375" style="37" customWidth="1"/>
    <x:col min="16" max="16" width="12.125" style="37" customWidth="1"/>
    <x:col min="17" max="17" width="9.875" style="37" customWidth="1"/>
    <x:col min="18" max="18" width="10.75" style="37" customWidth="1"/>
    <x:col min="19" max="19" width="10.25" style="37" customWidth="1"/>
    <x:col min="20" max="23" width="10.125" style="37" customWidth="1"/>
    <x:col min="24" max="24" width="12.75" style="37" customWidth="1"/>
    <x:col min="25" max="25" width="12.375" style="37" customWidth="1"/>
    <x:col min="26" max="26" width="12.875" style="37" customWidth="1"/>
    <x:col min="27" max="27" width="14.375" style="37" customWidth="1"/>
    <x:col min="28" max="28" width="10.125" style="37" customWidth="1"/>
    <x:col min="29" max="29" width="11" style="37" customWidth="1"/>
    <x:col min="30" max="30" width="10.75" style="37" customWidth="1"/>
    <x:col min="31" max="31" width="11.75" style="37" customWidth="1"/>
    <x:col min="32" max="32" width="11.125" style="37" customWidth="1"/>
    <x:col min="33" max="33" width="10.625" style="37" customWidth="1"/>
    <x:col min="34" max="34" width="11.625" style="37" customWidth="1"/>
    <x:col min="35" max="35" width="12.75" style="37" customWidth="1"/>
    <x:col min="36" max="36" width="12.625" style="37" customWidth="1"/>
    <x:col min="37" max="37" width="13.25" style="37" customWidth="1"/>
    <x:col min="38" max="38" width="10.625" style="37" customWidth="1"/>
    <x:col min="39" max="39" width="11.25" style="37" customWidth="1"/>
    <x:col min="40" max="40" width="11" style="37" customWidth="1"/>
    <x:col min="41" max="41" width="11.375" style="37" customWidth="1"/>
    <x:col min="42" max="42" width="10.25" style="37" customWidth="1"/>
    <x:col min="43" max="43" width="10.5" style="37" customWidth="1"/>
    <x:col min="44" max="45" width="11" style="37" customWidth="1"/>
    <x:col min="46" max="46" width="9.875" style="37" customWidth="1"/>
    <x:col min="47" max="47" width="10.75" style="37" customWidth="1"/>
    <x:col min="48" max="48" width="10.625" style="37" customWidth="1"/>
    <x:col min="49" max="49" width="10.25" style="37" customWidth="1"/>
    <x:col min="50" max="50" width="10" style="37" customWidth="1"/>
    <x:col min="51" max="51" width="10.25" style="37" customWidth="1"/>
    <x:col min="52" max="52" width="11.25" style="37" customWidth="1"/>
    <x:col min="53" max="53" width="10.25" style="37" customWidth="1"/>
    <x:col min="54" max="54" width="10.625" style="37" customWidth="1"/>
    <x:col min="55" max="55" width="11.5" style="37" customWidth="1"/>
    <x:col min="56" max="56" width="12.125" style="37" customWidth="1"/>
    <x:col min="57" max="57" width="10.75" style="37" customWidth="1"/>
    <x:col min="58" max="58" width="11.625" style="37" customWidth="1"/>
    <x:col min="59" max="60" width="10.75" style="37" customWidth="1"/>
    <x:col min="61" max="62" width="11" style="37" customWidth="1"/>
    <x:col min="63" max="63" width="11.875" style="37" customWidth="1"/>
    <x:col min="64" max="64" width="10.625" style="37" customWidth="1"/>
    <x:col min="65" max="65" width="11.5" style="143" customWidth="1"/>
    <x:col min="66" max="66" width="10.125" style="15" customWidth="1"/>
    <x:col min="67" max="85" width="7.625" style="15" customWidth="1"/>
    <x:col min="86" max="16384" width="12.625" style="15" customWidth="0"/>
  </x:cols>
  <x:sheetData>
    <x:row r="1">
      <x:c r="A1" s="57"/>
      <x:c r="B1" s="58"/>
      <x:c r="C1" s="58"/>
      <x:c r="D1" s="58"/>
      <x:c r="E1" s="58"/>
      <x:c r="F1" s="58"/>
      <x:c r="G1" s="58"/>
      <x:c r="H1" s="58"/>
      <x:c r="I1" s="58"/>
      <x:c r="J1" s="58"/>
      <x:c r="K1" s="58"/>
      <x:c r="L1" s="58"/>
      <x:c r="M1" s="58"/>
      <x:c r="N1" s="58"/>
      <x:c r="O1" s="58"/>
      <x:c r="P1" s="58"/>
      <x:c r="Q1" s="58"/>
      <x:c r="R1" s="58"/>
      <x:c r="S1" s="58"/>
      <x:c r="T1" s="58"/>
      <x:c r="U1" s="58"/>
      <x:c r="V1" s="58"/>
      <x:c r="W1" s="58"/>
      <x:c r="X1" s="58"/>
      <x:c r="Y1" s="58"/>
      <x:c r="Z1" s="58"/>
      <x:c r="AA1" s="58"/>
      <x:c r="AB1" s="58"/>
      <x:c r="AC1" s="58"/>
      <x:c r="AD1" s="58"/>
      <x:c r="AE1" s="58"/>
      <x:c r="AF1" s="58"/>
      <x:c r="AG1" s="58"/>
      <x:c r="AH1" s="58"/>
      <x:c r="AI1" s="58"/>
      <x:c r="AJ1" s="58"/>
      <x:c r="AK1" s="58"/>
      <x:c r="AL1" s="58"/>
      <x:c r="AM1" s="58"/>
      <x:c r="AN1" s="58"/>
      <x:c r="AO1" s="58"/>
      <x:c r="AP1" s="58"/>
      <x:c r="AQ1" s="58"/>
      <x:c r="AR1" s="58"/>
      <x:c r="AS1" s="58"/>
      <x:c r="AT1" s="58"/>
      <x:c r="AU1" s="58"/>
      <x:c r="AV1" s="58"/>
      <x:c r="AW1" s="58"/>
      <x:c r="AX1" s="58"/>
      <x:c r="AY1" s="58"/>
      <x:c r="AZ1" s="58"/>
      <x:c r="BA1" s="58"/>
      <x:c r="BB1" s="58"/>
      <x:c r="BC1" s="58"/>
      <x:c r="BD1" s="58"/>
      <x:c r="BE1" s="58"/>
      <x:c r="BF1" s="58"/>
      <x:c r="BG1" s="58"/>
      <x:c r="BH1" s="58"/>
      <x:c r="BI1" s="58"/>
      <x:c r="BJ1" s="58"/>
      <x:c r="BK1" s="58"/>
      <x:c r="BL1" s="58"/>
      <x:c r="BM1" s="59"/>
      <x:c r="BN1" s="57"/>
      <x:c r="BO1" s="57"/>
      <x:c r="BP1" s="57"/>
      <x:c r="BQ1" s="57"/>
      <x:c r="BR1" s="57"/>
      <x:c r="BS1" s="57"/>
      <x:c r="BT1" s="57"/>
      <x:c r="BU1" s="57"/>
      <x:c r="BV1" s="57"/>
      <x:c r="BW1" s="57"/>
      <x:c r="BX1" s="57"/>
      <x:c r="BY1" s="57"/>
      <x:c r="BZ1" s="57"/>
      <x:c r="CA1" s="57"/>
      <x:c r="CB1" s="57"/>
      <x:c r="CC1" s="57"/>
      <x:c r="CD1" s="57"/>
      <x:c r="CE1" s="57"/>
      <x:c r="CF1" s="57"/>
      <x:c r="CG1" s="57"/>
    </x:row>
    <x:row r="2" ht="30.399999618530273" customHeight="1">
      <x:c r="A2" s="60"/>
      <x:c r="B2" s="390" t="str">
        <x:v>План грошових надходжень та виплат на 36 місяців • умовний сценарій</x:v>
      </x:c>
      <x:c r="C2" s="391"/>
      <x:c r="D2" s="391"/>
      <x:c r="E2" s="61"/>
      <x:c r="F2" s="62"/>
      <x:c r="G2" s="62"/>
      <x:c r="H2" s="63"/>
      <x:c r="I2" s="62"/>
      <x:c r="J2" s="63"/>
      <x:c r="K2" s="63"/>
      <x:c r="L2" s="62"/>
      <x:c r="M2" s="62"/>
      <x:c r="N2" s="62"/>
      <x:c r="O2" s="62"/>
      <x:c r="P2" s="62"/>
      <x:c r="Q2" s="62"/>
      <x:c r="R2" s="62"/>
      <x:c r="S2" s="62"/>
      <x:c r="T2" s="62"/>
      <x:c r="U2" s="62"/>
      <x:c r="V2" s="62"/>
      <x:c r="W2" s="62"/>
      <x:c r="X2" s="62"/>
      <x:c r="Y2" s="62"/>
      <x:c r="Z2" s="62"/>
      <x:c r="AA2" s="62"/>
      <x:c r="AB2" s="62"/>
      <x:c r="AC2" s="62"/>
      <x:c r="AD2" s="62"/>
      <x:c r="AE2" s="62"/>
      <x:c r="AF2" s="62"/>
      <x:c r="AG2" s="62"/>
      <x:c r="AH2" s="62"/>
      <x:c r="AI2" s="62"/>
      <x:c r="AJ2" s="62"/>
      <x:c r="AK2" s="62"/>
      <x:c r="AL2" s="62"/>
      <x:c r="AM2" s="62"/>
      <x:c r="AN2" s="62"/>
      <x:c r="AO2" s="62"/>
      <x:c r="AP2" s="62"/>
      <x:c r="AQ2" s="62"/>
      <x:c r="AR2" s="62"/>
      <x:c r="AS2" s="62"/>
      <x:c r="AT2" s="62"/>
      <x:c r="AU2" s="62"/>
      <x:c r="AV2" s="62"/>
      <x:c r="AW2" s="62"/>
      <x:c r="AX2" s="62"/>
      <x:c r="AY2" s="62"/>
      <x:c r="AZ2" s="62"/>
      <x:c r="BA2" s="62"/>
      <x:c r="BB2" s="62"/>
      <x:c r="BC2" s="62"/>
      <x:c r="BD2" s="62"/>
      <x:c r="BE2" s="62"/>
      <x:c r="BF2" s="62"/>
      <x:c r="BG2" s="62"/>
      <x:c r="BH2" s="62"/>
      <x:c r="BI2" s="62"/>
      <x:c r="BJ2" s="62"/>
      <x:c r="BK2" s="62"/>
      <x:c r="BL2" s="62"/>
      <x:c r="BM2" s="64"/>
      <x:c r="BN2" s="60"/>
      <x:c r="BO2" s="60"/>
      <x:c r="BP2" s="60"/>
      <x:c r="BQ2" s="60"/>
      <x:c r="BR2" s="60"/>
      <x:c r="BS2" s="60"/>
      <x:c r="BT2" s="60"/>
      <x:c r="BU2" s="60"/>
      <x:c r="BV2" s="60"/>
      <x:c r="BW2" s="60"/>
      <x:c r="BX2" s="60"/>
      <x:c r="BY2" s="60"/>
      <x:c r="BZ2" s="60"/>
      <x:c r="CA2" s="60"/>
      <x:c r="CB2" s="60"/>
      <x:c r="CC2" s="60"/>
      <x:c r="CD2" s="60"/>
      <x:c r="CE2" s="60"/>
      <x:c r="CF2" s="60"/>
      <x:c r="CG2" s="60"/>
    </x:row>
    <x:row r="3" ht="18.600000381469727" customHeight="1">
      <x:c r="A3" s="60"/>
      <x:c r="B3" s="65"/>
      <x:c r="C3" s="65"/>
      <x:c r="D3" s="65"/>
      <x:c r="F3" s="62"/>
      <x:c r="G3" s="62"/>
      <x:c r="H3" s="63"/>
      <x:c r="I3" s="63"/>
      <x:c r="J3" s="63"/>
      <x:c r="K3" s="63"/>
      <x:c r="L3" s="63"/>
      <x:c r="M3" s="63"/>
      <x:c r="N3" s="63"/>
      <x:c r="O3" s="63"/>
      <x:c r="P3" s="62"/>
      <x:c r="Q3" s="62"/>
      <x:c r="R3" s="62"/>
      <x:c r="S3" s="62"/>
      <x:c r="T3" s="62"/>
      <x:c r="U3" s="62"/>
      <x:c r="V3" s="62"/>
      <x:c r="W3" s="62"/>
      <x:c r="X3" s="62"/>
      <x:c r="Y3" s="62"/>
      <x:c r="Z3" s="62"/>
      <x:c r="AA3" s="62"/>
      <x:c r="AB3" s="62"/>
      <x:c r="AC3" s="62"/>
      <x:c r="AD3" s="62"/>
      <x:c r="AE3" s="62"/>
      <x:c r="AF3" s="62"/>
      <x:c r="AG3" s="62"/>
      <x:c r="AH3" s="62"/>
      <x:c r="AI3" s="62"/>
      <x:c r="AJ3" s="62"/>
      <x:c r="AK3" s="62"/>
      <x:c r="AL3" s="62"/>
      <x:c r="AM3" s="62"/>
      <x:c r="AN3" s="62"/>
      <x:c r="AO3" s="62"/>
      <x:c r="AP3" s="62"/>
      <x:c r="AQ3" s="62"/>
      <x:c r="AR3" s="62"/>
      <x:c r="AS3" s="62"/>
      <x:c r="AT3" s="62"/>
      <x:c r="AU3" s="62"/>
      <x:c r="AV3" s="62"/>
      <x:c r="AW3" s="62"/>
      <x:c r="AX3" s="62"/>
      <x:c r="AY3" s="62"/>
      <x:c r="AZ3" s="62"/>
      <x:c r="BA3" s="62"/>
      <x:c r="BB3" s="62"/>
      <x:c r="BC3" s="62"/>
      <x:c r="BD3" s="62"/>
      <x:c r="BE3" s="62"/>
      <x:c r="BF3" s="62"/>
      <x:c r="BG3" s="62"/>
      <x:c r="BH3" s="62"/>
      <x:c r="BI3" s="62"/>
      <x:c r="BJ3" s="62"/>
      <x:c r="BK3" s="62"/>
      <x:c r="BL3" s="62"/>
      <x:c r="BM3" s="64"/>
      <x:c r="BN3" s="60"/>
      <x:c r="BO3" s="60"/>
      <x:c r="BP3" s="60"/>
      <x:c r="BQ3" s="60"/>
      <x:c r="BR3" s="60"/>
      <x:c r="BS3" s="60"/>
      <x:c r="BT3" s="60"/>
      <x:c r="BU3" s="60"/>
      <x:c r="BV3" s="60"/>
      <x:c r="BW3" s="60"/>
      <x:c r="BX3" s="60"/>
      <x:c r="BY3" s="60"/>
      <x:c r="BZ3" s="60"/>
      <x:c r="CA3" s="60"/>
      <x:c r="CB3" s="60"/>
      <x:c r="CC3" s="60"/>
      <x:c r="CD3" s="60"/>
      <x:c r="CE3" s="60"/>
      <x:c r="CF3" s="60"/>
      <x:c r="CG3" s="60"/>
    </x:row>
    <x:row r="4" ht="16.149999618530273" customHeight="1">
      <x:c r="A4" s="66" t="s">
        <x:v>62</x:v>
      </x:c>
      <x:c r="B4" s="392" t="s">
        <x:v>146</x:v>
      </x:c>
      <x:c r="C4" s="392"/>
      <x:c r="D4" s="290" t="str">
        <x:v>ФОП Федоренко Таїсія Анатоліївна</x:v>
      </x:c>
      <x:c r="E4" s="290"/>
      <x:c r="F4" s="290"/>
      <x:c r="G4" s="393"/>
      <x:c r="H4" s="393"/>
      <x:c r="I4" s="393"/>
      <x:c r="J4" s="67"/>
      <x:c r="K4" s="67"/>
      <x:c r="L4" s="67"/>
      <x:c r="M4" s="67"/>
      <x:c r="N4" s="63"/>
      <x:c r="O4" s="62"/>
      <x:c r="P4" s="62"/>
      <x:c r="Q4" s="62"/>
      <x:c r="R4" s="62"/>
      <x:c r="S4" s="62"/>
      <x:c r="T4" s="62"/>
      <x:c r="U4" s="62"/>
      <x:c r="V4" s="62"/>
      <x:c r="W4" s="62"/>
      <x:c r="X4" s="62"/>
      <x:c r="Y4" s="62"/>
      <x:c r="Z4" s="62"/>
      <x:c r="AA4" s="62"/>
      <x:c r="AB4" s="62"/>
      <x:c r="AC4" s="62"/>
      <x:c r="AD4" s="62"/>
      <x:c r="AE4" s="62"/>
      <x:c r="AF4" s="62"/>
      <x:c r="AG4" s="62"/>
      <x:c r="AH4" s="62"/>
      <x:c r="AI4" s="62"/>
      <x:c r="AJ4" s="62"/>
      <x:c r="AK4" s="62"/>
      <x:c r="AL4" s="62"/>
      <x:c r="AM4" s="62"/>
      <x:c r="AN4" s="62"/>
      <x:c r="AO4" s="62"/>
      <x:c r="AP4" s="62"/>
      <x:c r="AQ4" s="62"/>
      <x:c r="AR4" s="62"/>
      <x:c r="AS4" s="62"/>
      <x:c r="AT4" s="62"/>
      <x:c r="AU4" s="62"/>
      <x:c r="AV4" s="62"/>
      <x:c r="AW4" s="62"/>
      <x:c r="AX4" s="62"/>
      <x:c r="AY4" s="62"/>
      <x:c r="AZ4" s="62"/>
      <x:c r="BA4" s="62"/>
      <x:c r="BB4" s="62"/>
      <x:c r="BC4" s="62"/>
      <x:c r="BD4" s="62"/>
      <x:c r="BE4" s="62"/>
      <x:c r="BF4" s="62"/>
      <x:c r="BG4" s="62"/>
      <x:c r="BH4" s="62"/>
      <x:c r="BI4" s="62"/>
      <x:c r="BJ4" s="62"/>
      <x:c r="BK4" s="62"/>
      <x:c r="BL4" s="62"/>
      <x:c r="BM4" s="64"/>
      <x:c r="BN4" s="60"/>
      <x:c r="BO4" s="60"/>
      <x:c r="BP4" s="60"/>
      <x:c r="BQ4" s="60"/>
      <x:c r="BR4" s="60"/>
      <x:c r="BS4" s="60"/>
      <x:c r="BT4" s="60"/>
      <x:c r="BU4" s="60"/>
      <x:c r="BV4" s="60"/>
      <x:c r="BW4" s="60"/>
      <x:c r="BX4" s="60"/>
      <x:c r="BY4" s="60"/>
      <x:c r="BZ4" s="60"/>
      <x:c r="CA4" s="60"/>
      <x:c r="CB4" s="60"/>
      <x:c r="CC4" s="60"/>
      <x:c r="CD4" s="60"/>
      <x:c r="CE4" s="60"/>
      <x:c r="CF4" s="60"/>
      <x:c r="CG4" s="60"/>
    </x:row>
    <x:row r="5" ht="15.600000381469727" customHeight="1">
      <x:c r="A5" s="60"/>
      <x:c r="B5" s="65"/>
      <x:c r="C5" s="65"/>
      <x:c r="D5" s="65"/>
      <x:c r="E5" s="61"/>
      <x:c r="F5" s="62"/>
      <x:c r="G5" s="62"/>
      <x:c r="H5" s="63"/>
      <x:c r="I5" s="63"/>
      <x:c r="J5" s="63"/>
      <x:c r="K5" s="63"/>
      <x:c r="L5" s="63"/>
      <x:c r="M5" s="63"/>
      <x:c r="N5" s="63"/>
      <x:c r="O5" s="62"/>
      <x:c r="P5" s="62"/>
      <x:c r="Q5" s="62"/>
      <x:c r="R5" s="62"/>
      <x:c r="S5" s="62"/>
      <x:c r="T5" s="62"/>
      <x:c r="U5" s="62"/>
      <x:c r="V5" s="62"/>
      <x:c r="W5" s="62"/>
      <x:c r="X5" s="62"/>
      <x:c r="Y5" s="62"/>
      <x:c r="Z5" s="62"/>
      <x:c r="AA5" s="62"/>
      <x:c r="AB5" s="62"/>
      <x:c r="AC5" s="62"/>
      <x:c r="AD5" s="62"/>
      <x:c r="AE5" s="62"/>
      <x:c r="AF5" s="62"/>
      <x:c r="AG5" s="62"/>
      <x:c r="AH5" s="62"/>
      <x:c r="AI5" s="62"/>
      <x:c r="AJ5" s="62"/>
      <x:c r="AK5" s="62"/>
      <x:c r="AL5" s="62"/>
      <x:c r="AM5" s="62"/>
      <x:c r="AN5" s="62"/>
      <x:c r="AO5" s="62"/>
      <x:c r="AP5" s="62"/>
      <x:c r="AQ5" s="62"/>
      <x:c r="AR5" s="62"/>
      <x:c r="AS5" s="62"/>
      <x:c r="AT5" s="62"/>
      <x:c r="AU5" s="62"/>
      <x:c r="AV5" s="62"/>
      <x:c r="AW5" s="62"/>
      <x:c r="AX5" s="62"/>
      <x:c r="AY5" s="62"/>
      <x:c r="AZ5" s="62"/>
      <x:c r="BA5" s="62"/>
      <x:c r="BB5" s="62"/>
      <x:c r="BC5" s="62"/>
      <x:c r="BD5" s="62"/>
      <x:c r="BE5" s="62"/>
      <x:c r="BF5" s="62"/>
      <x:c r="BG5" s="62"/>
      <x:c r="BH5" s="62"/>
      <x:c r="BI5" s="62"/>
      <x:c r="BJ5" s="62"/>
      <x:c r="BK5" s="62"/>
      <x:c r="BL5" s="62"/>
      <x:c r="BM5" s="64"/>
      <x:c r="BN5" s="60"/>
      <x:c r="BO5" s="60"/>
      <x:c r="BP5" s="60"/>
      <x:c r="BQ5" s="60"/>
      <x:c r="BR5" s="60"/>
      <x:c r="BS5" s="60"/>
      <x:c r="BT5" s="60"/>
      <x:c r="BU5" s="60"/>
      <x:c r="BV5" s="60"/>
      <x:c r="BW5" s="60"/>
      <x:c r="BX5" s="60"/>
      <x:c r="BY5" s="60"/>
      <x:c r="BZ5" s="60"/>
      <x:c r="CA5" s="60"/>
      <x:c r="CB5" s="60"/>
      <x:c r="CC5" s="60"/>
      <x:c r="CD5" s="60"/>
      <x:c r="CE5" s="60"/>
      <x:c r="CF5" s="60"/>
      <x:c r="CG5" s="60"/>
    </x:row>
    <x:row r="6" ht="15.600000381469727" customHeight="1">
      <x:c r="A6" s="57"/>
      <x:c r="B6" s="392" t="s">
        <x:v>147</x:v>
      </x:c>
      <x:c r="C6" s="392"/>
      <x:c r="D6" s="392"/>
      <x:c r="E6" s="392"/>
      <x:c r="F6" s="392"/>
      <x:c r="G6" s="392"/>
      <x:c r="H6" s="392"/>
      <x:c r="I6" s="392"/>
      <x:c r="J6" s="392"/>
      <x:c r="K6" s="392"/>
      <x:c r="L6" s="392"/>
      <x:c r="M6" s="392"/>
      <x:c r="O6" s="62"/>
      <x:c r="P6" s="62"/>
      <x:c r="Q6" s="62"/>
      <x:c r="R6" s="62"/>
      <x:c r="S6" s="62"/>
      <x:c r="T6" s="62"/>
      <x:c r="U6" s="62"/>
      <x:c r="V6" s="62"/>
      <x:c r="BM6" s="68"/>
      <x:c r="BN6" s="69"/>
      <x:c r="BO6" s="57"/>
      <x:c r="BP6" s="60"/>
      <x:c r="BQ6" s="60"/>
      <x:c r="BR6" s="60"/>
      <x:c r="BS6" s="60"/>
      <x:c r="BT6" s="60"/>
      <x:c r="BU6" s="57"/>
      <x:c r="BV6" s="57"/>
      <x:c r="BW6" s="57"/>
      <x:c r="BX6" s="57"/>
      <x:c r="BY6" s="57"/>
      <x:c r="BZ6" s="57"/>
      <x:c r="CA6" s="57"/>
      <x:c r="CB6" s="57"/>
      <x:c r="CC6" s="57"/>
      <x:c r="CD6" s="57"/>
      <x:c r="CE6" s="57"/>
      <x:c r="CF6" s="57"/>
      <x:c r="CG6" s="57"/>
    </x:row>
    <x:row r="7" ht="16.899999618530273" customHeight="1">
      <x:c r="A7" s="57"/>
      <x:c r="B7" s="392"/>
      <x:c r="C7" s="392"/>
      <x:c r="D7" s="392"/>
      <x:c r="E7" s="392"/>
      <x:c r="F7" s="392"/>
      <x:c r="G7" s="392"/>
      <x:c r="H7" s="392"/>
      <x:c r="I7" s="392"/>
      <x:c r="J7" s="392"/>
      <x:c r="K7" s="392"/>
      <x:c r="L7" s="392"/>
      <x:c r="M7" s="392"/>
      <x:c r="U7" s="70"/>
      <x:c r="V7" s="70"/>
      <x:c r="W7" s="70"/>
      <x:c r="X7" s="70"/>
      <x:c r="Y7" s="70"/>
      <x:c r="Z7" s="70"/>
      <x:c r="AA7" s="70"/>
      <x:c r="AB7" s="70"/>
      <x:c r="AC7" s="70"/>
      <x:c r="AD7" s="70"/>
      <x:c r="AE7" s="70"/>
      <x:c r="AF7" s="70"/>
      <x:c r="AG7" s="70"/>
      <x:c r="AH7" s="70"/>
      <x:c r="AI7" s="70"/>
      <x:c r="AJ7" s="70"/>
      <x:c r="AK7" s="70"/>
      <x:c r="AL7" s="70"/>
      <x:c r="AM7" s="70"/>
      <x:c r="AN7" s="70"/>
      <x:c r="AO7" s="70"/>
      <x:c r="AP7" s="70"/>
      <x:c r="AQ7" s="70"/>
      <x:c r="AR7" s="70"/>
      <x:c r="AS7" s="70"/>
      <x:c r="AT7" s="70"/>
      <x:c r="AU7" s="70"/>
      <x:c r="AV7" s="70"/>
      <x:c r="AW7" s="70"/>
      <x:c r="AX7" s="70"/>
      <x:c r="AY7" s="70"/>
      <x:c r="AZ7" s="70"/>
      <x:c r="BA7" s="70"/>
      <x:c r="BB7" s="70"/>
      <x:c r="BC7" s="70"/>
      <x:c r="BD7" s="70"/>
      <x:c r="BE7" s="70"/>
      <x:c r="BF7" s="70"/>
      <x:c r="BG7" s="70"/>
      <x:c r="BH7" s="70"/>
      <x:c r="BI7" s="70"/>
      <x:c r="BJ7" s="70"/>
      <x:c r="BK7" s="70"/>
      <x:c r="BL7" s="70"/>
      <x:c r="BM7" s="71"/>
      <x:c r="BN7" s="69"/>
      <x:c r="BO7" s="57"/>
      <x:c r="BP7" s="60"/>
      <x:c r="BQ7" s="60"/>
      <x:c r="BR7" s="60"/>
      <x:c r="BS7" s="60"/>
      <x:c r="BT7" s="60"/>
      <x:c r="BU7" s="57"/>
      <x:c r="BV7" s="57"/>
      <x:c r="BW7" s="57"/>
      <x:c r="BX7" s="57"/>
      <x:c r="BY7" s="57"/>
      <x:c r="BZ7" s="57"/>
      <x:c r="CA7" s="57"/>
      <x:c r="CB7" s="57"/>
      <x:c r="CC7" s="57"/>
      <x:c r="CD7" s="57"/>
      <x:c r="CE7" s="57"/>
      <x:c r="CF7" s="57"/>
      <x:c r="CG7" s="57"/>
    </x:row>
    <x:row r="8" ht="18" customHeight="1">
      <x:c r="A8" s="57"/>
      <x:c r="B8" s="392"/>
      <x:c r="C8" s="392"/>
      <x:c r="D8" s="392"/>
      <x:c r="E8" s="392"/>
      <x:c r="F8" s="392"/>
      <x:c r="G8" s="392"/>
      <x:c r="H8" s="392"/>
      <x:c r="I8" s="392"/>
      <x:c r="J8" s="392"/>
      <x:c r="K8" s="392"/>
      <x:c r="L8" s="392"/>
      <x:c r="M8" s="392"/>
      <x:c r="AW8" s="72"/>
      <x:c r="AX8" s="72"/>
      <x:c r="AY8" s="72"/>
      <x:c r="AZ8" s="72"/>
      <x:c r="BA8" s="72"/>
      <x:c r="BB8" s="72"/>
      <x:c r="BC8" s="72"/>
      <x:c r="BD8" s="72"/>
      <x:c r="BE8" s="72"/>
      <x:c r="BF8" s="72"/>
      <x:c r="BG8" s="72"/>
      <x:c r="BH8" s="72"/>
      <x:c r="BI8" s="72"/>
      <x:c r="BJ8" s="72"/>
      <x:c r="BK8" s="72"/>
      <x:c r="BL8" s="72"/>
      <x:c r="BM8" s="71"/>
      <x:c r="BN8" s="69"/>
      <x:c r="BO8" s="57"/>
      <x:c r="BP8" s="60"/>
      <x:c r="BQ8" s="60"/>
      <x:c r="BR8" s="60"/>
      <x:c r="BS8" s="60"/>
      <x:c r="BT8" s="60"/>
      <x:c r="BU8" s="57"/>
      <x:c r="BV8" s="57"/>
      <x:c r="BW8" s="57"/>
      <x:c r="BX8" s="57"/>
      <x:c r="BY8" s="57"/>
      <x:c r="BZ8" s="57"/>
      <x:c r="CA8" s="57"/>
      <x:c r="CB8" s="57"/>
      <x:c r="CC8" s="57"/>
      <x:c r="CD8" s="57"/>
      <x:c r="CE8" s="57"/>
      <x:c r="CF8" s="57"/>
      <x:c r="CG8" s="57"/>
    </x:row>
    <x:row r="9" ht="19.149999618530273" customHeight="1">
      <x:c r="A9" s="57"/>
      <x:c r="B9" s="73"/>
      <x:c r="C9" s="73"/>
      <x:c r="D9" s="74"/>
      <x:c r="E9" s="74"/>
      <x:c r="F9" s="74"/>
      <x:c r="G9" s="75"/>
      <x:c r="H9" s="73"/>
      <x:c r="I9" s="75"/>
      <x:c r="J9" s="74"/>
      <x:c r="K9" s="74"/>
      <x:c r="L9" s="74"/>
      <x:c r="M9" s="74"/>
      <x:c r="N9" s="76"/>
      <x:c r="O9" s="76"/>
      <x:c r="P9" s="76"/>
      <x:c r="Q9" s="76"/>
      <x:c r="R9" s="76"/>
      <x:c r="S9" s="76"/>
      <x:c r="T9" s="76"/>
      <x:c r="U9" s="76"/>
      <x:c r="V9" s="76"/>
      <x:c r="W9" s="76"/>
      <x:c r="X9" s="76"/>
      <x:c r="Y9" s="76"/>
      <x:c r="Z9" s="76"/>
      <x:c r="AA9" s="76"/>
      <x:c r="AB9" s="76"/>
      <x:c r="AC9" s="76"/>
      <x:c r="AD9" s="76"/>
      <x:c r="AE9" s="76"/>
      <x:c r="AF9" s="76"/>
      <x:c r="AG9" s="76"/>
      <x:c r="AH9" s="76"/>
      <x:c r="AI9" s="76"/>
      <x:c r="AJ9" s="76"/>
      <x:c r="AK9" s="76"/>
      <x:c r="AL9" s="76"/>
      <x:c r="AM9" s="76"/>
      <x:c r="AN9" s="76"/>
      <x:c r="AO9" s="76"/>
      <x:c r="AP9" s="76"/>
      <x:c r="AQ9" s="76"/>
      <x:c r="AR9" s="76"/>
      <x:c r="AS9" s="76"/>
      <x:c r="AT9" s="76"/>
      <x:c r="AU9" s="76"/>
      <x:c r="AV9" s="76"/>
      <x:c r="AW9" s="76"/>
      <x:c r="AX9" s="76"/>
      <x:c r="AY9" s="76"/>
      <x:c r="AZ9" s="76"/>
      <x:c r="BA9" s="76"/>
      <x:c r="BB9" s="76"/>
      <x:c r="BC9" s="76"/>
      <x:c r="BD9" s="76"/>
      <x:c r="BE9" s="76"/>
      <x:c r="BF9" s="76"/>
      <x:c r="BG9" s="76"/>
      <x:c r="BH9" s="76"/>
      <x:c r="BI9" s="76"/>
      <x:c r="BJ9" s="76"/>
      <x:c r="BK9" s="76"/>
      <x:c r="BL9" s="76"/>
      <x:c r="BM9" s="77"/>
      <x:c r="BN9" s="69"/>
      <x:c r="BO9" s="57"/>
      <x:c r="BP9" s="60"/>
      <x:c r="BQ9" s="60"/>
      <x:c r="BR9" s="60"/>
      <x:c r="BS9" s="60"/>
      <x:c r="BT9" s="60"/>
      <x:c r="BU9" s="57"/>
      <x:c r="BV9" s="57"/>
      <x:c r="BW9" s="57"/>
      <x:c r="BX9" s="57"/>
      <x:c r="BY9" s="57"/>
      <x:c r="BZ9" s="57"/>
      <x:c r="CA9" s="57"/>
      <x:c r="CB9" s="57"/>
      <x:c r="CC9" s="57"/>
      <x:c r="CD9" s="57"/>
      <x:c r="CE9" s="57"/>
      <x:c r="CF9" s="57"/>
      <x:c r="CG9" s="57"/>
    </x:row>
    <x:row r="10" ht="14.649999618530273" customHeight="1">
      <x:c r="A10" s="57"/>
      <x:c r="B10" s="78" t="s">
        <x:v>148</x:v>
      </x:c>
      <x:c r="C10" s="79" t="n">
        <x:f>'Бізнес план'!$C$26</x:f>
        <x:v>1799898</x:v>
      </x:c>
      <x:c r="D10" s="74"/>
      <x:c r="E10" s="74"/>
      <x:c r="F10" s="74"/>
      <x:c r="G10" s="74"/>
      <x:c r="H10" s="74"/>
      <x:c r="I10" s="74"/>
      <x:c r="J10" s="74"/>
      <x:c r="K10" s="74"/>
      <x:c r="L10" s="74"/>
      <x:c r="M10" s="74"/>
      <x:c r="N10" s="62"/>
      <x:c r="O10" s="62"/>
      <x:c r="P10" s="62"/>
      <x:c r="Q10" s="62"/>
      <x:c r="R10" s="62"/>
      <x:c r="S10" s="62"/>
      <x:c r="T10" s="62"/>
      <x:c r="U10" s="62"/>
      <x:c r="V10" s="62"/>
      <x:c r="W10" s="62"/>
      <x:c r="X10" s="62"/>
      <x:c r="Y10" s="62"/>
      <x:c r="Z10" s="62"/>
      <x:c r="AA10" s="62"/>
      <x:c r="AB10" s="62"/>
      <x:c r="AC10" s="62"/>
      <x:c r="AD10" s="62"/>
      <x:c r="AE10" s="62"/>
      <x:c r="AF10" s="62"/>
      <x:c r="AG10" s="62"/>
      <x:c r="AH10" s="62"/>
      <x:c r="AI10" s="62"/>
      <x:c r="AJ10" s="62"/>
      <x:c r="AK10" s="62"/>
      <x:c r="AL10" s="62"/>
      <x:c r="AM10" s="62"/>
      <x:c r="AN10" s="62"/>
      <x:c r="AO10" s="62"/>
      <x:c r="AP10" s="62"/>
      <x:c r="AQ10" s="62"/>
      <x:c r="AR10" s="62"/>
      <x:c r="AS10" s="62"/>
      <x:c r="AT10" s="62"/>
      <x:c r="AU10" s="62"/>
      <x:c r="AV10" s="62"/>
      <x:c r="AW10" s="62"/>
      <x:c r="AX10" s="62"/>
      <x:c r="AY10" s="62"/>
      <x:c r="AZ10" s="62"/>
      <x:c r="BA10" s="62"/>
      <x:c r="BB10" s="62"/>
      <x:c r="BC10" s="62"/>
      <x:c r="BD10" s="62"/>
      <x:c r="BE10" s="62"/>
      <x:c r="BF10" s="62"/>
      <x:c r="BG10" s="62"/>
      <x:c r="BH10" s="62"/>
      <x:c r="BI10" s="62"/>
      <x:c r="BJ10" s="62"/>
      <x:c r="BK10" s="62"/>
      <x:c r="BL10" s="62"/>
      <x:c r="BM10" s="64"/>
      <x:c r="BN10" s="69"/>
      <x:c r="BO10" s="57"/>
      <x:c r="BP10" s="60"/>
      <x:c r="BQ10" s="60"/>
      <x:c r="BR10" s="60"/>
      <x:c r="BS10" s="60"/>
      <x:c r="BT10" s="60"/>
      <x:c r="BU10" s="57"/>
      <x:c r="BV10" s="57"/>
      <x:c r="BW10" s="57"/>
      <x:c r="BX10" s="57"/>
      <x:c r="BY10" s="57"/>
      <x:c r="BZ10" s="57"/>
      <x:c r="CA10" s="57"/>
      <x:c r="CB10" s="57"/>
      <x:c r="CC10" s="57"/>
      <x:c r="CD10" s="57"/>
      <x:c r="CE10" s="57"/>
      <x:c r="CF10" s="57"/>
      <x:c r="CG10" s="57"/>
    </x:row>
    <x:row r="11" ht="16.149999618530273" customHeight="1">
      <x:c r="A11" s="57"/>
      <x:c r="B11" s="80" t="s">
        <x:v>149</x:v>
      </x:c>
      <x:c r="C11" s="81" t="str">
        <x:f>'Бізнес план'!B22</x:f>
        <x:v>36 місяців</x:v>
      </x:c>
      <x:c r="D11" s="62"/>
      <x:c r="E11" s="62"/>
      <x:c r="F11" s="62"/>
      <x:c r="G11" s="62"/>
      <x:c r="H11" s="62"/>
      <x:c r="I11" s="62"/>
      <x:c r="J11" s="62"/>
      <x:c r="K11" s="62"/>
      <x:c r="L11" s="62"/>
      <x:c r="M11" s="62"/>
      <x:c r="N11" s="62"/>
      <x:c r="O11" s="62"/>
      <x:c r="P11" s="62"/>
      <x:c r="Q11" s="62"/>
      <x:c r="R11" s="62"/>
      <x:c r="S11" s="62"/>
      <x:c r="T11" s="62"/>
      <x:c r="U11" s="62"/>
      <x:c r="V11" s="62"/>
      <x:c r="W11" s="62"/>
      <x:c r="X11" s="62"/>
      <x:c r="Y11" s="62"/>
      <x:c r="Z11" s="62"/>
      <x:c r="AA11" s="62"/>
      <x:c r="AB11" s="62"/>
      <x:c r="AC11" s="62"/>
      <x:c r="AD11" s="62"/>
      <x:c r="AE11" s="62"/>
      <x:c r="AF11" s="62"/>
      <x:c r="AG11" s="62"/>
      <x:c r="AH11" s="62"/>
      <x:c r="AI11" s="62"/>
      <x:c r="AJ11" s="62"/>
      <x:c r="AK11" s="62"/>
      <x:c r="AL11" s="62"/>
      <x:c r="AM11" s="62"/>
      <x:c r="AN11" s="62"/>
      <x:c r="AO11" s="62"/>
      <x:c r="AP11" s="62"/>
      <x:c r="AQ11" s="62"/>
      <x:c r="AR11" s="62"/>
      <x:c r="AS11" s="62"/>
      <x:c r="AT11" s="62"/>
      <x:c r="AU11" s="62"/>
      <x:c r="AV11" s="62"/>
      <x:c r="AW11" s="62"/>
      <x:c r="AX11" s="62"/>
      <x:c r="AY11" s="62"/>
      <x:c r="AZ11" s="62"/>
      <x:c r="BA11" s="62"/>
      <x:c r="BB11" s="62"/>
      <x:c r="BC11" s="62"/>
      <x:c r="BD11" s="62"/>
      <x:c r="BE11" s="62"/>
      <x:c r="BF11" s="62"/>
      <x:c r="BG11" s="62"/>
      <x:c r="BH11" s="62"/>
      <x:c r="BI11" s="62"/>
      <x:c r="BJ11" s="62"/>
      <x:c r="BK11" s="62"/>
      <x:c r="BL11" s="62"/>
      <x:c r="BM11" s="64"/>
      <x:c r="BN11" s="69"/>
      <x:c r="BO11" s="57"/>
      <x:c r="BP11" s="60"/>
      <x:c r="BQ11" s="60"/>
      <x:c r="BR11" s="60"/>
      <x:c r="BS11" s="60"/>
      <x:c r="BT11" s="60"/>
      <x:c r="BU11" s="57"/>
      <x:c r="BV11" s="57"/>
      <x:c r="BW11" s="57"/>
      <x:c r="BX11" s="57"/>
      <x:c r="BY11" s="57"/>
      <x:c r="BZ11" s="57"/>
      <x:c r="CA11" s="57"/>
      <x:c r="CB11" s="57"/>
      <x:c r="CC11" s="57"/>
      <x:c r="CD11" s="57"/>
      <x:c r="CE11" s="57"/>
      <x:c r="CF11" s="57"/>
      <x:c r="CG11" s="57"/>
    </x:row>
    <x:row r="12" ht="46.900001525878906" customHeight="1">
      <x:c r="A12" s="57"/>
      <x:c r="B12" s="394" t="s">
        <x:v>150</x:v>
      </x:c>
      <x:c r="C12" s="394"/>
      <x:c r="D12" s="395"/>
      <x:c r="E12" s="387" t="s">
        <x:v>151</x:v>
      </x:c>
      <x:c r="F12" s="388"/>
      <x:c r="G12" s="388"/>
      <x:c r="H12" s="389"/>
      <x:c r="I12" s="389"/>
      <x:c r="J12" s="389"/>
      <x:c r="K12" s="389"/>
      <x:c r="L12" s="389"/>
      <x:c r="M12" s="389"/>
      <x:c r="N12" s="389"/>
      <x:c r="O12" s="389"/>
      <x:c r="P12" s="389"/>
      <x:c r="Q12" s="389"/>
      <x:c r="R12" s="389"/>
      <x:c r="S12" s="389"/>
      <x:c r="T12" s="389"/>
      <x:c r="U12" s="389"/>
      <x:c r="V12" s="389"/>
      <x:c r="W12" s="389"/>
      <x:c r="X12" s="389"/>
      <x:c r="Y12" s="389"/>
      <x:c r="Z12" s="389"/>
      <x:c r="AA12" s="389"/>
      <x:c r="AB12" s="389"/>
      <x:c r="AC12" s="389"/>
      <x:c r="AD12" s="389"/>
      <x:c r="AE12" s="389"/>
      <x:c r="AF12" s="389"/>
      <x:c r="AG12" s="389"/>
      <x:c r="AH12" s="389"/>
      <x:c r="AI12" s="389"/>
      <x:c r="AJ12" s="389"/>
      <x:c r="AK12" s="389"/>
      <x:c r="AL12" s="389"/>
      <x:c r="AM12" s="389"/>
      <x:c r="AN12" s="389"/>
      <x:c r="AO12" s="389"/>
      <x:c r="AP12" s="389"/>
      <x:c r="AQ12" s="389"/>
      <x:c r="AR12" s="389"/>
      <x:c r="AS12" s="389"/>
      <x:c r="AT12" s="389"/>
      <x:c r="AU12" s="389"/>
      <x:c r="AV12" s="389"/>
      <x:c r="AW12" s="389"/>
      <x:c r="AX12" s="389"/>
      <x:c r="AY12" s="389"/>
      <x:c r="AZ12" s="389"/>
      <x:c r="BA12" s="389"/>
      <x:c r="BB12" s="389"/>
      <x:c r="BC12" s="389"/>
      <x:c r="BD12" s="389"/>
      <x:c r="BE12" s="389"/>
      <x:c r="BF12" s="389"/>
      <x:c r="BG12" s="389"/>
      <x:c r="BH12" s="389"/>
      <x:c r="BI12" s="389"/>
      <x:c r="BJ12" s="389"/>
      <x:c r="BK12" s="389"/>
      <x:c r="BL12" s="389"/>
      <x:c r="BM12" s="389"/>
      <x:c r="BN12" s="69"/>
      <x:c r="BO12" s="57"/>
      <x:c r="BP12" s="60"/>
      <x:c r="BQ12" s="60"/>
      <x:c r="BR12" s="60"/>
      <x:c r="BS12" s="60"/>
      <x:c r="BT12" s="60"/>
      <x:c r="BU12" s="57"/>
      <x:c r="BV12" s="57"/>
      <x:c r="BW12" s="57"/>
      <x:c r="BX12" s="57"/>
      <x:c r="BY12" s="57"/>
      <x:c r="BZ12" s="57"/>
      <x:c r="CA12" s="57"/>
      <x:c r="CB12" s="57"/>
      <x:c r="CC12" s="57"/>
      <x:c r="CD12" s="57"/>
      <x:c r="CE12" s="57"/>
      <x:c r="CF12" s="57"/>
      <x:c r="CG12" s="57"/>
    </x:row>
    <x:row r="13" ht="57.95000076293945" customHeight="1">
      <x:c r="A13" s="57"/>
      <x:c r="B13" s="82" t="s">
        <x:v>152</x:v>
      </x:c>
      <x:c r="C13" s="83" t="s">
        <x:v>153</x:v>
      </x:c>
      <x:c r="D13" s="84" t="s">
        <x:v>154</x:v>
      </x:c>
      <x:c r="E13" s="85">
        <x:v>1</x:v>
      </x:c>
      <x:c r="F13" s="85">
        <x:v>2</x:v>
      </x:c>
      <x:c r="G13" s="85">
        <x:v>3</x:v>
      </x:c>
      <x:c r="H13" s="85">
        <x:v>4</x:v>
      </x:c>
      <x:c r="I13" s="85">
        <x:v>5</x:v>
      </x:c>
      <x:c r="J13" s="85">
        <x:v>6</x:v>
      </x:c>
      <x:c r="K13" s="85">
        <x:v>7</x:v>
      </x:c>
      <x:c r="L13" s="85">
        <x:v>8</x:v>
      </x:c>
      <x:c r="M13" s="85">
        <x:v>9</x:v>
      </x:c>
      <x:c r="N13" s="85">
        <x:v>10</x:v>
      </x:c>
      <x:c r="O13" s="85">
        <x:v>11</x:v>
      </x:c>
      <x:c r="P13" s="85">
        <x:v>12</x:v>
      </x:c>
      <x:c r="Q13" s="85">
        <x:v>13</x:v>
      </x:c>
      <x:c r="R13" s="85">
        <x:v>14</x:v>
      </x:c>
      <x:c r="S13" s="85">
        <x:v>15</x:v>
      </x:c>
      <x:c r="T13" s="85">
        <x:v>16</x:v>
      </x:c>
      <x:c r="U13" s="85">
        <x:v>17</x:v>
      </x:c>
      <x:c r="V13" s="85">
        <x:v>18</x:v>
      </x:c>
      <x:c r="W13" s="85">
        <x:v>19</x:v>
      </x:c>
      <x:c r="X13" s="85">
        <x:v>20</x:v>
      </x:c>
      <x:c r="Y13" s="85">
        <x:v>21</x:v>
      </x:c>
      <x:c r="Z13" s="85">
        <x:v>22</x:v>
      </x:c>
      <x:c r="AA13" s="85">
        <x:v>23</x:v>
      </x:c>
      <x:c r="AB13" s="85">
        <x:v>24</x:v>
      </x:c>
      <x:c r="AC13" s="85">
        <x:v>25</x:v>
      </x:c>
      <x:c r="AD13" s="85">
        <x:v>26</x:v>
      </x:c>
      <x:c r="AE13" s="85">
        <x:v>27</x:v>
      </x:c>
      <x:c r="AF13" s="85">
        <x:v>28</x:v>
      </x:c>
      <x:c r="AG13" s="85">
        <x:v>29</x:v>
      </x:c>
      <x:c r="AH13" s="85">
        <x:v>30</x:v>
      </x:c>
      <x:c r="AI13" s="85">
        <x:v>31</x:v>
      </x:c>
      <x:c r="AJ13" s="85">
        <x:v>32</x:v>
      </x:c>
      <x:c r="AK13" s="85">
        <x:v>33</x:v>
      </x:c>
      <x:c r="AL13" s="85">
        <x:v>34</x:v>
      </x:c>
      <x:c r="AM13" s="85">
        <x:v>35</x:v>
      </x:c>
      <x:c r="AN13" s="85">
        <x:v>36</x:v>
      </x:c>
      <x:c r="AO13" s="85">
        <x:v>37</x:v>
      </x:c>
      <x:c r="AP13" s="85">
        <x:v>38</x:v>
      </x:c>
      <x:c r="AQ13" s="85">
        <x:v>39</x:v>
      </x:c>
      <x:c r="AR13" s="85">
        <x:v>40</x:v>
      </x:c>
      <x:c r="AS13" s="85">
        <x:v>41</x:v>
      </x:c>
      <x:c r="AT13" s="85">
        <x:v>42</x:v>
      </x:c>
      <x:c r="AU13" s="85">
        <x:v>43</x:v>
      </x:c>
      <x:c r="AV13" s="85">
        <x:v>44</x:v>
      </x:c>
      <x:c r="AW13" s="85">
        <x:v>45</x:v>
      </x:c>
      <x:c r="AX13" s="85">
        <x:v>46</x:v>
      </x:c>
      <x:c r="AY13" s="85">
        <x:v>47</x:v>
      </x:c>
      <x:c r="AZ13" s="85">
        <x:v>48</x:v>
      </x:c>
      <x:c r="BA13" s="85">
        <x:v>49</x:v>
      </x:c>
      <x:c r="BB13" s="85">
        <x:v>50</x:v>
      </x:c>
      <x:c r="BC13" s="85">
        <x:v>51</x:v>
      </x:c>
      <x:c r="BD13" s="85">
        <x:v>52</x:v>
      </x:c>
      <x:c r="BE13" s="85">
        <x:v>53</x:v>
      </x:c>
      <x:c r="BF13" s="85">
        <x:v>54</x:v>
      </x:c>
      <x:c r="BG13" s="85">
        <x:v>55</x:v>
      </x:c>
      <x:c r="BH13" s="85">
        <x:v>56</x:v>
      </x:c>
      <x:c r="BI13" s="85">
        <x:v>57</x:v>
      </x:c>
      <x:c r="BJ13" s="85">
        <x:v>58</x:v>
      </x:c>
      <x:c r="BK13" s="85">
        <x:v>59</x:v>
      </x:c>
      <x:c r="BL13" s="85">
        <x:v>60</x:v>
      </x:c>
      <x:c r="BM13" s="86" t="s">
        <x:v>155</x:v>
      </x:c>
      <x:c r="BN13" s="69"/>
      <x:c r="BO13" s="57"/>
      <x:c r="BP13" s="60"/>
      <x:c r="BQ13" s="60"/>
      <x:c r="BR13" s="60"/>
      <x:c r="BS13" s="60"/>
      <x:c r="BT13" s="60"/>
      <x:c r="BU13" s="57"/>
      <x:c r="BV13" s="57"/>
      <x:c r="BW13" s="57"/>
      <x:c r="BX13" s="57"/>
      <x:c r="BY13" s="57"/>
      <x:c r="BZ13" s="57"/>
      <x:c r="CA13" s="57"/>
      <x:c r="CB13" s="57"/>
      <x:c r="CC13" s="57"/>
      <x:c r="CD13" s="57"/>
      <x:c r="CE13" s="57"/>
      <x:c r="CF13" s="57"/>
      <x:c r="CG13" s="57"/>
    </x:row>
    <x:row r="14" ht="22.5" customHeight="1">
      <x:c r="A14" s="57"/>
      <x:c r="B14" s="87" t="s">
        <x:v>156</x:v>
      </x:c>
      <x:c r="C14" s="88"/>
      <x:c r="D14" s="89">
        <x:v>0</x:v>
      </x:c>
      <x:c r="E14" s="148" t="n">
        <x:f>'Модель 36 міс'!C35</x:f>
        <x:v>1799898</x:v>
      </x:c>
      <x:c r="F14" s="90" t="n">
        <x:f>'Модель 36 міс'!D35</x:f>
        <x:v>0</x:v>
      </x:c>
      <x:c r="G14" s="90" t="n">
        <x:f>'Модель 36 міс'!E35</x:f>
        <x:v>0</x:v>
      </x:c>
      <x:c r="H14" s="90" t="n">
        <x:f>'Модель 36 міс'!F35</x:f>
        <x:v>0</x:v>
      </x:c>
      <x:c r="I14" s="90" t="n">
        <x:f>'Модель 36 міс'!G35</x:f>
        <x:v>0</x:v>
      </x:c>
      <x:c r="J14" s="90" t="n">
        <x:f>'Модель 36 міс'!H35</x:f>
        <x:v>0</x:v>
      </x:c>
      <x:c r="K14" s="90" t="n">
        <x:f>'Модель 36 міс'!I35</x:f>
        <x:v>0</x:v>
      </x:c>
      <x:c r="L14" s="90" t="n">
        <x:f>'Модель 36 міс'!J35</x:f>
        <x:v>0</x:v>
      </x:c>
      <x:c r="M14" s="90" t="n">
        <x:f>'Модель 36 міс'!K35</x:f>
        <x:v>0</x:v>
      </x:c>
      <x:c r="N14" s="90" t="n">
        <x:f>'Модель 36 міс'!L35</x:f>
        <x:v>0</x:v>
      </x:c>
      <x:c r="O14" s="90" t="n">
        <x:f>'Модель 36 міс'!M35</x:f>
        <x:v>0</x:v>
      </x:c>
      <x:c r="P14" s="90" t="n">
        <x:f>'Модель 36 міс'!N35</x:f>
        <x:v>0</x:v>
      </x:c>
      <x:c r="Q14" s="90" t="n">
        <x:f>'Модель 36 міс'!O35</x:f>
        <x:v>0</x:v>
      </x:c>
      <x:c r="R14" s="90" t="n">
        <x:f>'Модель 36 міс'!P35</x:f>
        <x:v>0</x:v>
      </x:c>
      <x:c r="S14" s="90" t="n">
        <x:f>'Модель 36 міс'!Q35</x:f>
        <x:v>0</x:v>
      </x:c>
      <x:c r="T14" s="90" t="n">
        <x:f>'Модель 36 міс'!R35</x:f>
        <x:v>0</x:v>
      </x:c>
      <x:c r="U14" s="90" t="n">
        <x:f>'Модель 36 міс'!S35</x:f>
        <x:v>0</x:v>
      </x:c>
      <x:c r="V14" s="90" t="n">
        <x:f>'Модель 36 міс'!T35</x:f>
        <x:v>0</x:v>
      </x:c>
      <x:c r="W14" s="90" t="n">
        <x:f>'Модель 36 міс'!U35</x:f>
        <x:v>0</x:v>
      </x:c>
      <x:c r="X14" s="90" t="n">
        <x:f>'Модель 36 міс'!V35</x:f>
        <x:v>0</x:v>
      </x:c>
      <x:c r="Y14" s="90" t="n">
        <x:f>'Модель 36 міс'!W35</x:f>
        <x:v>0</x:v>
      </x:c>
      <x:c r="Z14" s="90" t="n">
        <x:f>'Модель 36 міс'!X35</x:f>
        <x:v>0</x:v>
      </x:c>
      <x:c r="AA14" s="90" t="n">
        <x:f>'Модель 36 міс'!Y35</x:f>
        <x:v>0</x:v>
      </x:c>
      <x:c r="AB14" s="90" t="n">
        <x:f>'Модель 36 міс'!Z35</x:f>
        <x:v>0</x:v>
      </x:c>
      <x:c r="AC14" s="90" t="n">
        <x:f>'Модель 36 міс'!AA35</x:f>
        <x:v>0</x:v>
      </x:c>
      <x:c r="AD14" s="90" t="n">
        <x:f>'Модель 36 міс'!AB35</x:f>
        <x:v>0</x:v>
      </x:c>
      <x:c r="AE14" s="90" t="n">
        <x:f>'Модель 36 міс'!AC35</x:f>
        <x:v>0</x:v>
      </x:c>
      <x:c r="AF14" s="90" t="n">
        <x:f>'Модель 36 міс'!AD35</x:f>
        <x:v>0</x:v>
      </x:c>
      <x:c r="AG14" s="90" t="n">
        <x:f>'Модель 36 міс'!AE35</x:f>
        <x:v>0</x:v>
      </x:c>
      <x:c r="AH14" s="90" t="n">
        <x:f>'Модель 36 міс'!AF35</x:f>
        <x:v>0</x:v>
      </x:c>
      <x:c r="AI14" s="90" t="n">
        <x:f>'Модель 36 міс'!AG35</x:f>
        <x:v>0</x:v>
      </x:c>
      <x:c r="AJ14" s="90" t="n">
        <x:f>'Модель 36 міс'!AH35</x:f>
        <x:v>0</x:v>
      </x:c>
      <x:c r="AK14" s="90" t="n">
        <x:f>'Модель 36 міс'!AI35</x:f>
        <x:v>0</x:v>
      </x:c>
      <x:c r="AL14" s="90" t="n">
        <x:f>'Модель 36 міс'!AJ35</x:f>
        <x:v>0</x:v>
      </x:c>
      <x:c r="AM14" s="90" t="n">
        <x:f>'Модель 36 міс'!AK35</x:f>
        <x:v>0</x:v>
      </x:c>
      <x:c r="AN14" s="90" t="n">
        <x:f>'Модель 36 міс'!AL35</x:f>
        <x:v>0</x:v>
      </x:c>
      <x:c r="AO14" s="90" t="n">
        <x:v>0</x:v>
      </x:c>
      <x:c r="AP14" s="90" t="n">
        <x:v>0</x:v>
      </x:c>
      <x:c r="AQ14" s="90" t="n">
        <x:v>0</x:v>
      </x:c>
      <x:c r="AR14" s="90" t="n">
        <x:v>0</x:v>
      </x:c>
      <x:c r="AS14" s="90" t="n">
        <x:v>0</x:v>
      </x:c>
      <x:c r="AT14" s="90" t="n">
        <x:v>0</x:v>
      </x:c>
      <x:c r="AU14" s="90" t="n">
        <x:v>0</x:v>
      </x:c>
      <x:c r="AV14" s="90" t="n">
        <x:v>0</x:v>
      </x:c>
      <x:c r="AW14" s="90" t="n">
        <x:v>0</x:v>
      </x:c>
      <x:c r="AX14" s="90" t="n">
        <x:v>0</x:v>
      </x:c>
      <x:c r="AY14" s="90" t="n">
        <x:v>0</x:v>
      </x:c>
      <x:c r="AZ14" s="90" t="n">
        <x:v>0</x:v>
      </x:c>
      <x:c r="BA14" s="90" t="n">
        <x:v>0</x:v>
      </x:c>
      <x:c r="BB14" s="90" t="n">
        <x:v>0</x:v>
      </x:c>
      <x:c r="BC14" s="90" t="n">
        <x:v>0</x:v>
      </x:c>
      <x:c r="BD14" s="90" t="n">
        <x:v>0</x:v>
      </x:c>
      <x:c r="BE14" s="90" t="n">
        <x:v>0</x:v>
      </x:c>
      <x:c r="BF14" s="90" t="n">
        <x:v>0</x:v>
      </x:c>
      <x:c r="BG14" s="90" t="n">
        <x:v>0</x:v>
      </x:c>
      <x:c r="BH14" s="90" t="n">
        <x:v>0</x:v>
      </x:c>
      <x:c r="BI14" s="90" t="n">
        <x:v>0</x:v>
      </x:c>
      <x:c r="BJ14" s="90" t="n">
        <x:v>0</x:v>
      </x:c>
      <x:c r="BK14" s="90" t="n">
        <x:v>0</x:v>
      </x:c>
      <x:c r="BL14" s="91" t="n">
        <x:v>0</x:v>
      </x:c>
      <x:c r="BM14" s="92" t="n">
        <x:f>SUM(E14:AN14)</x:f>
        <x:v>1799898</x:v>
      </x:c>
      <x:c r="BN14" s="69"/>
      <x:c r="BO14" s="57"/>
      <x:c r="BP14" s="60"/>
      <x:c r="BQ14" s="60"/>
      <x:c r="BR14" s="60"/>
      <x:c r="BS14" s="60"/>
      <x:c r="BT14" s="60"/>
      <x:c r="BU14" s="57"/>
      <x:c r="BV14" s="57"/>
      <x:c r="BW14" s="57"/>
      <x:c r="BX14" s="57"/>
      <x:c r="BY14" s="57"/>
      <x:c r="BZ14" s="57"/>
      <x:c r="CA14" s="57"/>
      <x:c r="CB14" s="57"/>
      <x:c r="CC14" s="57"/>
      <x:c r="CD14" s="57"/>
      <x:c r="CE14" s="57"/>
      <x:c r="CF14" s="57"/>
      <x:c r="CG14" s="57"/>
    </x:row>
    <x:row r="15" ht="24.950000762939453" customHeight="1">
      <x:c r="A15" s="57"/>
      <x:c r="B15" s="93" t="s">
        <x:v>157</x:v>
      </x:c>
      <x:c r="C15" s="88"/>
      <x:c r="D15" s="94">
        <x:v>0</x:v>
      </x:c>
      <x:c r="E15" s="92" t="n">
        <x:f>'Модель 36 міс'!C36</x:f>
        <x:v>110000</x:v>
      </x:c>
      <x:c r="F15" s="92" t="n">
        <x:f>'Модель 36 міс'!D36</x:f>
        <x:v>0</x:v>
      </x:c>
      <x:c r="G15" s="92" t="n">
        <x:f>'Модель 36 міс'!E36</x:f>
        <x:v>0</x:v>
      </x:c>
      <x:c r="H15" s="92" t="n">
        <x:f>'Модель 36 міс'!F36</x:f>
        <x:v>0</x:v>
      </x:c>
      <x:c r="I15" s="92" t="n">
        <x:f>'Модель 36 міс'!G36</x:f>
        <x:v>0</x:v>
      </x:c>
      <x:c r="J15" s="92" t="n">
        <x:f>'Модель 36 міс'!H36</x:f>
        <x:v>0</x:v>
      </x:c>
      <x:c r="K15" s="92" t="n">
        <x:f>'Модель 36 міс'!I36</x:f>
        <x:v>0</x:v>
      </x:c>
      <x:c r="L15" s="92" t="n">
        <x:f>'Модель 36 міс'!J36</x:f>
        <x:v>0</x:v>
      </x:c>
      <x:c r="M15" s="92" t="n">
        <x:f>'Модель 36 міс'!K36</x:f>
        <x:v>0</x:v>
      </x:c>
      <x:c r="N15" s="92" t="n">
        <x:f>'Модель 36 міс'!L36</x:f>
        <x:v>0</x:v>
      </x:c>
      <x:c r="O15" s="92" t="n">
        <x:f>'Модель 36 міс'!M36</x:f>
        <x:v>0</x:v>
      </x:c>
      <x:c r="P15" s="92" t="n">
        <x:f>'Модель 36 міс'!N36</x:f>
        <x:v>0</x:v>
      </x:c>
      <x:c r="Q15" s="92" t="n">
        <x:f>'Модель 36 міс'!O36</x:f>
        <x:v>275860</x:v>
      </x:c>
      <x:c r="R15" s="92" t="n">
        <x:f>'Модель 36 міс'!P36</x:f>
        <x:v>0</x:v>
      </x:c>
      <x:c r="S15" s="92" t="n">
        <x:f>'Модель 36 міс'!Q36</x:f>
        <x:v>0</x:v>
      </x:c>
      <x:c r="T15" s="92" t="n">
        <x:f>'Модель 36 міс'!R36</x:f>
        <x:v>0</x:v>
      </x:c>
      <x:c r="U15" s="92" t="n">
        <x:f>'Модель 36 міс'!S36</x:f>
        <x:v>0</x:v>
      </x:c>
      <x:c r="V15" s="92" t="n">
        <x:f>'Модель 36 міс'!T36</x:f>
        <x:v>0</x:v>
      </x:c>
      <x:c r="W15" s="92" t="n">
        <x:f>'Модель 36 міс'!U36</x:f>
        <x:v>0</x:v>
      </x:c>
      <x:c r="X15" s="92" t="n">
        <x:f>'Модель 36 міс'!V36</x:f>
        <x:v>0</x:v>
      </x:c>
      <x:c r="Y15" s="92" t="n">
        <x:f>'Модель 36 міс'!W36</x:f>
        <x:v>0</x:v>
      </x:c>
      <x:c r="Z15" s="92" t="n">
        <x:f>'Модель 36 міс'!X36</x:f>
        <x:v>0</x:v>
      </x:c>
      <x:c r="AA15" s="92" t="n">
        <x:f>'Модель 36 міс'!Y36</x:f>
        <x:v>0</x:v>
      </x:c>
      <x:c r="AB15" s="92" t="n">
        <x:f>'Модель 36 міс'!Z36</x:f>
        <x:v>0</x:v>
      </x:c>
      <x:c r="AC15" s="92" t="n">
        <x:f>'Модель 36 міс'!AA36</x:f>
        <x:v>0</x:v>
      </x:c>
      <x:c r="AD15" s="92" t="n">
        <x:f>'Модель 36 міс'!AB36</x:f>
        <x:v>0</x:v>
      </x:c>
      <x:c r="AE15" s="92" t="n">
        <x:f>'Модель 36 міс'!AC36</x:f>
        <x:v>0</x:v>
      </x:c>
      <x:c r="AF15" s="92" t="n">
        <x:f>'Модель 36 міс'!AD36</x:f>
        <x:v>0</x:v>
      </x:c>
      <x:c r="AG15" s="92" t="n">
        <x:f>'Модель 36 міс'!AE36</x:f>
        <x:v>0</x:v>
      </x:c>
      <x:c r="AH15" s="92" t="n">
        <x:f>'Модель 36 міс'!AF36</x:f>
        <x:v>0</x:v>
      </x:c>
      <x:c r="AI15" s="92" t="n">
        <x:f>'Модель 36 міс'!AG36</x:f>
        <x:v>0</x:v>
      </x:c>
      <x:c r="AJ15" s="92" t="n">
        <x:f>'Модель 36 міс'!AH36</x:f>
        <x:v>0</x:v>
      </x:c>
      <x:c r="AK15" s="92" t="n">
        <x:f>'Модель 36 міс'!AI36</x:f>
        <x:v>0</x:v>
      </x:c>
      <x:c r="AL15" s="92" t="n">
        <x:f>'Модель 36 міс'!AJ36</x:f>
        <x:v>0</x:v>
      </x:c>
      <x:c r="AM15" s="92" t="n">
        <x:f>'Модель 36 міс'!AK36</x:f>
        <x:v>0</x:v>
      </x:c>
      <x:c r="AN15" s="92" t="n">
        <x:f>'Модель 36 міс'!AL36</x:f>
        <x:v>0</x:v>
      </x:c>
      <x:c r="AO15" s="92" t="n">
        <x:v>0</x:v>
      </x:c>
      <x:c r="AP15" s="92" t="n">
        <x:v>0</x:v>
      </x:c>
      <x:c r="AQ15" s="92" t="n">
        <x:v>0</x:v>
      </x:c>
      <x:c r="AR15" s="92" t="n">
        <x:v>0</x:v>
      </x:c>
      <x:c r="AS15" s="92" t="n">
        <x:v>0</x:v>
      </x:c>
      <x:c r="AT15" s="92" t="n">
        <x:v>0</x:v>
      </x:c>
      <x:c r="AU15" s="92" t="n">
        <x:v>0</x:v>
      </x:c>
      <x:c r="AV15" s="92" t="n">
        <x:v>0</x:v>
      </x:c>
      <x:c r="AW15" s="92" t="n">
        <x:v>0</x:v>
      </x:c>
      <x:c r="AX15" s="92" t="n">
        <x:v>0</x:v>
      </x:c>
      <x:c r="AY15" s="92" t="n">
        <x:v>0</x:v>
      </x:c>
      <x:c r="AZ15" s="92" t="n">
        <x:v>0</x:v>
      </x:c>
      <x:c r="BA15" s="92" t="n">
        <x:v>0</x:v>
      </x:c>
      <x:c r="BB15" s="92" t="n">
        <x:v>0</x:v>
      </x:c>
      <x:c r="BC15" s="92" t="n">
        <x:v>0</x:v>
      </x:c>
      <x:c r="BD15" s="92" t="n">
        <x:v>0</x:v>
      </x:c>
      <x:c r="BE15" s="92" t="n">
        <x:v>0</x:v>
      </x:c>
      <x:c r="BF15" s="92" t="n">
        <x:v>0</x:v>
      </x:c>
      <x:c r="BG15" s="92" t="n">
        <x:v>0</x:v>
      </x:c>
      <x:c r="BH15" s="92" t="n">
        <x:v>0</x:v>
      </x:c>
      <x:c r="BI15" s="92" t="n">
        <x:v>0</x:v>
      </x:c>
      <x:c r="BJ15" s="92" t="n">
        <x:v>0</x:v>
      </x:c>
      <x:c r="BK15" s="92" t="n">
        <x:v>0</x:v>
      </x:c>
      <x:c r="BL15" s="95" t="n">
        <x:v>0</x:v>
      </x:c>
      <x:c r="BM15" s="149" t="n">
        <x:f>SUM(E15:AN15)</x:f>
        <x:v>385860</x:v>
      </x:c>
      <x:c r="BN15" s="69"/>
      <x:c r="BO15" s="57"/>
      <x:c r="BP15" s="60"/>
      <x:c r="BQ15" s="60"/>
      <x:c r="BR15" s="60"/>
      <x:c r="BS15" s="60"/>
      <x:c r="BT15" s="60"/>
      <x:c r="BU15" s="57"/>
      <x:c r="BV15" s="57"/>
      <x:c r="BW15" s="57"/>
      <x:c r="BX15" s="57"/>
      <x:c r="BY15" s="57"/>
      <x:c r="BZ15" s="57"/>
      <x:c r="CA15" s="57"/>
      <x:c r="CB15" s="57"/>
      <x:c r="CC15" s="57"/>
      <x:c r="CD15" s="57"/>
      <x:c r="CE15" s="57"/>
      <x:c r="CF15" s="57"/>
      <x:c r="CG15" s="57"/>
    </x:row>
    <x:row r="16" ht="70.1500015258789" customHeight="1">
      <x:c r="A16" s="57"/>
      <x:c r="B16" s="96" t="s">
        <x:v>158</x:v>
      </x:c>
      <x:c r="C16" s="192" t="s">
        <x:v>159</x:v>
      </x:c>
      <x:c r="D16" s="97"/>
      <x:c r="E16" s="98" t="n">
        <x:f>'Модель 36 міс'!C32</x:f>
        <x:v>150000</x:v>
      </x:c>
      <x:c r="F16" s="98" t="n">
        <x:f>'Модель 36 міс'!D32</x:f>
        <x:v>150000</x:v>
      </x:c>
      <x:c r="G16" s="98" t="n">
        <x:f>'Модель 36 міс'!E32</x:f>
        <x:v>150000</x:v>
      </x:c>
      <x:c r="H16" s="98" t="n">
        <x:f>'Модель 36 міс'!F32</x:f>
        <x:v>200000</x:v>
      </x:c>
      <x:c r="I16" s="98" t="n">
        <x:f>'Модель 36 міс'!G32</x:f>
        <x:v>200000</x:v>
      </x:c>
      <x:c r="J16" s="98" t="n">
        <x:f>'Модель 36 міс'!H32</x:f>
        <x:v>200000</x:v>
      </x:c>
      <x:c r="K16" s="98" t="n">
        <x:f>'Модель 36 міс'!I32</x:f>
        <x:v>200000</x:v>
      </x:c>
      <x:c r="L16" s="98" t="n">
        <x:f>'Модель 36 міс'!J32</x:f>
        <x:v>200000</x:v>
      </x:c>
      <x:c r="M16" s="98" t="n">
        <x:f>'Модель 36 міс'!K32</x:f>
        <x:v>200000</x:v>
      </x:c>
      <x:c r="N16" s="98" t="n">
        <x:f>'Модель 36 міс'!L32</x:f>
        <x:v>200000</x:v>
      </x:c>
      <x:c r="O16" s="98" t="n">
        <x:f>'Модель 36 міс'!M32</x:f>
        <x:v>280000</x:v>
      </x:c>
      <x:c r="P16" s="98" t="n">
        <x:f>'Модель 36 міс'!N32</x:f>
        <x:v>280000</x:v>
      </x:c>
      <x:c r="Q16" s="98" t="n">
        <x:f>'Модель 36 міс'!O32</x:f>
        <x:v>280000</x:v>
      </x:c>
      <x:c r="R16" s="98" t="n">
        <x:f>'Модель 36 міс'!P32</x:f>
        <x:v>300000</x:v>
      </x:c>
      <x:c r="S16" s="98" t="n">
        <x:f>'Модель 36 міс'!Q32</x:f>
        <x:v>300000</x:v>
      </x:c>
      <x:c r="T16" s="98" t="n">
        <x:f>'Модель 36 міс'!R32</x:f>
        <x:v>300000</x:v>
      </x:c>
      <x:c r="U16" s="98" t="n">
        <x:f>'Модель 36 міс'!S32</x:f>
        <x:v>350000</x:v>
      </x:c>
      <x:c r="V16" s="98" t="n">
        <x:f>'Модель 36 міс'!T32</x:f>
        <x:v>350000</x:v>
      </x:c>
      <x:c r="W16" s="98" t="n">
        <x:f>'Модель 36 міс'!U32</x:f>
        <x:v>350000</x:v>
      </x:c>
      <x:c r="X16" s="98" t="n">
        <x:f>'Модель 36 міс'!V32</x:f>
        <x:v>350000</x:v>
      </x:c>
      <x:c r="Y16" s="98" t="n">
        <x:f>'Модель 36 міс'!W32</x:f>
        <x:v>400000</x:v>
      </x:c>
      <x:c r="Z16" s="98" t="n">
        <x:f>'Модель 36 міс'!X32</x:f>
        <x:v>420000</x:v>
      </x:c>
      <x:c r="AA16" s="98" t="n">
        <x:f>'Модель 36 міс'!Y32</x:f>
        <x:v>420000</x:v>
      </x:c>
      <x:c r="AB16" s="98" t="n">
        <x:f>'Модель 36 міс'!Z32</x:f>
        <x:v>450000</x:v>
      </x:c>
      <x:c r="AC16" s="98" t="n">
        <x:f>'Модель 36 міс'!AA32</x:f>
        <x:v>450000</x:v>
      </x:c>
      <x:c r="AD16" s="98" t="n">
        <x:f>'Модель 36 міс'!AB32</x:f>
        <x:v>450000</x:v>
      </x:c>
      <x:c r="AE16" s="98" t="n">
        <x:f>'Модель 36 міс'!AC32</x:f>
        <x:v>450000</x:v>
      </x:c>
      <x:c r="AF16" s="98" t="n">
        <x:f>'Модель 36 міс'!AD32</x:f>
        <x:v>450000</x:v>
      </x:c>
      <x:c r="AG16" s="98" t="n">
        <x:f>'Модель 36 міс'!AE32</x:f>
        <x:v>450000</x:v>
      </x:c>
      <x:c r="AH16" s="98" t="n">
        <x:f>'Модель 36 міс'!AF32</x:f>
        <x:v>450000</x:v>
      </x:c>
      <x:c r="AI16" s="98" t="n">
        <x:f>'Модель 36 міс'!AG32</x:f>
        <x:v>450000</x:v>
      </x:c>
      <x:c r="AJ16" s="98" t="n">
        <x:f>'Модель 36 міс'!AH32</x:f>
        <x:v>450000</x:v>
      </x:c>
      <x:c r="AK16" s="98" t="n">
        <x:f>'Модель 36 міс'!AI32</x:f>
        <x:v>450000</x:v>
      </x:c>
      <x:c r="AL16" s="98" t="n">
        <x:f>'Модель 36 міс'!AJ32</x:f>
        <x:v>450000</x:v>
      </x:c>
      <x:c r="AM16" s="98" t="n">
        <x:f>'Модель 36 міс'!AK32</x:f>
        <x:v>450000</x:v>
      </x:c>
      <x:c r="AN16" s="98" t="n">
        <x:f>'Модель 36 міс'!AL32</x:f>
        <x:v>450000</x:v>
      </x:c>
      <x:c r="AO16" s="98" t="n">
        <x:v>0</x:v>
      </x:c>
      <x:c r="AP16" s="98" t="n">
        <x:v>0</x:v>
      </x:c>
      <x:c r="AQ16" s="98" t="n">
        <x:v>0</x:v>
      </x:c>
      <x:c r="AR16" s="98" t="n">
        <x:v>0</x:v>
      </x:c>
      <x:c r="AS16" s="98" t="n">
        <x:v>0</x:v>
      </x:c>
      <x:c r="AT16" s="98" t="n">
        <x:v>0</x:v>
      </x:c>
      <x:c r="AU16" s="98" t="n">
        <x:v>0</x:v>
      </x:c>
      <x:c r="AV16" s="98" t="n">
        <x:v>0</x:v>
      </x:c>
      <x:c r="AW16" s="98" t="n">
        <x:v>0</x:v>
      </x:c>
      <x:c r="AX16" s="98" t="n">
        <x:v>0</x:v>
      </x:c>
      <x:c r="AY16" s="98" t="n">
        <x:v>0</x:v>
      </x:c>
      <x:c r="AZ16" s="98" t="n">
        <x:v>0</x:v>
      </x:c>
      <x:c r="BA16" s="98" t="n">
        <x:v>0</x:v>
      </x:c>
      <x:c r="BB16" s="98" t="n">
        <x:v>0</x:v>
      </x:c>
      <x:c r="BC16" s="98" t="n">
        <x:v>0</x:v>
      </x:c>
      <x:c r="BD16" s="98" t="n">
        <x:v>0</x:v>
      </x:c>
      <x:c r="BE16" s="98" t="n">
        <x:v>0</x:v>
      </x:c>
      <x:c r="BF16" s="98" t="n">
        <x:v>0</x:v>
      </x:c>
      <x:c r="BG16" s="98" t="n">
        <x:v>0</x:v>
      </x:c>
      <x:c r="BH16" s="98" t="n">
        <x:v>0</x:v>
      </x:c>
      <x:c r="BI16" s="98" t="n">
        <x:v>0</x:v>
      </x:c>
      <x:c r="BJ16" s="98" t="n">
        <x:v>0</x:v>
      </x:c>
      <x:c r="BK16" s="98" t="n">
        <x:v>0</x:v>
      </x:c>
      <x:c r="BL16" s="99" t="n">
        <x:v>0</x:v>
      </x:c>
      <x:c r="BM16" s="92" t="n">
        <x:f>SUM(E16:AN16)</x:f>
        <x:v>12080000</x:v>
      </x:c>
      <x:c r="BN16" s="57"/>
      <x:c r="BO16" s="57"/>
      <x:c r="BP16" s="57"/>
      <x:c r="BQ16" s="57"/>
      <x:c r="BR16" s="57"/>
      <x:c r="BS16" s="57"/>
      <x:c r="BT16" s="57"/>
      <x:c r="BU16" s="57"/>
      <x:c r="BV16" s="57"/>
      <x:c r="BW16" s="57"/>
      <x:c r="BX16" s="57"/>
      <x:c r="BY16" s="57"/>
      <x:c r="BZ16" s="57"/>
      <x:c r="CA16" s="57"/>
      <x:c r="CB16" s="57"/>
      <x:c r="CC16" s="57"/>
      <x:c r="CD16" s="57"/>
      <x:c r="CE16" s="57"/>
      <x:c r="CF16" s="57"/>
      <x:c r="CG16" s="57"/>
    </x:row>
    <x:row r="17" ht="73.5" customHeight="1">
      <x:c r="A17" s="57"/>
      <x:c r="B17" s="96" t="s">
        <x:v>160</x:v>
      </x:c>
      <x:c r="C17" s="189" t="s">
        <x:v>161</x:v>
      </x:c>
      <x:c r="D17" s="97"/>
      <x:c r="E17" s="97" t="n">
        <x:f>'Модель 36 міс'!C33</x:f>
        <x:v>50000</x:v>
      </x:c>
      <x:c r="F17" s="97" t="n">
        <x:f>'Модель 36 міс'!D33</x:f>
        <x:v>50000</x:v>
      </x:c>
      <x:c r="G17" s="97" t="n">
        <x:f>'Модель 36 міс'!E33</x:f>
        <x:v>50000</x:v>
      </x:c>
      <x:c r="H17" s="97" t="n">
        <x:f>'Модель 36 міс'!F33</x:f>
        <x:v>80000</x:v>
      </x:c>
      <x:c r="I17" s="97" t="n">
        <x:f>'Модель 36 міс'!G33</x:f>
        <x:v>80000</x:v>
      </x:c>
      <x:c r="J17" s="97" t="n">
        <x:f>'Модель 36 міс'!H33</x:f>
        <x:v>100000</x:v>
      </x:c>
      <x:c r="K17" s="97" t="n">
        <x:f>'Модель 36 міс'!I33</x:f>
        <x:v>100000</x:v>
      </x:c>
      <x:c r="L17" s="97" t="n">
        <x:f>'Модель 36 міс'!J33</x:f>
        <x:v>150000</x:v>
      </x:c>
      <x:c r="M17" s="97" t="n">
        <x:f>'Модель 36 міс'!K33</x:f>
        <x:v>180000</x:v>
      </x:c>
      <x:c r="N17" s="97" t="n">
        <x:f>'Модель 36 міс'!L33</x:f>
        <x:v>180000</x:v>
      </x:c>
      <x:c r="O17" s="97" t="n">
        <x:f>'Модель 36 міс'!M33</x:f>
        <x:v>200000</x:v>
      </x:c>
      <x:c r="P17" s="97" t="n">
        <x:f>'Модель 36 міс'!N33</x:f>
        <x:v>200000</x:v>
      </x:c>
      <x:c r="Q17" s="97" t="n">
        <x:f>'Модель 36 міс'!O33</x:f>
        <x:v>200000</x:v>
      </x:c>
      <x:c r="R17" s="97" t="n">
        <x:f>'Модель 36 міс'!P33</x:f>
        <x:v>250000</x:v>
      </x:c>
      <x:c r="S17" s="97" t="n">
        <x:f>'Модель 36 міс'!Q33</x:f>
        <x:v>250000</x:v>
      </x:c>
      <x:c r="T17" s="97" t="n">
        <x:f>'Модель 36 міс'!R33</x:f>
        <x:v>250000</x:v>
      </x:c>
      <x:c r="U17" s="97" t="n">
        <x:f>'Модель 36 міс'!S33</x:f>
        <x:v>250000</x:v>
      </x:c>
      <x:c r="V17" s="97" t="n">
        <x:f>'Модель 36 міс'!T33</x:f>
        <x:v>250000</x:v>
      </x:c>
      <x:c r="W17" s="97" t="n">
        <x:f>'Модель 36 міс'!U33</x:f>
        <x:v>250000</x:v>
      </x:c>
      <x:c r="X17" s="97" t="n">
        <x:f>'Модель 36 міс'!V33</x:f>
        <x:v>280000</x:v>
      </x:c>
      <x:c r="Y17" s="97" t="n">
        <x:f>'Модель 36 міс'!W33</x:f>
        <x:v>280000</x:v>
      </x:c>
      <x:c r="Z17" s="97" t="n">
        <x:f>'Модель 36 міс'!X33</x:f>
        <x:v>280000</x:v>
      </x:c>
      <x:c r="AA17" s="97" t="n">
        <x:f>'Модель 36 міс'!Y33</x:f>
        <x:v>280000</x:v>
      </x:c>
      <x:c r="AB17" s="97" t="n">
        <x:f>'Модель 36 міс'!Z33</x:f>
        <x:v>300000</x:v>
      </x:c>
      <x:c r="AC17" s="97" t="n">
        <x:f>'Модель 36 міс'!AA33</x:f>
        <x:v>300000</x:v>
      </x:c>
      <x:c r="AD17" s="97" t="n">
        <x:f>'Модель 36 міс'!AB33</x:f>
        <x:v>300000</x:v>
      </x:c>
      <x:c r="AE17" s="97" t="n">
        <x:f>'Модель 36 міс'!AC33</x:f>
        <x:v>300000</x:v>
      </x:c>
      <x:c r="AF17" s="97" t="n">
        <x:f>'Модель 36 міс'!AD33</x:f>
        <x:v>300000</x:v>
      </x:c>
      <x:c r="AG17" s="97" t="n">
        <x:f>'Модель 36 міс'!AE33</x:f>
        <x:v>300000</x:v>
      </x:c>
      <x:c r="AH17" s="97" t="n">
        <x:f>'Модель 36 міс'!AF33</x:f>
        <x:v>300000</x:v>
      </x:c>
      <x:c r="AI17" s="97" t="n">
        <x:f>'Модель 36 міс'!AG33</x:f>
        <x:v>300000</x:v>
      </x:c>
      <x:c r="AJ17" s="97" t="n">
        <x:f>'Модель 36 міс'!AH33</x:f>
        <x:v>300000</x:v>
      </x:c>
      <x:c r="AK17" s="97" t="n">
        <x:f>'Модель 36 міс'!AI33</x:f>
        <x:v>300000</x:v>
      </x:c>
      <x:c r="AL17" s="97" t="n">
        <x:f>'Модель 36 міс'!AJ33</x:f>
        <x:v>300000</x:v>
      </x:c>
      <x:c r="AM17" s="97" t="n">
        <x:f>'Модель 36 міс'!AK33</x:f>
        <x:v>300000</x:v>
      </x:c>
      <x:c r="AN17" s="97" t="n">
        <x:f>'Модель 36 міс'!AL33</x:f>
        <x:v>300000</x:v>
      </x:c>
      <x:c r="AO17" s="97" t="n">
        <x:v>0</x:v>
      </x:c>
      <x:c r="AP17" s="97" t="n">
        <x:v>0</x:v>
      </x:c>
      <x:c r="AQ17" s="97" t="n">
        <x:v>0</x:v>
      </x:c>
      <x:c r="AR17" s="97" t="n">
        <x:v>0</x:v>
      </x:c>
      <x:c r="AS17" s="97" t="n">
        <x:v>0</x:v>
      </x:c>
      <x:c r="AT17" s="97" t="n">
        <x:v>0</x:v>
      </x:c>
      <x:c r="AU17" s="97" t="n">
        <x:v>0</x:v>
      </x:c>
      <x:c r="AV17" s="97" t="n">
        <x:v>0</x:v>
      </x:c>
      <x:c r="AW17" s="97" t="n">
        <x:v>0</x:v>
      </x:c>
      <x:c r="AX17" s="97" t="n">
        <x:v>0</x:v>
      </x:c>
      <x:c r="AY17" s="97" t="n">
        <x:v>0</x:v>
      </x:c>
      <x:c r="AZ17" s="97" t="n">
        <x:v>0</x:v>
      </x:c>
      <x:c r="BA17" s="97" t="n">
        <x:v>0</x:v>
      </x:c>
      <x:c r="BB17" s="97" t="n">
        <x:v>0</x:v>
      </x:c>
      <x:c r="BC17" s="97" t="n">
        <x:v>0</x:v>
      </x:c>
      <x:c r="BD17" s="97" t="n">
        <x:v>0</x:v>
      </x:c>
      <x:c r="BE17" s="97" t="n">
        <x:v>0</x:v>
      </x:c>
      <x:c r="BF17" s="97" t="n">
        <x:v>0</x:v>
      </x:c>
      <x:c r="BG17" s="97" t="n">
        <x:v>0</x:v>
      </x:c>
      <x:c r="BH17" s="97" t="n">
        <x:v>0</x:v>
      </x:c>
      <x:c r="BI17" s="97" t="n">
        <x:v>0</x:v>
      </x:c>
      <x:c r="BJ17" s="97" t="n">
        <x:v>0</x:v>
      </x:c>
      <x:c r="BK17" s="97" t="n">
        <x:v>0</x:v>
      </x:c>
      <x:c r="BL17" s="100" t="n">
        <x:v>0</x:v>
      </x:c>
      <x:c r="BM17" s="92" t="n">
        <x:f>SUM(E17:AN17)</x:f>
        <x:v>8140000</x:v>
      </x:c>
      <x:c r="BN17" s="57"/>
      <x:c r="BO17" s="57"/>
      <x:c r="BP17" s="57"/>
      <x:c r="BQ17" s="57"/>
      <x:c r="BR17" s="57"/>
      <x:c r="BS17" s="57"/>
      <x:c r="BT17" s="57"/>
      <x:c r="BU17" s="57"/>
      <x:c r="BV17" s="57"/>
      <x:c r="BW17" s="57"/>
      <x:c r="BX17" s="57"/>
      <x:c r="BY17" s="57"/>
      <x:c r="BZ17" s="57"/>
      <x:c r="CA17" s="57"/>
      <x:c r="CB17" s="57"/>
      <x:c r="CC17" s="57"/>
      <x:c r="CD17" s="57"/>
      <x:c r="CE17" s="57"/>
      <x:c r="CF17" s="57"/>
      <x:c r="CG17" s="57"/>
    </x:row>
    <x:row r="18" ht="14.649999618530273" customHeight="1">
      <x:c r="A18" s="57"/>
      <x:c r="B18" s="87" t="s">
        <x:v>162</x:v>
      </x:c>
      <x:c r="C18" s="101"/>
      <x:c r="D18" s="102"/>
      <x:c r="E18" s="97" t="n">
        <x:v>0</x:v>
      </x:c>
      <x:c r="F18" s="97" t="n">
        <x:v>0</x:v>
      </x:c>
      <x:c r="G18" s="97" t="n">
        <x:v>0</x:v>
      </x:c>
      <x:c r="H18" s="97" t="n">
        <x:v>0</x:v>
      </x:c>
      <x:c r="I18" s="97" t="n">
        <x:v>0</x:v>
      </x:c>
      <x:c r="J18" s="97" t="n">
        <x:v>0</x:v>
      </x:c>
      <x:c r="K18" s="97" t="n">
        <x:v>0</x:v>
      </x:c>
      <x:c r="L18" s="97" t="n">
        <x:v>0</x:v>
      </x:c>
      <x:c r="M18" s="97" t="n">
        <x:v>0</x:v>
      </x:c>
      <x:c r="N18" s="97" t="n">
        <x:v>0</x:v>
      </x:c>
      <x:c r="O18" s="97" t="n">
        <x:v>0</x:v>
      </x:c>
      <x:c r="P18" s="97" t="n">
        <x:v>0</x:v>
      </x:c>
      <x:c r="Q18" s="97" t="n">
        <x:v>0</x:v>
      </x:c>
      <x:c r="R18" s="97" t="n">
        <x:v>0</x:v>
      </x:c>
      <x:c r="S18" s="97" t="n">
        <x:v>0</x:v>
      </x:c>
      <x:c r="T18" s="97" t="n">
        <x:v>0</x:v>
      </x:c>
      <x:c r="U18" s="97" t="n">
        <x:v>0</x:v>
      </x:c>
      <x:c r="V18" s="97" t="n">
        <x:v>0</x:v>
      </x:c>
      <x:c r="W18" s="97" t="n">
        <x:v>0</x:v>
      </x:c>
      <x:c r="X18" s="97" t="n">
        <x:v>0</x:v>
      </x:c>
      <x:c r="Y18" s="97" t="n">
        <x:v>0</x:v>
      </x:c>
      <x:c r="Z18" s="97" t="n">
        <x:v>0</x:v>
      </x:c>
      <x:c r="AA18" s="97" t="n">
        <x:v>0</x:v>
      </x:c>
      <x:c r="AB18" s="97" t="n">
        <x:v>0</x:v>
      </x:c>
      <x:c r="AC18" s="97" t="n">
        <x:v>0</x:v>
      </x:c>
      <x:c r="AD18" s="97" t="n">
        <x:v>0</x:v>
      </x:c>
      <x:c r="AE18" s="97" t="n">
        <x:v>0</x:v>
      </x:c>
      <x:c r="AF18" s="97" t="n">
        <x:v>0</x:v>
      </x:c>
      <x:c r="AG18" s="97" t="n">
        <x:v>0</x:v>
      </x:c>
      <x:c r="AH18" s="97" t="n">
        <x:v>0</x:v>
      </x:c>
      <x:c r="AI18" s="97" t="n">
        <x:v>0</x:v>
      </x:c>
      <x:c r="AJ18" s="97" t="n">
        <x:v>0</x:v>
      </x:c>
      <x:c r="AK18" s="97" t="n">
        <x:v>0</x:v>
      </x:c>
      <x:c r="AL18" s="97" t="n">
        <x:v>0</x:v>
      </x:c>
      <x:c r="AM18" s="97" t="n">
        <x:v>0</x:v>
      </x:c>
      <x:c r="AN18" s="97" t="n">
        <x:v>0</x:v>
      </x:c>
      <x:c r="AO18" s="97" t="n">
        <x:v>0</x:v>
      </x:c>
      <x:c r="AP18" s="97" t="n">
        <x:v>0</x:v>
      </x:c>
      <x:c r="AQ18" s="97" t="n">
        <x:v>0</x:v>
      </x:c>
      <x:c r="AR18" s="97" t="n">
        <x:v>0</x:v>
      </x:c>
      <x:c r="AS18" s="97" t="n">
        <x:v>0</x:v>
      </x:c>
      <x:c r="AT18" s="97" t="n">
        <x:v>0</x:v>
      </x:c>
      <x:c r="AU18" s="97" t="n">
        <x:v>0</x:v>
      </x:c>
      <x:c r="AV18" s="97" t="n">
        <x:v>0</x:v>
      </x:c>
      <x:c r="AW18" s="97" t="n">
        <x:v>0</x:v>
      </x:c>
      <x:c r="AX18" s="97" t="n">
        <x:v>0</x:v>
      </x:c>
      <x:c r="AY18" s="97" t="n">
        <x:v>0</x:v>
      </x:c>
      <x:c r="AZ18" s="97" t="n">
        <x:v>0</x:v>
      </x:c>
      <x:c r="BA18" s="97" t="n">
        <x:v>0</x:v>
      </x:c>
      <x:c r="BB18" s="97" t="n">
        <x:v>0</x:v>
      </x:c>
      <x:c r="BC18" s="97" t="n">
        <x:v>0</x:v>
      </x:c>
      <x:c r="BD18" s="97" t="n">
        <x:v>0</x:v>
      </x:c>
      <x:c r="BE18" s="97" t="n">
        <x:v>0</x:v>
      </x:c>
      <x:c r="BF18" s="97" t="n">
        <x:v>0</x:v>
      </x:c>
      <x:c r="BG18" s="97" t="n">
        <x:v>0</x:v>
      </x:c>
      <x:c r="BH18" s="97" t="n">
        <x:v>0</x:v>
      </x:c>
      <x:c r="BI18" s="97" t="n">
        <x:v>0</x:v>
      </x:c>
      <x:c r="BJ18" s="97" t="n">
        <x:v>0</x:v>
      </x:c>
      <x:c r="BK18" s="97" t="n">
        <x:v>0</x:v>
      </x:c>
      <x:c r="BL18" s="97" t="n">
        <x:v>0</x:v>
      </x:c>
      <x:c r="BM18" s="103" t="n">
        <x:f>SUM(E18:AN18)</x:f>
        <x:v>0</x:v>
      </x:c>
      <x:c r="BN18" s="57"/>
      <x:c r="BO18" s="57"/>
      <x:c r="BP18" s="57"/>
      <x:c r="BQ18" s="57"/>
      <x:c r="BR18" s="57"/>
      <x:c r="BS18" s="57"/>
      <x:c r="BT18" s="57"/>
      <x:c r="BU18" s="57"/>
      <x:c r="BV18" s="57"/>
      <x:c r="BW18" s="57"/>
      <x:c r="BX18" s="57"/>
      <x:c r="BY18" s="57"/>
      <x:c r="BZ18" s="57"/>
      <x:c r="CA18" s="57"/>
      <x:c r="CB18" s="57"/>
      <x:c r="CC18" s="57"/>
      <x:c r="CD18" s="57"/>
      <x:c r="CE18" s="57"/>
      <x:c r="CF18" s="57"/>
      <x:c r="CG18" s="57"/>
    </x:row>
    <x:row r="19" ht="17.450000762939453" customHeight="1">
      <x:c r="A19" s="57"/>
      <x:c r="B19" s="87" t="s">
        <x:v>163</x:v>
      </x:c>
      <x:c r="C19" s="104"/>
      <x:c r="D19" s="39"/>
      <x:c r="E19" s="105" t="n">
        <x:v>0</x:v>
      </x:c>
      <x:c r="F19" s="97" t="n">
        <x:v>0</x:v>
      </x:c>
      <x:c r="G19" s="97" t="n">
        <x:v>0</x:v>
      </x:c>
      <x:c r="H19" s="97" t="n">
        <x:v>0</x:v>
      </x:c>
      <x:c r="I19" s="97" t="n">
        <x:v>0</x:v>
      </x:c>
      <x:c r="J19" s="97" t="n">
        <x:v>0</x:v>
      </x:c>
      <x:c r="K19" s="97" t="n">
        <x:v>0</x:v>
      </x:c>
      <x:c r="L19" s="97" t="n">
        <x:v>0</x:v>
      </x:c>
      <x:c r="M19" s="97" t="n">
        <x:v>0</x:v>
      </x:c>
      <x:c r="N19" s="97" t="n">
        <x:v>0</x:v>
      </x:c>
      <x:c r="O19" s="97" t="n">
        <x:v>0</x:v>
      </x:c>
      <x:c r="P19" s="97" t="n">
        <x:v>0</x:v>
      </x:c>
      <x:c r="Q19" s="97" t="n">
        <x:v>0</x:v>
      </x:c>
      <x:c r="R19" s="97" t="n">
        <x:v>0</x:v>
      </x:c>
      <x:c r="S19" s="97" t="n">
        <x:v>0</x:v>
      </x:c>
      <x:c r="T19" s="97" t="n">
        <x:v>0</x:v>
      </x:c>
      <x:c r="U19" s="97" t="n">
        <x:v>0</x:v>
      </x:c>
      <x:c r="V19" s="97" t="n">
        <x:v>0</x:v>
      </x:c>
      <x:c r="W19" s="97" t="n">
        <x:v>0</x:v>
      </x:c>
      <x:c r="X19" s="97" t="n">
        <x:v>0</x:v>
      </x:c>
      <x:c r="Y19" s="97" t="n">
        <x:v>0</x:v>
      </x:c>
      <x:c r="Z19" s="97" t="n">
        <x:v>0</x:v>
      </x:c>
      <x:c r="AA19" s="97" t="n">
        <x:v>0</x:v>
      </x:c>
      <x:c r="AB19" s="97" t="n">
        <x:v>0</x:v>
      </x:c>
      <x:c r="AC19" s="97" t="n">
        <x:v>0</x:v>
      </x:c>
      <x:c r="AD19" s="97" t="n">
        <x:v>0</x:v>
      </x:c>
      <x:c r="AE19" s="97" t="n">
        <x:v>0</x:v>
      </x:c>
      <x:c r="AF19" s="97" t="n">
        <x:v>0</x:v>
      </x:c>
      <x:c r="AG19" s="97" t="n">
        <x:v>0</x:v>
      </x:c>
      <x:c r="AH19" s="97" t="n">
        <x:v>0</x:v>
      </x:c>
      <x:c r="AI19" s="97" t="n">
        <x:v>0</x:v>
      </x:c>
      <x:c r="AJ19" s="97" t="n">
        <x:v>0</x:v>
      </x:c>
      <x:c r="AK19" s="97" t="n">
        <x:v>0</x:v>
      </x:c>
      <x:c r="AL19" s="97" t="n">
        <x:v>0</x:v>
      </x:c>
      <x:c r="AM19" s="97" t="n">
        <x:v>0</x:v>
      </x:c>
      <x:c r="AN19" s="97" t="n">
        <x:v>0</x:v>
      </x:c>
      <x:c r="AO19" s="97" t="n">
        <x:v>0</x:v>
      </x:c>
      <x:c r="AP19" s="97" t="n">
        <x:v>0</x:v>
      </x:c>
      <x:c r="AQ19" s="97" t="n">
        <x:v>0</x:v>
      </x:c>
      <x:c r="AR19" s="97" t="n">
        <x:v>0</x:v>
      </x:c>
      <x:c r="AS19" s="97" t="n">
        <x:v>0</x:v>
      </x:c>
      <x:c r="AT19" s="97" t="n">
        <x:v>0</x:v>
      </x:c>
      <x:c r="AU19" s="97" t="n">
        <x:v>0</x:v>
      </x:c>
      <x:c r="AV19" s="97" t="n">
        <x:v>0</x:v>
      </x:c>
      <x:c r="AW19" s="97" t="n">
        <x:v>0</x:v>
      </x:c>
      <x:c r="AX19" s="97" t="n">
        <x:v>0</x:v>
      </x:c>
      <x:c r="AY19" s="97" t="n">
        <x:v>0</x:v>
      </x:c>
      <x:c r="AZ19" s="97" t="n">
        <x:v>0</x:v>
      </x:c>
      <x:c r="BA19" s="97" t="n">
        <x:v>0</x:v>
      </x:c>
      <x:c r="BB19" s="97" t="n">
        <x:v>0</x:v>
      </x:c>
      <x:c r="BC19" s="97" t="n">
        <x:v>0</x:v>
      </x:c>
      <x:c r="BD19" s="97" t="n">
        <x:v>0</x:v>
      </x:c>
      <x:c r="BE19" s="97" t="n">
        <x:v>0</x:v>
      </x:c>
      <x:c r="BF19" s="97" t="n">
        <x:v>0</x:v>
      </x:c>
      <x:c r="BG19" s="97" t="n">
        <x:v>0</x:v>
      </x:c>
      <x:c r="BH19" s="97" t="n">
        <x:v>0</x:v>
      </x:c>
      <x:c r="BI19" s="97" t="n">
        <x:v>0</x:v>
      </x:c>
      <x:c r="BJ19" s="97" t="n">
        <x:v>0</x:v>
      </x:c>
      <x:c r="BK19" s="97" t="n">
        <x:v>0</x:v>
      </x:c>
      <x:c r="BL19" s="97" t="n">
        <x:v>0</x:v>
      </x:c>
      <x:c r="BM19" s="103" t="n">
        <x:f t="shared" ref="BM19:BM26" si="0">SUM(E19:AN19)</x:f>
        <x:v>0</x:v>
      </x:c>
      <x:c r="BN19" s="57"/>
      <x:c r="BO19" s="57"/>
      <x:c r="BP19" s="57"/>
      <x:c r="BQ19" s="57"/>
      <x:c r="BR19" s="57"/>
      <x:c r="BS19" s="57"/>
      <x:c r="BT19" s="57"/>
      <x:c r="BU19" s="57"/>
      <x:c r="BV19" s="57"/>
      <x:c r="BW19" s="57"/>
      <x:c r="BX19" s="57"/>
      <x:c r="BY19" s="57"/>
      <x:c r="BZ19" s="57"/>
      <x:c r="CA19" s="57"/>
      <x:c r="CB19" s="57"/>
      <x:c r="CC19" s="57"/>
      <x:c r="CD19" s="57"/>
      <x:c r="CE19" s="57"/>
      <x:c r="CF19" s="57"/>
      <x:c r="CG19" s="57"/>
    </x:row>
    <x:row r="20" ht="8.649999618530273" customHeight="1">
      <x:c r="A20" s="57"/>
      <x:c r="B20" s="106"/>
      <x:c r="C20" s="107"/>
      <x:c r="D20" s="39"/>
      <x:c r="E20" s="105" t="n">
        <x:v>0</x:v>
      </x:c>
      <x:c r="F20" s="97" t="n">
        <x:v>0</x:v>
      </x:c>
      <x:c r="G20" s="97" t="n">
        <x:v>0</x:v>
      </x:c>
      <x:c r="H20" s="97" t="n">
        <x:v>0</x:v>
      </x:c>
      <x:c r="I20" s="97" t="n">
        <x:v>0</x:v>
      </x:c>
      <x:c r="J20" s="97" t="n">
        <x:v>0</x:v>
      </x:c>
      <x:c r="K20" s="97" t="n">
        <x:v>0</x:v>
      </x:c>
      <x:c r="L20" s="97" t="n">
        <x:v>0</x:v>
      </x:c>
      <x:c r="M20" s="97" t="n">
        <x:v>0</x:v>
      </x:c>
      <x:c r="N20" s="97" t="n">
        <x:v>0</x:v>
      </x:c>
      <x:c r="O20" s="97" t="n">
        <x:v>0</x:v>
      </x:c>
      <x:c r="P20" s="97" t="n">
        <x:v>0</x:v>
      </x:c>
      <x:c r="Q20" s="97" t="n">
        <x:v>0</x:v>
      </x:c>
      <x:c r="R20" s="97" t="n">
        <x:v>0</x:v>
      </x:c>
      <x:c r="S20" s="97" t="n">
        <x:v>0</x:v>
      </x:c>
      <x:c r="T20" s="97" t="n">
        <x:v>0</x:v>
      </x:c>
      <x:c r="U20" s="97" t="n">
        <x:v>0</x:v>
      </x:c>
      <x:c r="V20" s="97" t="n">
        <x:v>0</x:v>
      </x:c>
      <x:c r="W20" s="97" t="n">
        <x:v>0</x:v>
      </x:c>
      <x:c r="X20" s="97" t="n">
        <x:v>0</x:v>
      </x:c>
      <x:c r="Y20" s="97" t="n">
        <x:v>0</x:v>
      </x:c>
      <x:c r="Z20" s="97" t="n">
        <x:v>0</x:v>
      </x:c>
      <x:c r="AA20" s="97" t="n">
        <x:v>0</x:v>
      </x:c>
      <x:c r="AB20" s="97" t="n">
        <x:v>0</x:v>
      </x:c>
      <x:c r="AC20" s="97" t="n">
        <x:v>0</x:v>
      </x:c>
      <x:c r="AD20" s="97" t="n">
        <x:v>0</x:v>
      </x:c>
      <x:c r="AE20" s="97" t="n">
        <x:v>0</x:v>
      </x:c>
      <x:c r="AF20" s="97" t="n">
        <x:v>0</x:v>
      </x:c>
      <x:c r="AG20" s="97" t="n">
        <x:v>0</x:v>
      </x:c>
      <x:c r="AH20" s="97" t="n">
        <x:v>0</x:v>
      </x:c>
      <x:c r="AI20" s="97" t="n">
        <x:v>0</x:v>
      </x:c>
      <x:c r="AJ20" s="97" t="n">
        <x:v>0</x:v>
      </x:c>
      <x:c r="AK20" s="97" t="n">
        <x:v>0</x:v>
      </x:c>
      <x:c r="AL20" s="97" t="n">
        <x:v>0</x:v>
      </x:c>
      <x:c r="AM20" s="97" t="n">
        <x:v>0</x:v>
      </x:c>
      <x:c r="AN20" s="97" t="n">
        <x:v>0</x:v>
      </x:c>
      <x:c r="AO20" s="97" t="n">
        <x:v>0</x:v>
      </x:c>
      <x:c r="AP20" s="97" t="n">
        <x:v>0</x:v>
      </x:c>
      <x:c r="AQ20" s="97" t="n">
        <x:v>0</x:v>
      </x:c>
      <x:c r="AR20" s="97" t="n">
        <x:v>0</x:v>
      </x:c>
      <x:c r="AS20" s="97" t="n">
        <x:v>0</x:v>
      </x:c>
      <x:c r="AT20" s="97" t="n">
        <x:v>0</x:v>
      </x:c>
      <x:c r="AU20" s="97" t="n">
        <x:v>0</x:v>
      </x:c>
      <x:c r="AV20" s="97" t="n">
        <x:v>0</x:v>
      </x:c>
      <x:c r="AW20" s="97" t="n">
        <x:v>0</x:v>
      </x:c>
      <x:c r="AX20" s="97" t="n">
        <x:v>0</x:v>
      </x:c>
      <x:c r="AY20" s="97" t="n">
        <x:v>0</x:v>
      </x:c>
      <x:c r="AZ20" s="97" t="n">
        <x:v>0</x:v>
      </x:c>
      <x:c r="BA20" s="97" t="n">
        <x:v>0</x:v>
      </x:c>
      <x:c r="BB20" s="97" t="n">
        <x:v>0</x:v>
      </x:c>
      <x:c r="BC20" s="97" t="n">
        <x:v>0</x:v>
      </x:c>
      <x:c r="BD20" s="97" t="n">
        <x:v>0</x:v>
      </x:c>
      <x:c r="BE20" s="97" t="n">
        <x:v>0</x:v>
      </x:c>
      <x:c r="BF20" s="97" t="n">
        <x:v>0</x:v>
      </x:c>
      <x:c r="BG20" s="97" t="n">
        <x:v>0</x:v>
      </x:c>
      <x:c r="BH20" s="97" t="n">
        <x:v>0</x:v>
      </x:c>
      <x:c r="BI20" s="97" t="n">
        <x:v>0</x:v>
      </x:c>
      <x:c r="BJ20" s="97" t="n">
        <x:v>0</x:v>
      </x:c>
      <x:c r="BK20" s="97" t="n">
        <x:v>0</x:v>
      </x:c>
      <x:c r="BL20" s="97" t="n">
        <x:v>0</x:v>
      </x:c>
      <x:c r="BM20" s="103" t="n">
        <x:f t="shared" si="0">SUM(E20:AN20)</x:f>
        <x:v>0</x:v>
      </x:c>
      <x:c r="BN20" s="57"/>
      <x:c r="BO20" s="57"/>
      <x:c r="BP20" s="57"/>
      <x:c r="BQ20" s="57"/>
      <x:c r="BR20" s="57"/>
      <x:c r="BS20" s="57"/>
      <x:c r="BT20" s="57"/>
      <x:c r="BU20" s="57"/>
      <x:c r="BV20" s="57"/>
      <x:c r="BW20" s="57"/>
      <x:c r="BX20" s="57"/>
      <x:c r="BY20" s="57"/>
      <x:c r="BZ20" s="57"/>
      <x:c r="CA20" s="57"/>
      <x:c r="CB20" s="57"/>
      <x:c r="CC20" s="57"/>
      <x:c r="CD20" s="57"/>
      <x:c r="CE20" s="57"/>
      <x:c r="CF20" s="57"/>
      <x:c r="CG20" s="57"/>
    </x:row>
    <x:row r="21" ht="8.649999618530273" customHeight="1">
      <x:c r="A21" s="57"/>
      <x:c r="B21" s="106"/>
      <x:c r="C21" s="107"/>
      <x:c r="D21" s="39"/>
      <x:c r="E21" s="105" t="n">
        <x:v>0</x:v>
      </x:c>
      <x:c r="F21" s="97" t="n">
        <x:v>0</x:v>
      </x:c>
      <x:c r="G21" s="97" t="n">
        <x:v>0</x:v>
      </x:c>
      <x:c r="H21" s="97" t="n">
        <x:v>0</x:v>
      </x:c>
      <x:c r="I21" s="97" t="n">
        <x:v>0</x:v>
      </x:c>
      <x:c r="J21" s="97" t="n">
        <x:v>0</x:v>
      </x:c>
      <x:c r="K21" s="97" t="n">
        <x:v>0</x:v>
      </x:c>
      <x:c r="L21" s="97" t="n">
        <x:v>0</x:v>
      </x:c>
      <x:c r="M21" s="97" t="n">
        <x:v>0</x:v>
      </x:c>
      <x:c r="N21" s="97" t="n">
        <x:v>0</x:v>
      </x:c>
      <x:c r="O21" s="97" t="n">
        <x:v>0</x:v>
      </x:c>
      <x:c r="P21" s="97" t="n">
        <x:v>0</x:v>
      </x:c>
      <x:c r="Q21" s="97" t="n">
        <x:v>0</x:v>
      </x:c>
      <x:c r="R21" s="97" t="n">
        <x:v>0</x:v>
      </x:c>
      <x:c r="S21" s="97" t="n">
        <x:v>0</x:v>
      </x:c>
      <x:c r="T21" s="97" t="n">
        <x:v>0</x:v>
      </x:c>
      <x:c r="U21" s="97" t="n">
        <x:v>0</x:v>
      </x:c>
      <x:c r="V21" s="97" t="n">
        <x:v>0</x:v>
      </x:c>
      <x:c r="W21" s="97" t="n">
        <x:v>0</x:v>
      </x:c>
      <x:c r="X21" s="97" t="n">
        <x:v>0</x:v>
      </x:c>
      <x:c r="Y21" s="97" t="n">
        <x:v>0</x:v>
      </x:c>
      <x:c r="Z21" s="97" t="n">
        <x:v>0</x:v>
      </x:c>
      <x:c r="AA21" s="97" t="n">
        <x:v>0</x:v>
      </x:c>
      <x:c r="AB21" s="97" t="n">
        <x:v>0</x:v>
      </x:c>
      <x:c r="AC21" s="97" t="n">
        <x:v>0</x:v>
      </x:c>
      <x:c r="AD21" s="97" t="n">
        <x:v>0</x:v>
      </x:c>
      <x:c r="AE21" s="97" t="n">
        <x:v>0</x:v>
      </x:c>
      <x:c r="AF21" s="97" t="n">
        <x:v>0</x:v>
      </x:c>
      <x:c r="AG21" s="97" t="n">
        <x:v>0</x:v>
      </x:c>
      <x:c r="AH21" s="97" t="n">
        <x:v>0</x:v>
      </x:c>
      <x:c r="AI21" s="97" t="n">
        <x:v>0</x:v>
      </x:c>
      <x:c r="AJ21" s="97" t="n">
        <x:v>0</x:v>
      </x:c>
      <x:c r="AK21" s="97" t="n">
        <x:v>0</x:v>
      </x:c>
      <x:c r="AL21" s="97" t="n">
        <x:v>0</x:v>
      </x:c>
      <x:c r="AM21" s="97" t="n">
        <x:v>0</x:v>
      </x:c>
      <x:c r="AN21" s="97" t="n">
        <x:v>0</x:v>
      </x:c>
      <x:c r="AO21" s="97" t="n">
        <x:v>0</x:v>
      </x:c>
      <x:c r="AP21" s="97" t="n">
        <x:v>0</x:v>
      </x:c>
      <x:c r="AQ21" s="97" t="n">
        <x:v>0</x:v>
      </x:c>
      <x:c r="AR21" s="97" t="n">
        <x:v>0</x:v>
      </x:c>
      <x:c r="AS21" s="97" t="n">
        <x:v>0</x:v>
      </x:c>
      <x:c r="AT21" s="97" t="n">
        <x:v>0</x:v>
      </x:c>
      <x:c r="AU21" s="97" t="n">
        <x:v>0</x:v>
      </x:c>
      <x:c r="AV21" s="97" t="n">
        <x:v>0</x:v>
      </x:c>
      <x:c r="AW21" s="97" t="n">
        <x:v>0</x:v>
      </x:c>
      <x:c r="AX21" s="97" t="n">
        <x:v>0</x:v>
      </x:c>
      <x:c r="AY21" s="97" t="n">
        <x:v>0</x:v>
      </x:c>
      <x:c r="AZ21" s="97" t="n">
        <x:v>0</x:v>
      </x:c>
      <x:c r="BA21" s="97" t="n">
        <x:v>0</x:v>
      </x:c>
      <x:c r="BB21" s="97" t="n">
        <x:v>0</x:v>
      </x:c>
      <x:c r="BC21" s="97" t="n">
        <x:v>0</x:v>
      </x:c>
      <x:c r="BD21" s="97" t="n">
        <x:v>0</x:v>
      </x:c>
      <x:c r="BE21" s="97" t="n">
        <x:v>0</x:v>
      </x:c>
      <x:c r="BF21" s="97" t="n">
        <x:v>0</x:v>
      </x:c>
      <x:c r="BG21" s="97" t="n">
        <x:v>0</x:v>
      </x:c>
      <x:c r="BH21" s="97" t="n">
        <x:v>0</x:v>
      </x:c>
      <x:c r="BI21" s="97" t="n">
        <x:v>0</x:v>
      </x:c>
      <x:c r="BJ21" s="97" t="n">
        <x:v>0</x:v>
      </x:c>
      <x:c r="BK21" s="97" t="n">
        <x:v>0</x:v>
      </x:c>
      <x:c r="BL21" s="97" t="n">
        <x:v>0</x:v>
      </x:c>
      <x:c r="BM21" s="103" t="n">
        <x:f t="shared" si="0">SUM(E21:AN21)</x:f>
        <x:v>0</x:v>
      </x:c>
      <x:c r="BN21" s="57"/>
      <x:c r="BO21" s="57"/>
      <x:c r="BP21" s="57"/>
      <x:c r="BQ21" s="57"/>
      <x:c r="BR21" s="57"/>
      <x:c r="BS21" s="57"/>
      <x:c r="BT21" s="57"/>
      <x:c r="BU21" s="57"/>
      <x:c r="BV21" s="57"/>
      <x:c r="BW21" s="57"/>
      <x:c r="BX21" s="57"/>
      <x:c r="BY21" s="57"/>
      <x:c r="BZ21" s="57"/>
      <x:c r="CA21" s="57"/>
      <x:c r="CB21" s="57"/>
      <x:c r="CC21" s="57"/>
      <x:c r="CD21" s="57"/>
      <x:c r="CE21" s="57"/>
      <x:c r="CF21" s="57"/>
      <x:c r="CG21" s="57"/>
    </x:row>
    <x:row r="22" ht="8.649999618530273" customHeight="1">
      <x:c r="A22" s="57"/>
      <x:c r="B22" s="106"/>
      <x:c r="C22" s="107"/>
      <x:c r="D22" s="39"/>
      <x:c r="E22" s="105" t="n">
        <x:v>0</x:v>
      </x:c>
      <x:c r="F22" s="97" t="n">
        <x:v>0</x:v>
      </x:c>
      <x:c r="G22" s="97" t="n">
        <x:v>0</x:v>
      </x:c>
      <x:c r="H22" s="97" t="n">
        <x:v>0</x:v>
      </x:c>
      <x:c r="I22" s="97" t="n">
        <x:v>0</x:v>
      </x:c>
      <x:c r="J22" s="97" t="n">
        <x:v>0</x:v>
      </x:c>
      <x:c r="K22" s="97" t="n">
        <x:v>0</x:v>
      </x:c>
      <x:c r="L22" s="97" t="n">
        <x:v>0</x:v>
      </x:c>
      <x:c r="M22" s="97" t="n">
        <x:v>0</x:v>
      </x:c>
      <x:c r="N22" s="97" t="n">
        <x:v>0</x:v>
      </x:c>
      <x:c r="O22" s="97" t="n">
        <x:v>0</x:v>
      </x:c>
      <x:c r="P22" s="97" t="n">
        <x:v>0</x:v>
      </x:c>
      <x:c r="Q22" s="97" t="n">
        <x:v>0</x:v>
      </x:c>
      <x:c r="R22" s="97" t="n">
        <x:v>0</x:v>
      </x:c>
      <x:c r="S22" s="97" t="n">
        <x:v>0</x:v>
      </x:c>
      <x:c r="T22" s="97" t="n">
        <x:v>0</x:v>
      </x:c>
      <x:c r="U22" s="97" t="n">
        <x:v>0</x:v>
      </x:c>
      <x:c r="V22" s="97" t="n">
        <x:v>0</x:v>
      </x:c>
      <x:c r="W22" s="97" t="n">
        <x:v>0</x:v>
      </x:c>
      <x:c r="X22" s="97" t="n">
        <x:v>0</x:v>
      </x:c>
      <x:c r="Y22" s="97" t="n">
        <x:v>0</x:v>
      </x:c>
      <x:c r="Z22" s="97" t="n">
        <x:v>0</x:v>
      </x:c>
      <x:c r="AA22" s="97" t="n">
        <x:v>0</x:v>
      </x:c>
      <x:c r="AB22" s="97" t="n">
        <x:v>0</x:v>
      </x:c>
      <x:c r="AC22" s="97" t="n">
        <x:v>0</x:v>
      </x:c>
      <x:c r="AD22" s="97" t="n">
        <x:v>0</x:v>
      </x:c>
      <x:c r="AE22" s="97" t="n">
        <x:v>0</x:v>
      </x:c>
      <x:c r="AF22" s="97" t="n">
        <x:v>0</x:v>
      </x:c>
      <x:c r="AG22" s="97" t="n">
        <x:v>0</x:v>
      </x:c>
      <x:c r="AH22" s="97" t="n">
        <x:v>0</x:v>
      </x:c>
      <x:c r="AI22" s="97" t="n">
        <x:v>0</x:v>
      </x:c>
      <x:c r="AJ22" s="97" t="n">
        <x:v>0</x:v>
      </x:c>
      <x:c r="AK22" s="97" t="n">
        <x:v>0</x:v>
      </x:c>
      <x:c r="AL22" s="97" t="n">
        <x:v>0</x:v>
      </x:c>
      <x:c r="AM22" s="97" t="n">
        <x:v>0</x:v>
      </x:c>
      <x:c r="AN22" s="97" t="n">
        <x:v>0</x:v>
      </x:c>
      <x:c r="AO22" s="97" t="n">
        <x:v>0</x:v>
      </x:c>
      <x:c r="AP22" s="97" t="n">
        <x:v>0</x:v>
      </x:c>
      <x:c r="AQ22" s="97" t="n">
        <x:v>0</x:v>
      </x:c>
      <x:c r="AR22" s="97" t="n">
        <x:v>0</x:v>
      </x:c>
      <x:c r="AS22" s="97" t="n">
        <x:v>0</x:v>
      </x:c>
      <x:c r="AT22" s="97" t="n">
        <x:v>0</x:v>
      </x:c>
      <x:c r="AU22" s="97" t="n">
        <x:v>0</x:v>
      </x:c>
      <x:c r="AV22" s="97" t="n">
        <x:v>0</x:v>
      </x:c>
      <x:c r="AW22" s="97" t="n">
        <x:v>0</x:v>
      </x:c>
      <x:c r="AX22" s="97" t="n">
        <x:v>0</x:v>
      </x:c>
      <x:c r="AY22" s="97" t="n">
        <x:v>0</x:v>
      </x:c>
      <x:c r="AZ22" s="97" t="n">
        <x:v>0</x:v>
      </x:c>
      <x:c r="BA22" s="97" t="n">
        <x:v>0</x:v>
      </x:c>
      <x:c r="BB22" s="97" t="n">
        <x:v>0</x:v>
      </x:c>
      <x:c r="BC22" s="97" t="n">
        <x:v>0</x:v>
      </x:c>
      <x:c r="BD22" s="97" t="n">
        <x:v>0</x:v>
      </x:c>
      <x:c r="BE22" s="97" t="n">
        <x:v>0</x:v>
      </x:c>
      <x:c r="BF22" s="97" t="n">
        <x:v>0</x:v>
      </x:c>
      <x:c r="BG22" s="97" t="n">
        <x:v>0</x:v>
      </x:c>
      <x:c r="BH22" s="97" t="n">
        <x:v>0</x:v>
      </x:c>
      <x:c r="BI22" s="97" t="n">
        <x:v>0</x:v>
      </x:c>
      <x:c r="BJ22" s="97" t="n">
        <x:v>0</x:v>
      </x:c>
      <x:c r="BK22" s="97" t="n">
        <x:v>0</x:v>
      </x:c>
      <x:c r="BL22" s="97" t="n">
        <x:v>0</x:v>
      </x:c>
      <x:c r="BM22" s="103" t="n">
        <x:f t="shared" si="0">SUM(E22:AN22)</x:f>
        <x:v>0</x:v>
      </x:c>
      <x:c r="BN22" s="57"/>
      <x:c r="BO22" s="57"/>
      <x:c r="BP22" s="57"/>
      <x:c r="BQ22" s="57"/>
      <x:c r="BR22" s="57"/>
      <x:c r="BS22" s="57"/>
      <x:c r="BT22" s="57"/>
      <x:c r="BU22" s="57"/>
      <x:c r="BV22" s="57"/>
      <x:c r="BW22" s="57"/>
      <x:c r="BX22" s="57"/>
      <x:c r="BY22" s="57"/>
      <x:c r="BZ22" s="57"/>
      <x:c r="CA22" s="57"/>
      <x:c r="CB22" s="57"/>
      <x:c r="CC22" s="57"/>
      <x:c r="CD22" s="57"/>
      <x:c r="CE22" s="57"/>
      <x:c r="CF22" s="57"/>
      <x:c r="CG22" s="57"/>
    </x:row>
    <x:row r="23" ht="8.649999618530273" customHeight="1">
      <x:c r="A23" s="57"/>
      <x:c r="B23" s="106"/>
      <x:c r="C23" s="107"/>
      <x:c r="D23" s="39"/>
      <x:c r="E23" s="105" t="n">
        <x:v>0</x:v>
      </x:c>
      <x:c r="F23" s="97" t="n">
        <x:v>0</x:v>
      </x:c>
      <x:c r="G23" s="97" t="n">
        <x:v>0</x:v>
      </x:c>
      <x:c r="H23" s="97" t="n">
        <x:v>0</x:v>
      </x:c>
      <x:c r="I23" s="97" t="n">
        <x:v>0</x:v>
      </x:c>
      <x:c r="J23" s="97" t="n">
        <x:v>0</x:v>
      </x:c>
      <x:c r="K23" s="97" t="n">
        <x:v>0</x:v>
      </x:c>
      <x:c r="L23" s="97" t="n">
        <x:v>0</x:v>
      </x:c>
      <x:c r="M23" s="97" t="n">
        <x:v>0</x:v>
      </x:c>
      <x:c r="N23" s="97" t="n">
        <x:v>0</x:v>
      </x:c>
      <x:c r="O23" s="97" t="n">
        <x:v>0</x:v>
      </x:c>
      <x:c r="P23" s="97" t="n">
        <x:v>0</x:v>
      </x:c>
      <x:c r="Q23" s="97" t="n">
        <x:v>0</x:v>
      </x:c>
      <x:c r="R23" s="97" t="n">
        <x:v>0</x:v>
      </x:c>
      <x:c r="S23" s="97" t="n">
        <x:v>0</x:v>
      </x:c>
      <x:c r="T23" s="97" t="n">
        <x:v>0</x:v>
      </x:c>
      <x:c r="U23" s="97" t="n">
        <x:v>0</x:v>
      </x:c>
      <x:c r="V23" s="97" t="n">
        <x:v>0</x:v>
      </x:c>
      <x:c r="W23" s="97" t="n">
        <x:v>0</x:v>
      </x:c>
      <x:c r="X23" s="97" t="n">
        <x:v>0</x:v>
      </x:c>
      <x:c r="Y23" s="97" t="n">
        <x:v>0</x:v>
      </x:c>
      <x:c r="Z23" s="97" t="n">
        <x:v>0</x:v>
      </x:c>
      <x:c r="AA23" s="97" t="n">
        <x:v>0</x:v>
      </x:c>
      <x:c r="AB23" s="97" t="n">
        <x:v>0</x:v>
      </x:c>
      <x:c r="AC23" s="97" t="n">
        <x:v>0</x:v>
      </x:c>
      <x:c r="AD23" s="97" t="n">
        <x:v>0</x:v>
      </x:c>
      <x:c r="AE23" s="97" t="n">
        <x:v>0</x:v>
      </x:c>
      <x:c r="AF23" s="97" t="n">
        <x:v>0</x:v>
      </x:c>
      <x:c r="AG23" s="97" t="n">
        <x:v>0</x:v>
      </x:c>
      <x:c r="AH23" s="97" t="n">
        <x:v>0</x:v>
      </x:c>
      <x:c r="AI23" s="97" t="n">
        <x:v>0</x:v>
      </x:c>
      <x:c r="AJ23" s="97" t="n">
        <x:v>0</x:v>
      </x:c>
      <x:c r="AK23" s="97" t="n">
        <x:v>0</x:v>
      </x:c>
      <x:c r="AL23" s="97" t="n">
        <x:v>0</x:v>
      </x:c>
      <x:c r="AM23" s="97" t="n">
        <x:v>0</x:v>
      </x:c>
      <x:c r="AN23" s="97" t="n">
        <x:v>0</x:v>
      </x:c>
      <x:c r="AO23" s="97" t="n">
        <x:v>0</x:v>
      </x:c>
      <x:c r="AP23" s="97" t="n">
        <x:v>0</x:v>
      </x:c>
      <x:c r="AQ23" s="97" t="n">
        <x:v>0</x:v>
      </x:c>
      <x:c r="AR23" s="97" t="n">
        <x:v>0</x:v>
      </x:c>
      <x:c r="AS23" s="97" t="n">
        <x:v>0</x:v>
      </x:c>
      <x:c r="AT23" s="97" t="n">
        <x:v>0</x:v>
      </x:c>
      <x:c r="AU23" s="97" t="n">
        <x:v>0</x:v>
      </x:c>
      <x:c r="AV23" s="97" t="n">
        <x:v>0</x:v>
      </x:c>
      <x:c r="AW23" s="97" t="n">
        <x:v>0</x:v>
      </x:c>
      <x:c r="AX23" s="97" t="n">
        <x:v>0</x:v>
      </x:c>
      <x:c r="AY23" s="97" t="n">
        <x:v>0</x:v>
      </x:c>
      <x:c r="AZ23" s="97" t="n">
        <x:v>0</x:v>
      </x:c>
      <x:c r="BA23" s="97" t="n">
        <x:v>0</x:v>
      </x:c>
      <x:c r="BB23" s="97" t="n">
        <x:v>0</x:v>
      </x:c>
      <x:c r="BC23" s="97" t="n">
        <x:v>0</x:v>
      </x:c>
      <x:c r="BD23" s="97" t="n">
        <x:v>0</x:v>
      </x:c>
      <x:c r="BE23" s="97" t="n">
        <x:v>0</x:v>
      </x:c>
      <x:c r="BF23" s="97" t="n">
        <x:v>0</x:v>
      </x:c>
      <x:c r="BG23" s="97" t="n">
        <x:v>0</x:v>
      </x:c>
      <x:c r="BH23" s="97" t="n">
        <x:v>0</x:v>
      </x:c>
      <x:c r="BI23" s="97" t="n">
        <x:v>0</x:v>
      </x:c>
      <x:c r="BJ23" s="97" t="n">
        <x:v>0</x:v>
      </x:c>
      <x:c r="BK23" s="97" t="n">
        <x:v>0</x:v>
      </x:c>
      <x:c r="BL23" s="97" t="n">
        <x:v>0</x:v>
      </x:c>
      <x:c r="BM23" s="103" t="n">
        <x:f t="shared" si="0">SUM(E23:AN23)</x:f>
        <x:v>0</x:v>
      </x:c>
      <x:c r="BN23" s="57"/>
      <x:c r="BO23" s="57"/>
      <x:c r="BP23" s="57"/>
      <x:c r="BQ23" s="57"/>
      <x:c r="BR23" s="57"/>
      <x:c r="BS23" s="57"/>
      <x:c r="BT23" s="57"/>
      <x:c r="BU23" s="57"/>
      <x:c r="BV23" s="57"/>
      <x:c r="BW23" s="57"/>
      <x:c r="BX23" s="57"/>
      <x:c r="BY23" s="57"/>
      <x:c r="BZ23" s="57"/>
      <x:c r="CA23" s="57"/>
      <x:c r="CB23" s="57"/>
      <x:c r="CC23" s="57"/>
      <x:c r="CD23" s="57"/>
      <x:c r="CE23" s="57"/>
      <x:c r="CF23" s="57"/>
      <x:c r="CG23" s="57"/>
    </x:row>
    <x:row r="24" ht="8.649999618530273" customHeight="1">
      <x:c r="A24" s="57"/>
      <x:c r="B24" s="106"/>
      <x:c r="C24" s="107"/>
      <x:c r="D24" s="39"/>
      <x:c r="E24" s="105" t="n">
        <x:v>0</x:v>
      </x:c>
      <x:c r="F24" s="97" t="n">
        <x:v>0</x:v>
      </x:c>
      <x:c r="G24" s="97" t="n">
        <x:v>0</x:v>
      </x:c>
      <x:c r="H24" s="97" t="n">
        <x:v>0</x:v>
      </x:c>
      <x:c r="I24" s="97" t="n">
        <x:v>0</x:v>
      </x:c>
      <x:c r="J24" s="97" t="n">
        <x:v>0</x:v>
      </x:c>
      <x:c r="K24" s="97" t="n">
        <x:v>0</x:v>
      </x:c>
      <x:c r="L24" s="97" t="n">
        <x:v>0</x:v>
      </x:c>
      <x:c r="M24" s="97" t="n">
        <x:v>0</x:v>
      </x:c>
      <x:c r="N24" s="97" t="n">
        <x:v>0</x:v>
      </x:c>
      <x:c r="O24" s="97" t="n">
        <x:v>0</x:v>
      </x:c>
      <x:c r="P24" s="97" t="n">
        <x:v>0</x:v>
      </x:c>
      <x:c r="Q24" s="97" t="n">
        <x:v>0</x:v>
      </x:c>
      <x:c r="R24" s="97" t="n">
        <x:v>0</x:v>
      </x:c>
      <x:c r="S24" s="97" t="n">
        <x:v>0</x:v>
      </x:c>
      <x:c r="T24" s="97" t="n">
        <x:v>0</x:v>
      </x:c>
      <x:c r="U24" s="97" t="n">
        <x:v>0</x:v>
      </x:c>
      <x:c r="V24" s="97" t="n">
        <x:v>0</x:v>
      </x:c>
      <x:c r="W24" s="97" t="n">
        <x:v>0</x:v>
      </x:c>
      <x:c r="X24" s="97" t="n">
        <x:v>0</x:v>
      </x:c>
      <x:c r="Y24" s="97" t="n">
        <x:v>0</x:v>
      </x:c>
      <x:c r="Z24" s="97" t="n">
        <x:v>0</x:v>
      </x:c>
      <x:c r="AA24" s="97" t="n">
        <x:v>0</x:v>
      </x:c>
      <x:c r="AB24" s="97" t="n">
        <x:v>0</x:v>
      </x:c>
      <x:c r="AC24" s="97" t="n">
        <x:v>0</x:v>
      </x:c>
      <x:c r="AD24" s="97" t="n">
        <x:v>0</x:v>
      </x:c>
      <x:c r="AE24" s="97" t="n">
        <x:v>0</x:v>
      </x:c>
      <x:c r="AF24" s="97" t="n">
        <x:v>0</x:v>
      </x:c>
      <x:c r="AG24" s="97" t="n">
        <x:v>0</x:v>
      </x:c>
      <x:c r="AH24" s="97" t="n">
        <x:v>0</x:v>
      </x:c>
      <x:c r="AI24" s="97" t="n">
        <x:v>0</x:v>
      </x:c>
      <x:c r="AJ24" s="97" t="n">
        <x:v>0</x:v>
      </x:c>
      <x:c r="AK24" s="97" t="n">
        <x:v>0</x:v>
      </x:c>
      <x:c r="AL24" s="97" t="n">
        <x:v>0</x:v>
      </x:c>
      <x:c r="AM24" s="97" t="n">
        <x:v>0</x:v>
      </x:c>
      <x:c r="AN24" s="97" t="n">
        <x:v>0</x:v>
      </x:c>
      <x:c r="AO24" s="97" t="n">
        <x:v>0</x:v>
      </x:c>
      <x:c r="AP24" s="97" t="n">
        <x:v>0</x:v>
      </x:c>
      <x:c r="AQ24" s="97" t="n">
        <x:v>0</x:v>
      </x:c>
      <x:c r="AR24" s="97" t="n">
        <x:v>0</x:v>
      </x:c>
      <x:c r="AS24" s="97" t="n">
        <x:v>0</x:v>
      </x:c>
      <x:c r="AT24" s="97" t="n">
        <x:v>0</x:v>
      </x:c>
      <x:c r="AU24" s="97" t="n">
        <x:v>0</x:v>
      </x:c>
      <x:c r="AV24" s="97" t="n">
        <x:v>0</x:v>
      </x:c>
      <x:c r="AW24" s="97" t="n">
        <x:v>0</x:v>
      </x:c>
      <x:c r="AX24" s="97" t="n">
        <x:v>0</x:v>
      </x:c>
      <x:c r="AY24" s="97" t="n">
        <x:v>0</x:v>
      </x:c>
      <x:c r="AZ24" s="97" t="n">
        <x:v>0</x:v>
      </x:c>
      <x:c r="BA24" s="97" t="n">
        <x:v>0</x:v>
      </x:c>
      <x:c r="BB24" s="97" t="n">
        <x:v>0</x:v>
      </x:c>
      <x:c r="BC24" s="97" t="n">
        <x:v>0</x:v>
      </x:c>
      <x:c r="BD24" s="97" t="n">
        <x:v>0</x:v>
      </x:c>
      <x:c r="BE24" s="97" t="n">
        <x:v>0</x:v>
      </x:c>
      <x:c r="BF24" s="97" t="n">
        <x:v>0</x:v>
      </x:c>
      <x:c r="BG24" s="97" t="n">
        <x:v>0</x:v>
      </x:c>
      <x:c r="BH24" s="97" t="n">
        <x:v>0</x:v>
      </x:c>
      <x:c r="BI24" s="97" t="n">
        <x:v>0</x:v>
      </x:c>
      <x:c r="BJ24" s="97" t="n">
        <x:v>0</x:v>
      </x:c>
      <x:c r="BK24" s="97" t="n">
        <x:v>0</x:v>
      </x:c>
      <x:c r="BL24" s="97" t="n">
        <x:v>0</x:v>
      </x:c>
      <x:c r="BM24" s="103" t="n">
        <x:f t="shared" si="0">SUM(E24:AN24)</x:f>
        <x:v>0</x:v>
      </x:c>
      <x:c r="BN24" s="57"/>
      <x:c r="BO24" s="57"/>
      <x:c r="BP24" s="57"/>
      <x:c r="BQ24" s="57"/>
      <x:c r="BR24" s="57"/>
      <x:c r="BS24" s="57"/>
      <x:c r="BT24" s="57"/>
      <x:c r="BU24" s="57"/>
      <x:c r="BV24" s="57"/>
      <x:c r="BW24" s="57"/>
      <x:c r="BX24" s="57"/>
      <x:c r="BY24" s="57"/>
      <x:c r="BZ24" s="57"/>
      <x:c r="CA24" s="57"/>
      <x:c r="CB24" s="57"/>
      <x:c r="CC24" s="57"/>
      <x:c r="CD24" s="57"/>
      <x:c r="CE24" s="57"/>
      <x:c r="CF24" s="57"/>
      <x:c r="CG24" s="57"/>
    </x:row>
    <x:row r="25" ht="8.649999618530273" customHeight="1">
      <x:c r="A25" s="57"/>
      <x:c r="B25" s="106"/>
      <x:c r="C25" s="107"/>
      <x:c r="D25" s="39"/>
      <x:c r="E25" s="105" t="n">
        <x:v>0</x:v>
      </x:c>
      <x:c r="F25" s="97" t="n">
        <x:v>0</x:v>
      </x:c>
      <x:c r="G25" s="97" t="n">
        <x:v>0</x:v>
      </x:c>
      <x:c r="H25" s="97" t="n">
        <x:v>0</x:v>
      </x:c>
      <x:c r="I25" s="97" t="n">
        <x:v>0</x:v>
      </x:c>
      <x:c r="J25" s="97" t="n">
        <x:v>0</x:v>
      </x:c>
      <x:c r="K25" s="97" t="n">
        <x:v>0</x:v>
      </x:c>
      <x:c r="L25" s="97" t="n">
        <x:v>0</x:v>
      </x:c>
      <x:c r="M25" s="97" t="n">
        <x:v>0</x:v>
      </x:c>
      <x:c r="N25" s="97" t="n">
        <x:v>0</x:v>
      </x:c>
      <x:c r="O25" s="97" t="n">
        <x:v>0</x:v>
      </x:c>
      <x:c r="P25" s="97" t="n">
        <x:v>0</x:v>
      </x:c>
      <x:c r="Q25" s="97" t="n">
        <x:v>0</x:v>
      </x:c>
      <x:c r="R25" s="97" t="n">
        <x:v>0</x:v>
      </x:c>
      <x:c r="S25" s="97" t="n">
        <x:v>0</x:v>
      </x:c>
      <x:c r="T25" s="97" t="n">
        <x:v>0</x:v>
      </x:c>
      <x:c r="U25" s="97" t="n">
        <x:v>0</x:v>
      </x:c>
      <x:c r="V25" s="97" t="n">
        <x:v>0</x:v>
      </x:c>
      <x:c r="W25" s="97" t="n">
        <x:v>0</x:v>
      </x:c>
      <x:c r="X25" s="97" t="n">
        <x:v>0</x:v>
      </x:c>
      <x:c r="Y25" s="97" t="n">
        <x:v>0</x:v>
      </x:c>
      <x:c r="Z25" s="97" t="n">
        <x:v>0</x:v>
      </x:c>
      <x:c r="AA25" s="97" t="n">
        <x:v>0</x:v>
      </x:c>
      <x:c r="AB25" s="97" t="n">
        <x:v>0</x:v>
      </x:c>
      <x:c r="AC25" s="97" t="n">
        <x:v>0</x:v>
      </x:c>
      <x:c r="AD25" s="97" t="n">
        <x:v>0</x:v>
      </x:c>
      <x:c r="AE25" s="97" t="n">
        <x:v>0</x:v>
      </x:c>
      <x:c r="AF25" s="97" t="n">
        <x:v>0</x:v>
      </x:c>
      <x:c r="AG25" s="97" t="n">
        <x:v>0</x:v>
      </x:c>
      <x:c r="AH25" s="97" t="n">
        <x:v>0</x:v>
      </x:c>
      <x:c r="AI25" s="97" t="n">
        <x:v>0</x:v>
      </x:c>
      <x:c r="AJ25" s="97" t="n">
        <x:v>0</x:v>
      </x:c>
      <x:c r="AK25" s="97" t="n">
        <x:v>0</x:v>
      </x:c>
      <x:c r="AL25" s="97" t="n">
        <x:v>0</x:v>
      </x:c>
      <x:c r="AM25" s="97" t="n">
        <x:v>0</x:v>
      </x:c>
      <x:c r="AN25" s="97" t="n">
        <x:v>0</x:v>
      </x:c>
      <x:c r="AO25" s="97" t="n">
        <x:v>0</x:v>
      </x:c>
      <x:c r="AP25" s="97" t="n">
        <x:v>0</x:v>
      </x:c>
      <x:c r="AQ25" s="97" t="n">
        <x:v>0</x:v>
      </x:c>
      <x:c r="AR25" s="97" t="n">
        <x:v>0</x:v>
      </x:c>
      <x:c r="AS25" s="97" t="n">
        <x:v>0</x:v>
      </x:c>
      <x:c r="AT25" s="97" t="n">
        <x:v>0</x:v>
      </x:c>
      <x:c r="AU25" s="97" t="n">
        <x:v>0</x:v>
      </x:c>
      <x:c r="AV25" s="97" t="n">
        <x:v>0</x:v>
      </x:c>
      <x:c r="AW25" s="97" t="n">
        <x:v>0</x:v>
      </x:c>
      <x:c r="AX25" s="97" t="n">
        <x:v>0</x:v>
      </x:c>
      <x:c r="AY25" s="97" t="n">
        <x:v>0</x:v>
      </x:c>
      <x:c r="AZ25" s="97" t="n">
        <x:v>0</x:v>
      </x:c>
      <x:c r="BA25" s="97" t="n">
        <x:v>0</x:v>
      </x:c>
      <x:c r="BB25" s="97" t="n">
        <x:v>0</x:v>
      </x:c>
      <x:c r="BC25" s="97" t="n">
        <x:v>0</x:v>
      </x:c>
      <x:c r="BD25" s="97" t="n">
        <x:v>0</x:v>
      </x:c>
      <x:c r="BE25" s="97" t="n">
        <x:v>0</x:v>
      </x:c>
      <x:c r="BF25" s="97" t="n">
        <x:v>0</x:v>
      </x:c>
      <x:c r="BG25" s="97" t="n">
        <x:v>0</x:v>
      </x:c>
      <x:c r="BH25" s="97" t="n">
        <x:v>0</x:v>
      </x:c>
      <x:c r="BI25" s="97" t="n">
        <x:v>0</x:v>
      </x:c>
      <x:c r="BJ25" s="97" t="n">
        <x:v>0</x:v>
      </x:c>
      <x:c r="BK25" s="97" t="n">
        <x:v>0</x:v>
      </x:c>
      <x:c r="BL25" s="97" t="n">
        <x:v>0</x:v>
      </x:c>
      <x:c r="BM25" s="103" t="n">
        <x:f t="shared" si="0">SUM(E25:AN25)</x:f>
        <x:v>0</x:v>
      </x:c>
      <x:c r="BN25" s="57"/>
      <x:c r="BO25" s="57"/>
      <x:c r="BP25" s="57"/>
      <x:c r="BQ25" s="57"/>
      <x:c r="BR25" s="57"/>
      <x:c r="BS25" s="57"/>
      <x:c r="BT25" s="57"/>
      <x:c r="BU25" s="57"/>
      <x:c r="BV25" s="57"/>
      <x:c r="BW25" s="57"/>
      <x:c r="BX25" s="57"/>
      <x:c r="BY25" s="57"/>
      <x:c r="BZ25" s="57"/>
      <x:c r="CA25" s="57"/>
      <x:c r="CB25" s="57"/>
      <x:c r="CC25" s="57"/>
      <x:c r="CD25" s="57"/>
      <x:c r="CE25" s="57"/>
      <x:c r="CF25" s="57"/>
      <x:c r="CG25" s="57"/>
    </x:row>
    <x:row r="26" ht="8.649999618530273" customHeight="1">
      <x:c r="A26" s="57"/>
      <x:c r="B26" s="108"/>
      <x:c r="C26" s="107"/>
      <x:c r="D26" s="39"/>
      <x:c r="E26" s="105" t="n">
        <x:v>0</x:v>
      </x:c>
      <x:c r="F26" s="97" t="n">
        <x:v>0</x:v>
      </x:c>
      <x:c r="G26" s="97" t="n">
        <x:v>0</x:v>
      </x:c>
      <x:c r="H26" s="97" t="n">
        <x:v>0</x:v>
      </x:c>
      <x:c r="I26" s="97" t="n">
        <x:v>0</x:v>
      </x:c>
      <x:c r="J26" s="97" t="n">
        <x:v>0</x:v>
      </x:c>
      <x:c r="K26" s="97" t="n">
        <x:v>0</x:v>
      </x:c>
      <x:c r="L26" s="97" t="n">
        <x:v>0</x:v>
      </x:c>
      <x:c r="M26" s="97" t="n">
        <x:v>0</x:v>
      </x:c>
      <x:c r="N26" s="97" t="n">
        <x:v>0</x:v>
      </x:c>
      <x:c r="O26" s="97" t="n">
        <x:v>0</x:v>
      </x:c>
      <x:c r="P26" s="97" t="n">
        <x:v>0</x:v>
      </x:c>
      <x:c r="Q26" s="97" t="n">
        <x:v>0</x:v>
      </x:c>
      <x:c r="R26" s="97" t="n">
        <x:v>0</x:v>
      </x:c>
      <x:c r="S26" s="97" t="n">
        <x:v>0</x:v>
      </x:c>
      <x:c r="T26" s="97" t="n">
        <x:v>0</x:v>
      </x:c>
      <x:c r="U26" s="97" t="n">
        <x:v>0</x:v>
      </x:c>
      <x:c r="V26" s="97" t="n">
        <x:v>0</x:v>
      </x:c>
      <x:c r="W26" s="97" t="n">
        <x:v>0</x:v>
      </x:c>
      <x:c r="X26" s="97" t="n">
        <x:v>0</x:v>
      </x:c>
      <x:c r="Y26" s="97" t="n">
        <x:v>0</x:v>
      </x:c>
      <x:c r="Z26" s="97" t="n">
        <x:v>0</x:v>
      </x:c>
      <x:c r="AA26" s="97" t="n">
        <x:v>0</x:v>
      </x:c>
      <x:c r="AB26" s="97" t="n">
        <x:v>0</x:v>
      </x:c>
      <x:c r="AC26" s="97" t="n">
        <x:v>0</x:v>
      </x:c>
      <x:c r="AD26" s="97" t="n">
        <x:v>0</x:v>
      </x:c>
      <x:c r="AE26" s="97" t="n">
        <x:v>0</x:v>
      </x:c>
      <x:c r="AF26" s="97" t="n">
        <x:v>0</x:v>
      </x:c>
      <x:c r="AG26" s="97" t="n">
        <x:v>0</x:v>
      </x:c>
      <x:c r="AH26" s="97" t="n">
        <x:v>0</x:v>
      </x:c>
      <x:c r="AI26" s="97" t="n">
        <x:v>0</x:v>
      </x:c>
      <x:c r="AJ26" s="97" t="n">
        <x:v>0</x:v>
      </x:c>
      <x:c r="AK26" s="97" t="n">
        <x:v>0</x:v>
      </x:c>
      <x:c r="AL26" s="97" t="n">
        <x:v>0</x:v>
      </x:c>
      <x:c r="AM26" s="97" t="n">
        <x:v>0</x:v>
      </x:c>
      <x:c r="AN26" s="97" t="n">
        <x:v>0</x:v>
      </x:c>
      <x:c r="AO26" s="97" t="n">
        <x:v>0</x:v>
      </x:c>
      <x:c r="AP26" s="97" t="n">
        <x:v>0</x:v>
      </x:c>
      <x:c r="AQ26" s="97" t="n">
        <x:v>0</x:v>
      </x:c>
      <x:c r="AR26" s="97" t="n">
        <x:v>0</x:v>
      </x:c>
      <x:c r="AS26" s="97" t="n">
        <x:v>0</x:v>
      </x:c>
      <x:c r="AT26" s="97" t="n">
        <x:v>0</x:v>
      </x:c>
      <x:c r="AU26" s="97" t="n">
        <x:v>0</x:v>
      </x:c>
      <x:c r="AV26" s="97" t="n">
        <x:v>0</x:v>
      </x:c>
      <x:c r="AW26" s="97" t="n">
        <x:v>0</x:v>
      </x:c>
      <x:c r="AX26" s="97" t="n">
        <x:v>0</x:v>
      </x:c>
      <x:c r="AY26" s="97" t="n">
        <x:v>0</x:v>
      </x:c>
      <x:c r="AZ26" s="97" t="n">
        <x:v>0</x:v>
      </x:c>
      <x:c r="BA26" s="97" t="n">
        <x:v>0</x:v>
      </x:c>
      <x:c r="BB26" s="97" t="n">
        <x:v>0</x:v>
      </x:c>
      <x:c r="BC26" s="97" t="n">
        <x:v>0</x:v>
      </x:c>
      <x:c r="BD26" s="97" t="n">
        <x:v>0</x:v>
      </x:c>
      <x:c r="BE26" s="97" t="n">
        <x:v>0</x:v>
      </x:c>
      <x:c r="BF26" s="97" t="n">
        <x:v>0</x:v>
      </x:c>
      <x:c r="BG26" s="97" t="n">
        <x:v>0</x:v>
      </x:c>
      <x:c r="BH26" s="97" t="n">
        <x:v>0</x:v>
      </x:c>
      <x:c r="BI26" s="97" t="n">
        <x:v>0</x:v>
      </x:c>
      <x:c r="BJ26" s="97" t="n">
        <x:v>0</x:v>
      </x:c>
      <x:c r="BK26" s="97" t="n">
        <x:v>0</x:v>
      </x:c>
      <x:c r="BL26" s="97" t="n">
        <x:v>0</x:v>
      </x:c>
      <x:c r="BM26" s="103" t="n">
        <x:f t="shared" si="0">SUM(E26:AN26)</x:f>
        <x:v>0</x:v>
      </x:c>
      <x:c r="BN26" s="57"/>
      <x:c r="BO26" s="57"/>
      <x:c r="BP26" s="57"/>
      <x:c r="BQ26" s="57"/>
      <x:c r="BR26" s="57"/>
      <x:c r="BS26" s="57"/>
      <x:c r="BT26" s="57"/>
      <x:c r="BU26" s="57"/>
      <x:c r="BV26" s="57"/>
      <x:c r="BW26" s="57"/>
      <x:c r="BX26" s="57"/>
      <x:c r="BY26" s="57"/>
      <x:c r="BZ26" s="57"/>
      <x:c r="CA26" s="57"/>
      <x:c r="CB26" s="57"/>
      <x:c r="CC26" s="57"/>
      <x:c r="CD26" s="57"/>
      <x:c r="CE26" s="57"/>
      <x:c r="CF26" s="57"/>
      <x:c r="CG26" s="57"/>
    </x:row>
    <x:row r="27" ht="21.75" customHeight="1">
      <x:c r="A27" s="60"/>
      <x:c r="B27" s="109" t="s">
        <x:v>164</x:v>
      </x:c>
      <x:c r="C27" s="110"/>
      <x:c r="D27" s="111" t="n">
        <x:f>SUM(D14:D26)</x:f>
        <x:v>0</x:v>
      </x:c>
      <x:c r="E27" s="112" t="n">
        <x:f>'Модель 36 міс'!C37</x:f>
        <x:v>2109898</x:v>
      </x:c>
      <x:c r="F27" s="112" t="n">
        <x:f t="shared" ref="F27:BL27" si="1">'Модель 36 міс'!D37</x:f>
        <x:v>200000</x:v>
      </x:c>
      <x:c r="G27" s="112" t="n">
        <x:f t="shared" si="1">'Модель 36 міс'!E37</x:f>
        <x:v>200000</x:v>
      </x:c>
      <x:c r="H27" s="112" t="n">
        <x:f t="shared" si="1">'Модель 36 міс'!F37</x:f>
        <x:v>280000</x:v>
      </x:c>
      <x:c r="I27" s="112" t="n">
        <x:f t="shared" si="1">'Модель 36 міс'!G37</x:f>
        <x:v>280000</x:v>
      </x:c>
      <x:c r="J27" s="112" t="n">
        <x:f t="shared" si="1">'Модель 36 міс'!H37</x:f>
        <x:v>300000</x:v>
      </x:c>
      <x:c r="K27" s="112" t="n">
        <x:f t="shared" si="1">'Модель 36 міс'!I37</x:f>
        <x:v>300000</x:v>
      </x:c>
      <x:c r="L27" s="112" t="n">
        <x:f t="shared" si="1">'Модель 36 міс'!J37</x:f>
        <x:v>350000</x:v>
      </x:c>
      <x:c r="M27" s="112" t="n">
        <x:f t="shared" si="1">'Модель 36 міс'!K37</x:f>
        <x:v>380000</x:v>
      </x:c>
      <x:c r="N27" s="112" t="n">
        <x:f t="shared" si="1">'Модель 36 міс'!L37</x:f>
        <x:v>380000</x:v>
      </x:c>
      <x:c r="O27" s="112" t="n">
        <x:f t="shared" si="1">'Модель 36 міс'!M37</x:f>
        <x:v>480000</x:v>
      </x:c>
      <x:c r="P27" s="112" t="n">
        <x:f t="shared" si="1">'Модель 36 міс'!N37</x:f>
        <x:v>480000</x:v>
      </x:c>
      <x:c r="Q27" s="112" t="n">
        <x:f t="shared" si="1">'Модель 36 міс'!O37</x:f>
        <x:v>755860</x:v>
      </x:c>
      <x:c r="R27" s="112" t="n">
        <x:f t="shared" si="1">'Модель 36 міс'!P37</x:f>
        <x:v>550000</x:v>
      </x:c>
      <x:c r="S27" s="112" t="n">
        <x:f t="shared" si="1">'Модель 36 міс'!Q37</x:f>
        <x:v>550000</x:v>
      </x:c>
      <x:c r="T27" s="112" t="n">
        <x:f t="shared" si="1">'Модель 36 міс'!R37</x:f>
        <x:v>550000</x:v>
      </x:c>
      <x:c r="U27" s="112" t="n">
        <x:f t="shared" si="1">'Модель 36 міс'!S37</x:f>
        <x:v>600000</x:v>
      </x:c>
      <x:c r="V27" s="112" t="n">
        <x:f t="shared" si="1">'Модель 36 міс'!T37</x:f>
        <x:v>600000</x:v>
      </x:c>
      <x:c r="W27" s="112" t="n">
        <x:f t="shared" si="1">'Модель 36 міс'!U37</x:f>
        <x:v>600000</x:v>
      </x:c>
      <x:c r="X27" s="112" t="n">
        <x:f t="shared" si="1">'Модель 36 міс'!V37</x:f>
        <x:v>630000</x:v>
      </x:c>
      <x:c r="Y27" s="112" t="n">
        <x:f t="shared" si="1">'Модель 36 міс'!W37</x:f>
        <x:v>680000</x:v>
      </x:c>
      <x:c r="Z27" s="112" t="n">
        <x:f t="shared" si="1">'Модель 36 міс'!X37</x:f>
        <x:v>700000</x:v>
      </x:c>
      <x:c r="AA27" s="112" t="n">
        <x:f t="shared" si="1">'Модель 36 міс'!Y37</x:f>
        <x:v>700000</x:v>
      </x:c>
      <x:c r="AB27" s="112" t="n">
        <x:f t="shared" si="1">'Модель 36 міс'!Z37</x:f>
        <x:v>750000</x:v>
      </x:c>
      <x:c r="AC27" s="112" t="n">
        <x:f t="shared" si="1">'Модель 36 міс'!AA37</x:f>
        <x:v>750000</x:v>
      </x:c>
      <x:c r="AD27" s="112" t="n">
        <x:f t="shared" si="1">'Модель 36 міс'!AB37</x:f>
        <x:v>750000</x:v>
      </x:c>
      <x:c r="AE27" s="112" t="n">
        <x:f t="shared" si="1">'Модель 36 міс'!AC37</x:f>
        <x:v>750000</x:v>
      </x:c>
      <x:c r="AF27" s="112" t="n">
        <x:f t="shared" si="1">'Модель 36 міс'!AD37</x:f>
        <x:v>750000</x:v>
      </x:c>
      <x:c r="AG27" s="112" t="n">
        <x:f t="shared" si="1">'Модель 36 міс'!AE37</x:f>
        <x:v>750000</x:v>
      </x:c>
      <x:c r="AH27" s="112" t="n">
        <x:f t="shared" si="1">'Модель 36 міс'!AF37</x:f>
        <x:v>750000</x:v>
      </x:c>
      <x:c r="AI27" s="112" t="n">
        <x:f t="shared" si="1">'Модель 36 міс'!AG37</x:f>
        <x:v>750000</x:v>
      </x:c>
      <x:c r="AJ27" s="112" t="n">
        <x:f t="shared" si="1">'Модель 36 міс'!AH37</x:f>
        <x:v>750000</x:v>
      </x:c>
      <x:c r="AK27" s="112" t="n">
        <x:f t="shared" si="1">'Модель 36 міс'!AI37</x:f>
        <x:v>750000</x:v>
      </x:c>
      <x:c r="AL27" s="112" t="n">
        <x:f t="shared" si="1">'Модель 36 міс'!AJ37</x:f>
        <x:v>750000</x:v>
      </x:c>
      <x:c r="AM27" s="112" t="n">
        <x:f t="shared" si="1">'Модель 36 міс'!AK37</x:f>
        <x:v>750000</x:v>
      </x:c>
      <x:c r="AN27" s="112" t="n">
        <x:f t="shared" si="1">'Модель 36 міс'!AL37</x:f>
        <x:v>750000</x:v>
      </x:c>
      <x:c r="AO27" s="112" t="n">
        <x:f t="shared" si="1"/>
        <x:v>0</x:v>
      </x:c>
      <x:c r="AP27" s="112" t="n">
        <x:f t="shared" si="1"/>
        <x:v>0</x:v>
      </x:c>
      <x:c r="AQ27" s="112" t="n">
        <x:f t="shared" si="1"/>
        <x:v>0</x:v>
      </x:c>
      <x:c r="AR27" s="112" t="n">
        <x:f t="shared" si="1"/>
        <x:v>0</x:v>
      </x:c>
      <x:c r="AS27" s="112" t="n">
        <x:f t="shared" si="1"/>
        <x:v>0</x:v>
      </x:c>
      <x:c r="AT27" s="112" t="n">
        <x:f t="shared" si="1"/>
        <x:v>0</x:v>
      </x:c>
      <x:c r="AU27" s="112" t="n">
        <x:f t="shared" si="1"/>
        <x:v>0</x:v>
      </x:c>
      <x:c r="AV27" s="112" t="n">
        <x:f t="shared" si="1"/>
        <x:v>0</x:v>
      </x:c>
      <x:c r="AW27" s="112" t="n">
        <x:f t="shared" si="1"/>
        <x:v>0</x:v>
      </x:c>
      <x:c r="AX27" s="112" t="n">
        <x:f t="shared" si="1"/>
        <x:v>0</x:v>
      </x:c>
      <x:c r="AY27" s="112" t="n">
        <x:f t="shared" si="1"/>
        <x:v>0</x:v>
      </x:c>
      <x:c r="AZ27" s="112" t="n">
        <x:f t="shared" si="1"/>
        <x:v>0</x:v>
      </x:c>
      <x:c r="BA27" s="112" t="n">
        <x:f t="shared" si="1"/>
        <x:v>0</x:v>
      </x:c>
      <x:c r="BB27" s="112" t="n">
        <x:f t="shared" si="1"/>
        <x:v>0</x:v>
      </x:c>
      <x:c r="BC27" s="112" t="n">
        <x:f t="shared" si="1"/>
        <x:v>0</x:v>
      </x:c>
      <x:c r="BD27" s="112" t="n">
        <x:f t="shared" si="1"/>
        <x:v>0</x:v>
      </x:c>
      <x:c r="BE27" s="112" t="n">
        <x:f t="shared" si="1"/>
        <x:v>0</x:v>
      </x:c>
      <x:c r="BF27" s="112" t="n">
        <x:f t="shared" si="1"/>
        <x:v>0</x:v>
      </x:c>
      <x:c r="BG27" s="112" t="n">
        <x:f t="shared" si="1"/>
        <x:v>0</x:v>
      </x:c>
      <x:c r="BH27" s="112" t="n">
        <x:f t="shared" si="1"/>
        <x:v>0</x:v>
      </x:c>
      <x:c r="BI27" s="112" t="n">
        <x:f t="shared" si="1"/>
        <x:v>0</x:v>
      </x:c>
      <x:c r="BJ27" s="112" t="n">
        <x:f t="shared" si="1"/>
        <x:v>0</x:v>
      </x:c>
      <x:c r="BK27" s="112" t="n">
        <x:f t="shared" si="1"/>
        <x:v>0</x:v>
      </x:c>
      <x:c r="BL27" s="112" t="n">
        <x:f t="shared" si="1"/>
        <x:v>0</x:v>
      </x:c>
      <x:c r="BM27" s="112" t="n">
        <x:f>SUM(E27:AN27)</x:f>
        <x:v>22405758</x:v>
      </x:c>
      <x:c r="BN27" s="60"/>
      <x:c r="BO27" s="60"/>
      <x:c r="BP27" s="60"/>
      <x:c r="BQ27" s="60"/>
      <x:c r="BR27" s="60"/>
      <x:c r="BS27" s="60"/>
      <x:c r="BT27" s="60"/>
      <x:c r="BU27" s="60"/>
      <x:c r="BV27" s="60"/>
      <x:c r="BW27" s="60"/>
      <x:c r="BX27" s="60"/>
      <x:c r="BY27" s="60"/>
      <x:c r="BZ27" s="60"/>
      <x:c r="CA27" s="60"/>
      <x:c r="CB27" s="60"/>
      <x:c r="CC27" s="60"/>
      <x:c r="CD27" s="60"/>
      <x:c r="CE27" s="60"/>
      <x:c r="CF27" s="60"/>
      <x:c r="CG27" s="60"/>
    </x:row>
    <x:row r="28" ht="13.5" customHeight="1">
      <x:c r="A28" s="57"/>
      <x:c r="D28" s="113"/>
      <x:c r="E28" s="113"/>
      <x:c r="F28" s="113"/>
      <x:c r="G28" s="113"/>
      <x:c r="H28" s="113"/>
      <x:c r="I28" s="113"/>
      <x:c r="J28" s="113"/>
      <x:c r="K28" s="113"/>
      <x:c r="L28" s="113"/>
      <x:c r="M28" s="113"/>
      <x:c r="N28" s="113"/>
      <x:c r="O28" s="113"/>
      <x:c r="P28" s="113"/>
      <x:c r="Q28" s="113"/>
      <x:c r="R28" s="113"/>
      <x:c r="S28" s="113"/>
      <x:c r="T28" s="113"/>
      <x:c r="U28" s="113"/>
      <x:c r="V28" s="113"/>
      <x:c r="W28" s="113"/>
      <x:c r="X28" s="113"/>
      <x:c r="Y28" s="113"/>
      <x:c r="Z28" s="113"/>
      <x:c r="AA28" s="113"/>
      <x:c r="AB28" s="113"/>
      <x:c r="AC28" s="113"/>
      <x:c r="AD28" s="113"/>
      <x:c r="AE28" s="113"/>
      <x:c r="AF28" s="113"/>
      <x:c r="AG28" s="113"/>
      <x:c r="AH28" s="113"/>
      <x:c r="AI28" s="113"/>
      <x:c r="AJ28" s="113"/>
      <x:c r="AK28" s="113"/>
      <x:c r="AL28" s="113"/>
      <x:c r="AM28" s="113"/>
      <x:c r="AN28" s="113"/>
      <x:c r="AO28" s="113"/>
      <x:c r="AP28" s="113"/>
      <x:c r="AQ28" s="113"/>
      <x:c r="AR28" s="113"/>
      <x:c r="AS28" s="113"/>
      <x:c r="AT28" s="113"/>
      <x:c r="AU28" s="113"/>
      <x:c r="AV28" s="113"/>
      <x:c r="AW28" s="113"/>
      <x:c r="AX28" s="113"/>
      <x:c r="AY28" s="113"/>
      <x:c r="AZ28" s="113"/>
      <x:c r="BA28" s="113"/>
      <x:c r="BB28" s="113"/>
      <x:c r="BC28" s="113"/>
      <x:c r="BD28" s="113"/>
      <x:c r="BE28" s="113"/>
      <x:c r="BF28" s="113"/>
      <x:c r="BG28" s="113"/>
      <x:c r="BH28" s="113"/>
      <x:c r="BI28" s="113"/>
      <x:c r="BJ28" s="113"/>
      <x:c r="BK28" s="113"/>
      <x:c r="BL28" s="113"/>
      <x:c r="BM28" s="114"/>
      <x:c r="BN28" s="57"/>
      <x:c r="BO28" s="57"/>
      <x:c r="BP28" s="57"/>
      <x:c r="BQ28" s="57"/>
      <x:c r="BR28" s="57"/>
      <x:c r="BS28" s="57"/>
      <x:c r="BT28" s="57"/>
      <x:c r="BU28" s="57"/>
      <x:c r="BV28" s="57"/>
      <x:c r="BW28" s="57"/>
      <x:c r="BX28" s="57"/>
      <x:c r="BY28" s="57"/>
      <x:c r="BZ28" s="57"/>
      <x:c r="CA28" s="57"/>
      <x:c r="CB28" s="57"/>
      <x:c r="CC28" s="57"/>
      <x:c r="CD28" s="57"/>
      <x:c r="CE28" s="57"/>
      <x:c r="CF28" s="57"/>
      <x:c r="CG28" s="57"/>
    </x:row>
    <x:row r="29" ht="8.649999618530273" customHeight="1">
      <x:c r="A29" s="57"/>
      <x:c r="D29" s="113"/>
      <x:c r="E29" s="113"/>
      <x:c r="F29" s="113"/>
      <x:c r="G29" s="113"/>
      <x:c r="H29" s="113"/>
      <x:c r="I29" s="113"/>
      <x:c r="J29" s="113"/>
      <x:c r="K29" s="113"/>
      <x:c r="L29" s="113"/>
      <x:c r="M29" s="113"/>
      <x:c r="N29" s="113"/>
      <x:c r="O29" s="113"/>
      <x:c r="P29" s="113"/>
      <x:c r="Q29" s="113"/>
      <x:c r="R29" s="113"/>
      <x:c r="S29" s="113"/>
      <x:c r="T29" s="113"/>
      <x:c r="U29" s="113"/>
      <x:c r="V29" s="113"/>
      <x:c r="W29" s="113"/>
      <x:c r="X29" s="113"/>
      <x:c r="Y29" s="113"/>
      <x:c r="Z29" s="113"/>
      <x:c r="AA29" s="113"/>
      <x:c r="AB29" s="113"/>
      <x:c r="AC29" s="113"/>
      <x:c r="AD29" s="113"/>
      <x:c r="AE29" s="113"/>
      <x:c r="AF29" s="113"/>
      <x:c r="AG29" s="113"/>
      <x:c r="AH29" s="113"/>
      <x:c r="AI29" s="113"/>
      <x:c r="AJ29" s="113"/>
      <x:c r="AK29" s="113"/>
      <x:c r="AL29" s="113"/>
      <x:c r="AM29" s="113"/>
      <x:c r="AN29" s="113"/>
      <x:c r="AO29" s="113"/>
      <x:c r="AP29" s="113"/>
      <x:c r="AQ29" s="113"/>
      <x:c r="AR29" s="113"/>
      <x:c r="AS29" s="113"/>
      <x:c r="AT29" s="113"/>
      <x:c r="AU29" s="113"/>
      <x:c r="AV29" s="113"/>
      <x:c r="AW29" s="113"/>
      <x:c r="AX29" s="113"/>
      <x:c r="AY29" s="113"/>
      <x:c r="AZ29" s="113"/>
      <x:c r="BA29" s="113"/>
      <x:c r="BB29" s="113"/>
      <x:c r="BC29" s="113"/>
      <x:c r="BD29" s="113"/>
      <x:c r="BE29" s="113"/>
      <x:c r="BF29" s="113"/>
      <x:c r="BG29" s="113"/>
      <x:c r="BH29" s="113"/>
      <x:c r="BI29" s="113"/>
      <x:c r="BJ29" s="113"/>
      <x:c r="BK29" s="113"/>
      <x:c r="BL29" s="113"/>
      <x:c r="BM29" s="114"/>
      <x:c r="BN29" s="57"/>
      <x:c r="BO29" s="57"/>
      <x:c r="BP29" s="57"/>
      <x:c r="BQ29" s="57"/>
      <x:c r="BR29" s="57"/>
      <x:c r="BS29" s="57"/>
      <x:c r="BT29" s="57"/>
      <x:c r="BU29" s="57"/>
      <x:c r="BV29" s="57"/>
      <x:c r="BW29" s="57"/>
      <x:c r="BX29" s="57"/>
      <x:c r="BY29" s="57"/>
      <x:c r="BZ29" s="57"/>
      <x:c r="CA29" s="57"/>
      <x:c r="CB29" s="57"/>
      <x:c r="CC29" s="57"/>
      <x:c r="CD29" s="57"/>
      <x:c r="CE29" s="57"/>
      <x:c r="CF29" s="57"/>
      <x:c r="CG29" s="57"/>
    </x:row>
    <x:row r="30" ht="86.44999694824219" customHeight="1">
      <x:c r="A30" s="57"/>
      <x:c r="B30" s="382" t="s">
        <x:v>165</x:v>
      </x:c>
      <x:c r="C30" s="382"/>
      <x:c r="D30" s="383"/>
      <x:c r="E30" s="379" t="s">
        <x:v>166</x:v>
      </x:c>
      <x:c r="F30" s="380"/>
      <x:c r="G30" s="380"/>
      <x:c r="H30" s="381"/>
      <x:c r="I30" s="381"/>
      <x:c r="J30" s="381"/>
      <x:c r="K30" s="381"/>
      <x:c r="L30" s="381"/>
      <x:c r="M30" s="381"/>
      <x:c r="N30" s="381"/>
      <x:c r="O30" s="381"/>
      <x:c r="P30" s="381"/>
      <x:c r="Q30" s="381"/>
      <x:c r="R30" s="381"/>
      <x:c r="S30" s="381"/>
      <x:c r="T30" s="381"/>
      <x:c r="U30" s="381"/>
      <x:c r="V30" s="381"/>
      <x:c r="W30" s="381"/>
      <x:c r="X30" s="381"/>
      <x:c r="Y30" s="381"/>
      <x:c r="Z30" s="381"/>
      <x:c r="AA30" s="381"/>
      <x:c r="AB30" s="381"/>
      <x:c r="AC30" s="381"/>
      <x:c r="AD30" s="381"/>
      <x:c r="AE30" s="381"/>
      <x:c r="AF30" s="381"/>
      <x:c r="AG30" s="381"/>
      <x:c r="AH30" s="381"/>
      <x:c r="AI30" s="381"/>
      <x:c r="AJ30" s="381"/>
      <x:c r="AK30" s="381"/>
      <x:c r="AL30" s="381"/>
      <x:c r="AM30" s="381"/>
      <x:c r="AN30" s="381"/>
      <x:c r="AO30" s="381"/>
      <x:c r="AP30" s="381"/>
      <x:c r="AQ30" s="381"/>
      <x:c r="AR30" s="381"/>
      <x:c r="AS30" s="381"/>
      <x:c r="AT30" s="381"/>
      <x:c r="AU30" s="381"/>
      <x:c r="AV30" s="381"/>
      <x:c r="AW30" s="381"/>
      <x:c r="AX30" s="381"/>
      <x:c r="AY30" s="381"/>
      <x:c r="AZ30" s="381"/>
      <x:c r="BA30" s="381"/>
      <x:c r="BB30" s="381"/>
      <x:c r="BC30" s="381"/>
      <x:c r="BD30" s="381"/>
      <x:c r="BE30" s="381"/>
      <x:c r="BF30" s="381"/>
      <x:c r="BG30" s="381"/>
      <x:c r="BH30" s="381"/>
      <x:c r="BI30" s="381"/>
      <x:c r="BJ30" s="381"/>
      <x:c r="BK30" s="381"/>
      <x:c r="BL30" s="381"/>
      <x:c r="BM30" s="381"/>
      <x:c r="BN30" s="57"/>
      <x:c r="BO30" s="57"/>
      <x:c r="BP30" s="57"/>
      <x:c r="BQ30" s="57"/>
      <x:c r="BR30" s="57"/>
      <x:c r="BS30" s="57"/>
      <x:c r="BT30" s="57"/>
      <x:c r="BU30" s="57"/>
      <x:c r="BV30" s="57"/>
      <x:c r="BW30" s="57"/>
      <x:c r="BX30" s="57"/>
      <x:c r="BY30" s="57"/>
      <x:c r="BZ30" s="57"/>
      <x:c r="CA30" s="57"/>
      <x:c r="CB30" s="57"/>
      <x:c r="CC30" s="57"/>
      <x:c r="CD30" s="57"/>
      <x:c r="CE30" s="57"/>
      <x:c r="CF30" s="57"/>
      <x:c r="CG30" s="57"/>
    </x:row>
    <x:row r="31" ht="52.900001525878906" customHeight="1">
      <x:c r="A31" s="57"/>
      <x:c r="B31" s="115" t="s">
        <x:v>167</x:v>
      </x:c>
      <x:c r="C31" s="116" t="s">
        <x:v>153</x:v>
      </x:c>
      <x:c r="D31" s="117" t="s">
        <x:v>168</x:v>
      </x:c>
      <x:c r="E31" s="118">
        <x:v>1</x:v>
      </x:c>
      <x:c r="F31" s="118">
        <x:v>2</x:v>
      </x:c>
      <x:c r="G31" s="118">
        <x:v>3</x:v>
      </x:c>
      <x:c r="H31" s="118">
        <x:v>4</x:v>
      </x:c>
      <x:c r="I31" s="118">
        <x:v>5</x:v>
      </x:c>
      <x:c r="J31" s="118">
        <x:v>6</x:v>
      </x:c>
      <x:c r="K31" s="118">
        <x:v>7</x:v>
      </x:c>
      <x:c r="L31" s="118">
        <x:v>8</x:v>
      </x:c>
      <x:c r="M31" s="118">
        <x:v>9</x:v>
      </x:c>
      <x:c r="N31" s="118">
        <x:v>10</x:v>
      </x:c>
      <x:c r="O31" s="118">
        <x:v>11</x:v>
      </x:c>
      <x:c r="P31" s="118">
        <x:v>12</x:v>
      </x:c>
      <x:c r="Q31" s="118">
        <x:v>13</x:v>
      </x:c>
      <x:c r="R31" s="118">
        <x:v>14</x:v>
      </x:c>
      <x:c r="S31" s="118">
        <x:v>15</x:v>
      </x:c>
      <x:c r="T31" s="118">
        <x:v>16</x:v>
      </x:c>
      <x:c r="U31" s="118">
        <x:v>17</x:v>
      </x:c>
      <x:c r="V31" s="118">
        <x:v>18</x:v>
      </x:c>
      <x:c r="W31" s="118">
        <x:v>19</x:v>
      </x:c>
      <x:c r="X31" s="118">
        <x:v>20</x:v>
      </x:c>
      <x:c r="Y31" s="118">
        <x:v>21</x:v>
      </x:c>
      <x:c r="Z31" s="118">
        <x:v>22</x:v>
      </x:c>
      <x:c r="AA31" s="118">
        <x:v>23</x:v>
      </x:c>
      <x:c r="AB31" s="118">
        <x:v>24</x:v>
      </x:c>
      <x:c r="AC31" s="118">
        <x:v>25</x:v>
      </x:c>
      <x:c r="AD31" s="118">
        <x:v>26</x:v>
      </x:c>
      <x:c r="AE31" s="118">
        <x:v>27</x:v>
      </x:c>
      <x:c r="AF31" s="118">
        <x:v>28</x:v>
      </x:c>
      <x:c r="AG31" s="118">
        <x:v>29</x:v>
      </x:c>
      <x:c r="AH31" s="118">
        <x:v>30</x:v>
      </x:c>
      <x:c r="AI31" s="118">
        <x:v>31</x:v>
      </x:c>
      <x:c r="AJ31" s="118">
        <x:v>32</x:v>
      </x:c>
      <x:c r="AK31" s="118">
        <x:v>33</x:v>
      </x:c>
      <x:c r="AL31" s="118">
        <x:v>34</x:v>
      </x:c>
      <x:c r="AM31" s="118">
        <x:v>35</x:v>
      </x:c>
      <x:c r="AN31" s="118">
        <x:v>36</x:v>
      </x:c>
      <x:c r="AO31" s="118">
        <x:v>37</x:v>
      </x:c>
      <x:c r="AP31" s="118">
        <x:v>38</x:v>
      </x:c>
      <x:c r="AQ31" s="118">
        <x:v>39</x:v>
      </x:c>
      <x:c r="AR31" s="118">
        <x:v>40</x:v>
      </x:c>
      <x:c r="AS31" s="118">
        <x:v>41</x:v>
      </x:c>
      <x:c r="AT31" s="118">
        <x:v>42</x:v>
      </x:c>
      <x:c r="AU31" s="118">
        <x:v>43</x:v>
      </x:c>
      <x:c r="AV31" s="118">
        <x:v>44</x:v>
      </x:c>
      <x:c r="AW31" s="118">
        <x:v>45</x:v>
      </x:c>
      <x:c r="AX31" s="118">
        <x:v>46</x:v>
      </x:c>
      <x:c r="AY31" s="118">
        <x:v>47</x:v>
      </x:c>
      <x:c r="AZ31" s="118">
        <x:v>48</x:v>
      </x:c>
      <x:c r="BA31" s="118">
        <x:v>49</x:v>
      </x:c>
      <x:c r="BB31" s="118">
        <x:v>50</x:v>
      </x:c>
      <x:c r="BC31" s="118">
        <x:v>51</x:v>
      </x:c>
      <x:c r="BD31" s="118">
        <x:v>52</x:v>
      </x:c>
      <x:c r="BE31" s="118">
        <x:v>53</x:v>
      </x:c>
      <x:c r="BF31" s="118">
        <x:v>54</x:v>
      </x:c>
      <x:c r="BG31" s="118">
        <x:v>55</x:v>
      </x:c>
      <x:c r="BH31" s="118">
        <x:v>56</x:v>
      </x:c>
      <x:c r="BI31" s="118">
        <x:v>57</x:v>
      </x:c>
      <x:c r="BJ31" s="118">
        <x:v>58</x:v>
      </x:c>
      <x:c r="BK31" s="118">
        <x:v>59</x:v>
      </x:c>
      <x:c r="BL31" s="118">
        <x:v>60</x:v>
      </x:c>
      <x:c r="BM31" s="119" t="s">
        <x:v>155</x:v>
      </x:c>
      <x:c r="BN31" s="57"/>
      <x:c r="BO31" s="57"/>
      <x:c r="BP31" s="57"/>
      <x:c r="BQ31" s="57"/>
      <x:c r="BR31" s="57"/>
      <x:c r="BS31" s="57"/>
      <x:c r="BT31" s="57"/>
      <x:c r="BU31" s="57"/>
      <x:c r="BV31" s="57"/>
      <x:c r="BW31" s="57"/>
      <x:c r="BX31" s="57"/>
      <x:c r="BY31" s="57"/>
      <x:c r="BZ31" s="57"/>
      <x:c r="CA31" s="57"/>
      <x:c r="CB31" s="57"/>
      <x:c r="CC31" s="57"/>
      <x:c r="CD31" s="57"/>
      <x:c r="CE31" s="57"/>
      <x:c r="CF31" s="57"/>
      <x:c r="CG31" s="57"/>
    </x:row>
    <x:row r="32" s="57" customFormat="1" ht="31.5">
      <x:c r="A32" s="120" t="s">
        <x:v>169</x:v>
      </x:c>
      <x:c r="B32" s="158" t="s">
        <x:v>170</x:v>
      </x:c>
      <x:c r="C32" s="107"/>
      <x:c r="D32" s="92" t="s">
        <x:v>62</x:v>
      </x:c>
      <x:c r="E32" s="92" t="n">
        <x:f>SUM(E33:E44)</x:f>
        <x:v>1915048</x:v>
      </x:c>
      <x:c r="F32" s="92" t="n">
        <x:f>SUM(F33:F44)</x:f>
        <x:v>4150</x:v>
      </x:c>
      <x:c r="G32" s="92" t="n">
        <x:f>SUM(G33:G44)</x:f>
        <x:v>4150</x:v>
      </x:c>
      <x:c r="H32" s="92" t="n">
        <x:f>SUM(H33:H44)</x:f>
        <x:v>4650</x:v>
      </x:c>
      <x:c r="I32" s="92" t="n">
        <x:f>SUM(I33:I44)</x:f>
        <x:v>4850</x:v>
      </x:c>
      <x:c r="J32" s="92" t="n">
        <x:f>SUM(J33:J44)</x:f>
        <x:v>4850</x:v>
      </x:c>
      <x:c r="K32" s="92" t="n">
        <x:f>SUM(K33:K44)</x:f>
        <x:v>4650</x:v>
      </x:c>
      <x:c r="L32" s="92" t="n">
        <x:f>SUM(L33:L44)</x:f>
        <x:v>4650</x:v>
      </x:c>
      <x:c r="M32" s="92" t="n">
        <x:f>SUM(M33:M44)</x:f>
        <x:v>5000</x:v>
      </x:c>
      <x:c r="N32" s="92" t="n">
        <x:f>SUM(N33:N44)</x:f>
        <x:v>5000</x:v>
      </x:c>
      <x:c r="O32" s="92" t="n">
        <x:f>SUM(O33:O44)</x:f>
        <x:v>5000</x:v>
      </x:c>
      <x:c r="P32" s="92" t="n">
        <x:f>SUM(P33:P44)</x:f>
        <x:v>5000</x:v>
      </x:c>
      <x:c r="Q32" s="92" t="n">
        <x:f>SUM(Q33:Q44)</x:f>
        <x:v>280860</x:v>
      </x:c>
      <x:c r="R32" s="92" t="n">
        <x:f>SUM(R33:R44)</x:f>
        <x:v>5700</x:v>
      </x:c>
      <x:c r="S32" s="92" t="n">
        <x:f>SUM(S33:S44)</x:f>
        <x:v>6250</x:v>
      </x:c>
      <x:c r="T32" s="92" t="n">
        <x:f>SUM(T33:T44)</x:f>
        <x:v>6250</x:v>
      </x:c>
      <x:c r="U32" s="92" t="n">
        <x:f>SUM(U33:U44)</x:f>
        <x:v>6250</x:v>
      </x:c>
      <x:c r="V32" s="92" t="n">
        <x:f>SUM(V33:V44)</x:f>
        <x:v>6250</x:v>
      </x:c>
      <x:c r="W32" s="92" t="n">
        <x:f>SUM(W33:W44)</x:f>
        <x:v>5950</x:v>
      </x:c>
      <x:c r="X32" s="92" t="n">
        <x:f>SUM(X33:X44)</x:f>
        <x:v>5950</x:v>
      </x:c>
      <x:c r="Y32" s="92" t="n">
        <x:f>SUM(Y33:Y44)</x:f>
        <x:v>6250</x:v>
      </x:c>
      <x:c r="Z32" s="92" t="n">
        <x:f>SUM(Z33:Z44)</x:f>
        <x:v>6250</x:v>
      </x:c>
      <x:c r="AA32" s="92" t="n">
        <x:f>SUM(AA33:AA44)</x:f>
        <x:v>6250</x:v>
      </x:c>
      <x:c r="AB32" s="92" t="n">
        <x:f>SUM(AB33:AB44)</x:f>
        <x:v>6250</x:v>
      </x:c>
      <x:c r="AC32" s="92" t="n">
        <x:f t="shared" ref="AC32:AJ32" si="2">SUM(AC33:AC44)</x:f>
        <x:v>21450</x:v>
      </x:c>
      <x:c r="AD32" s="92" t="n">
        <x:f t="shared" si="2">SUM(AD33:AD44)</x:f>
        <x:v>21450</x:v>
      </x:c>
      <x:c r="AE32" s="92" t="n">
        <x:f t="shared" si="2">SUM(AE33:AE44)</x:f>
        <x:v>21750</x:v>
      </x:c>
      <x:c r="AF32" s="92" t="n">
        <x:f t="shared" si="2">SUM(AF33:AF44)</x:f>
        <x:v>21750</x:v>
      </x:c>
      <x:c r="AG32" s="92" t="n">
        <x:f t="shared" si="2">SUM(AG33:AG44)</x:f>
        <x:v>21750</x:v>
      </x:c>
      <x:c r="AH32" s="92" t="n">
        <x:f t="shared" si="2">SUM(AH33:AH44)</x:f>
        <x:v>21750</x:v>
      </x:c>
      <x:c r="AI32" s="92" t="n">
        <x:f t="shared" si="2">SUM(AI33:AI44)</x:f>
        <x:v>21750</x:v>
      </x:c>
      <x:c r="AJ32" s="92" t="n">
        <x:f t="shared" si="2">SUM(AJ33:AJ44)</x:f>
        <x:v>21750</x:v>
      </x:c>
      <x:c r="AK32" s="92" t="n">
        <x:f t="shared" ref="AK32:BL32" si="3">SUM(AK33:AK44)</x:f>
        <x:v>21750</x:v>
      </x:c>
      <x:c r="AL32" s="92" t="n">
        <x:f t="shared" si="3">SUM(AL33:AL44)</x:f>
        <x:v>21750</x:v>
      </x:c>
      <x:c r="AM32" s="92" t="n">
        <x:f t="shared" si="3">SUM(AM33:AM44)</x:f>
        <x:v>21750</x:v>
      </x:c>
      <x:c r="AN32" s="92" t="n">
        <x:f t="shared" si="3">SUM(AN33:AN44)</x:f>
        <x:v>21750</x:v>
      </x:c>
      <x:c r="AO32" s="92" t="n">
        <x:f t="shared" si="3"/>
        <x:v>0</x:v>
      </x:c>
      <x:c r="AP32" s="92" t="n">
        <x:f t="shared" si="3"/>
        <x:v>0</x:v>
      </x:c>
      <x:c r="AQ32" s="92" t="n">
        <x:f t="shared" si="3"/>
        <x:v>0</x:v>
      </x:c>
      <x:c r="AR32" s="92" t="n">
        <x:f t="shared" si="3"/>
        <x:v>0</x:v>
      </x:c>
      <x:c r="AS32" s="92" t="n">
        <x:f t="shared" si="3"/>
        <x:v>0</x:v>
      </x:c>
      <x:c r="AT32" s="92" t="n">
        <x:f t="shared" si="3"/>
        <x:v>0</x:v>
      </x:c>
      <x:c r="AU32" s="92" t="n">
        <x:f t="shared" si="3"/>
        <x:v>0</x:v>
      </x:c>
      <x:c r="AV32" s="92" t="n">
        <x:f t="shared" si="3"/>
        <x:v>0</x:v>
      </x:c>
      <x:c r="AW32" s="92" t="n">
        <x:f t="shared" si="3"/>
        <x:v>0</x:v>
      </x:c>
      <x:c r="AX32" s="92" t="n">
        <x:f t="shared" si="3"/>
        <x:v>0</x:v>
      </x:c>
      <x:c r="AY32" s="92" t="n">
        <x:f t="shared" si="3"/>
        <x:v>0</x:v>
      </x:c>
      <x:c r="AZ32" s="92" t="n">
        <x:f t="shared" si="3"/>
        <x:v>0</x:v>
      </x:c>
      <x:c r="BA32" s="92" t="n">
        <x:f t="shared" si="3"/>
        <x:v>0</x:v>
      </x:c>
      <x:c r="BB32" s="92" t="n">
        <x:f t="shared" si="3"/>
        <x:v>0</x:v>
      </x:c>
      <x:c r="BC32" s="92" t="n">
        <x:f t="shared" si="3"/>
        <x:v>0</x:v>
      </x:c>
      <x:c r="BD32" s="92" t="n">
        <x:f t="shared" si="3"/>
        <x:v>0</x:v>
      </x:c>
      <x:c r="BE32" s="92" t="n">
        <x:f t="shared" si="3"/>
        <x:v>0</x:v>
      </x:c>
      <x:c r="BF32" s="92" t="n">
        <x:f t="shared" si="3"/>
        <x:v>0</x:v>
      </x:c>
      <x:c r="BG32" s="92" t="n">
        <x:f t="shared" si="3"/>
        <x:v>0</x:v>
      </x:c>
      <x:c r="BH32" s="92" t="n">
        <x:f t="shared" si="3"/>
        <x:v>0</x:v>
      </x:c>
      <x:c r="BI32" s="92" t="n">
        <x:f t="shared" si="3"/>
        <x:v>0</x:v>
      </x:c>
      <x:c r="BJ32" s="92" t="n">
        <x:f t="shared" si="3"/>
        <x:v>0</x:v>
      </x:c>
      <x:c r="BK32" s="92" t="n">
        <x:f t="shared" si="3"/>
        <x:v>0</x:v>
      </x:c>
      <x:c r="BL32" s="92" t="n">
        <x:f t="shared" si="3"/>
        <x:v>0</x:v>
      </x:c>
      <x:c r="BM32" s="92" t="n">
        <x:f>SUM(E32:AN32)</x:f>
        <x:v>2575858</x:v>
      </x:c>
    </x:row>
    <x:row r="33" s="57" customFormat="1" ht="68.25" customHeight="1">
      <x:c r="A33" s="120"/>
      <x:c r="B33" s="158" t="s">
        <x:v>171</x:v>
      </x:c>
      <x:c r="C33" s="191" t="s">
        <x:v>172</x:v>
      </x:c>
      <x:c r="D33" s="92" t="s">
        <x:v>62</x:v>
      </x:c>
      <x:c r="E33" s="39" t="n">
        <x:f>'Модель 36 міс'!C40</x:f>
        <x:v>1500</x:v>
      </x:c>
      <x:c r="F33" s="39" t="n">
        <x:f>'Модель 36 міс'!D40</x:f>
        <x:v>1500</x:v>
      </x:c>
      <x:c r="G33" s="39" t="n">
        <x:f>'Модель 36 міс'!E40</x:f>
        <x:v>1500</x:v>
      </x:c>
      <x:c r="H33" s="39" t="n">
        <x:f>'Модель 36 міс'!F40</x:f>
        <x:v>2000</x:v>
      </x:c>
      <x:c r="I33" s="39" t="n">
        <x:f>'Модель 36 міс'!G40</x:f>
        <x:v>2000</x:v>
      </x:c>
      <x:c r="J33" s="39" t="n">
        <x:f>'Модель 36 міс'!H40</x:f>
        <x:v>2000</x:v>
      </x:c>
      <x:c r="K33" s="39" t="n">
        <x:f>'Модель 36 міс'!I40</x:f>
        <x:v>2000</x:v>
      </x:c>
      <x:c r="L33" s="39" t="n">
        <x:f>'Модель 36 міс'!J40</x:f>
        <x:v>2000</x:v>
      </x:c>
      <x:c r="M33" s="39" t="n">
        <x:f>'Модель 36 міс'!K40</x:f>
        <x:v>2500</x:v>
      </x:c>
      <x:c r="N33" s="39" t="n">
        <x:f>'Модель 36 міс'!L40</x:f>
        <x:v>2500</x:v>
      </x:c>
      <x:c r="O33" s="39" t="n">
        <x:f>'Модель 36 міс'!M40</x:f>
        <x:v>2500</x:v>
      </x:c>
      <x:c r="P33" s="39" t="n">
        <x:f>'Модель 36 міс'!N40</x:f>
        <x:v>2500</x:v>
      </x:c>
      <x:c r="Q33" s="39" t="n">
        <x:f>'Модель 36 міс'!O40</x:f>
        <x:v>2500</x:v>
      </x:c>
      <x:c r="R33" s="39" t="n">
        <x:f>'Модель 36 міс'!P40</x:f>
        <x:v>2500</x:v>
      </x:c>
      <x:c r="S33" s="39" t="n">
        <x:f>'Модель 36 міс'!Q40</x:f>
        <x:v>3000</x:v>
      </x:c>
      <x:c r="T33" s="39" t="n">
        <x:f>'Модель 36 міс'!R40</x:f>
        <x:v>3000</x:v>
      </x:c>
      <x:c r="U33" s="39" t="n">
        <x:f>'Модель 36 міс'!S40</x:f>
        <x:v>3000</x:v>
      </x:c>
      <x:c r="V33" s="39" t="n">
        <x:f>'Модель 36 міс'!T40</x:f>
        <x:v>3000</x:v>
      </x:c>
      <x:c r="W33" s="39" t="n">
        <x:f>'Модель 36 міс'!U40</x:f>
        <x:v>3000</x:v>
      </x:c>
      <x:c r="X33" s="39" t="n">
        <x:f>'Модель 36 міс'!V40</x:f>
        <x:v>3000</x:v>
      </x:c>
      <x:c r="Y33" s="39" t="n">
        <x:f>'Модель 36 міс'!W40</x:f>
        <x:v>3500</x:v>
      </x:c>
      <x:c r="Z33" s="39" t="n">
        <x:f>'Модель 36 міс'!X40</x:f>
        <x:v>3500</x:v>
      </x:c>
      <x:c r="AA33" s="39" t="n">
        <x:f>'Модель 36 міс'!Y40</x:f>
        <x:v>3500</x:v>
      </x:c>
      <x:c r="AB33" s="39" t="n">
        <x:f>'Модель 36 міс'!Z40</x:f>
        <x:v>3500</x:v>
      </x:c>
      <x:c r="AC33" s="39" t="n">
        <x:f>'Модель 36 міс'!AA40</x:f>
        <x:v>3500</x:v>
      </x:c>
      <x:c r="AD33" s="39" t="n">
        <x:f>'Модель 36 міс'!AB40</x:f>
        <x:v>3500</x:v>
      </x:c>
      <x:c r="AE33" s="39" t="n">
        <x:f>'Модель 36 міс'!AC40</x:f>
        <x:v>3500</x:v>
      </x:c>
      <x:c r="AF33" s="39" t="n">
        <x:f>'Модель 36 міс'!AD40</x:f>
        <x:v>3500</x:v>
      </x:c>
      <x:c r="AG33" s="39" t="n">
        <x:f>'Модель 36 міс'!AE40</x:f>
        <x:v>3500</x:v>
      </x:c>
      <x:c r="AH33" s="39" t="n">
        <x:f>'Модель 36 міс'!AF40</x:f>
        <x:v>3500</x:v>
      </x:c>
      <x:c r="AI33" s="39" t="n">
        <x:f>'Модель 36 міс'!AG40</x:f>
        <x:v>3500</x:v>
      </x:c>
      <x:c r="AJ33" s="39" t="n">
        <x:f>'Модель 36 міс'!AH40</x:f>
        <x:v>3500</x:v>
      </x:c>
      <x:c r="AK33" s="39" t="n">
        <x:f>'Модель 36 міс'!AI40</x:f>
        <x:v>3500</x:v>
      </x:c>
      <x:c r="AL33" s="39" t="n">
        <x:f>'Модель 36 міс'!AJ40</x:f>
        <x:v>3500</x:v>
      </x:c>
      <x:c r="AM33" s="39" t="n">
        <x:f>'Модель 36 міс'!AK40</x:f>
        <x:v>3500</x:v>
      </x:c>
      <x:c r="AN33" s="39" t="n">
        <x:f>'Модель 36 міс'!AL40</x:f>
        <x:v>3500</x:v>
      </x:c>
      <x:c r="AO33" s="39" t="n">
        <x:v>0</x:v>
      </x:c>
      <x:c r="AP33" s="39" t="n">
        <x:v>0</x:v>
      </x:c>
      <x:c r="AQ33" s="39" t="n">
        <x:v>0</x:v>
      </x:c>
      <x:c r="AR33" s="39" t="n">
        <x:v>0</x:v>
      </x:c>
      <x:c r="AS33" s="39" t="n">
        <x:v>0</x:v>
      </x:c>
      <x:c r="AT33" s="39" t="n">
        <x:v>0</x:v>
      </x:c>
      <x:c r="AU33" s="39" t="n">
        <x:v>0</x:v>
      </x:c>
      <x:c r="AV33" s="39" t="n">
        <x:v>0</x:v>
      </x:c>
      <x:c r="AW33" s="39" t="n">
        <x:v>0</x:v>
      </x:c>
      <x:c r="AX33" s="39" t="n">
        <x:v>0</x:v>
      </x:c>
      <x:c r="AY33" s="39" t="n">
        <x:v>0</x:v>
      </x:c>
      <x:c r="AZ33" s="39" t="n">
        <x:v>0</x:v>
      </x:c>
      <x:c r="BA33" s="39" t="n">
        <x:v>0</x:v>
      </x:c>
      <x:c r="BB33" s="39" t="n">
        <x:v>0</x:v>
      </x:c>
      <x:c r="BC33" s="39" t="n">
        <x:v>0</x:v>
      </x:c>
      <x:c r="BD33" s="39" t="n">
        <x:v>0</x:v>
      </x:c>
      <x:c r="BE33" s="39" t="n">
        <x:v>0</x:v>
      </x:c>
      <x:c r="BF33" s="39" t="n">
        <x:v>0</x:v>
      </x:c>
      <x:c r="BG33" s="39" t="n">
        <x:v>0</x:v>
      </x:c>
      <x:c r="BH33" s="39" t="n">
        <x:v>0</x:v>
      </x:c>
      <x:c r="BI33" s="39" t="n">
        <x:v>0</x:v>
      </x:c>
      <x:c r="BJ33" s="39" t="n">
        <x:v>0</x:v>
      </x:c>
      <x:c r="BK33" s="39" t="n">
        <x:v>0</x:v>
      </x:c>
      <x:c r="BL33" s="39" t="n">
        <x:v>0</x:v>
      </x:c>
      <x:c r="BM33" s="150" t="n">
        <x:f>SUM(E33:AN33)</x:f>
        <x:v>103500</x:v>
      </x:c>
    </x:row>
    <x:row r="34" s="57" customFormat="1" ht="79.5" customHeight="1">
      <x:c r="A34" s="120"/>
      <x:c r="B34" s="158" t="s">
        <x:v>173</x:v>
      </x:c>
      <x:c r="C34" s="187" t="str">
        <x:v>Умовний аванс 360 000 у М1 за 24 місяці; далі 15 000/місяць у М25–М36. Не підтверджено.</x:v>
      </x:c>
      <x:c r="D34" s="92" t="s">
        <x:v>62</x:v>
      </x:c>
      <x:c r="E34" s="39" t="n">
        <x:f>'Модель 36 міс'!C41</x:f>
        <x:v>360000</x:v>
      </x:c>
      <x:c r="F34" s="39" t="n">
        <x:f>'Модель 36 міс'!D41</x:f>
        <x:v>0</x:v>
      </x:c>
      <x:c r="G34" s="39" t="n">
        <x:f>'Модель 36 міс'!E41</x:f>
        <x:v>0</x:v>
      </x:c>
      <x:c r="H34" s="39" t="n">
        <x:f>'Модель 36 міс'!F41</x:f>
        <x:v>0</x:v>
      </x:c>
      <x:c r="I34" s="39" t="n">
        <x:f>'Модель 36 міс'!G41</x:f>
        <x:v>0</x:v>
      </x:c>
      <x:c r="J34" s="39" t="n">
        <x:f>'Модель 36 міс'!H41</x:f>
        <x:v>0</x:v>
      </x:c>
      <x:c r="K34" s="39" t="n">
        <x:f>'Модель 36 міс'!I41</x:f>
        <x:v>0</x:v>
      </x:c>
      <x:c r="L34" s="39" t="n">
        <x:f>'Модель 36 міс'!J41</x:f>
        <x:v>0</x:v>
      </x:c>
      <x:c r="M34" s="39" t="n">
        <x:f>'Модель 36 міс'!K41</x:f>
        <x:v>0</x:v>
      </x:c>
      <x:c r="N34" s="39" t="n">
        <x:f>'Модель 36 міс'!L41</x:f>
        <x:v>0</x:v>
      </x:c>
      <x:c r="O34" s="39" t="n">
        <x:f>'Модель 36 міс'!M41</x:f>
        <x:v>0</x:v>
      </x:c>
      <x:c r="P34" s="39" t="n">
        <x:f>'Модель 36 міс'!N41</x:f>
        <x:v>0</x:v>
      </x:c>
      <x:c r="Q34" s="39" t="n">
        <x:f>'Модель 36 міс'!O41</x:f>
        <x:v>0</x:v>
      </x:c>
      <x:c r="R34" s="39" t="n">
        <x:f>'Модель 36 міс'!P41</x:f>
        <x:v>0</x:v>
      </x:c>
      <x:c r="S34" s="39" t="n">
        <x:f>'Модель 36 міс'!Q41</x:f>
        <x:v>0</x:v>
      </x:c>
      <x:c r="T34" s="39" t="n">
        <x:f>'Модель 36 міс'!R41</x:f>
        <x:v>0</x:v>
      </x:c>
      <x:c r="U34" s="39" t="n">
        <x:f>'Модель 36 міс'!S41</x:f>
        <x:v>0</x:v>
      </x:c>
      <x:c r="V34" s="39" t="n">
        <x:f>'Модель 36 міс'!T41</x:f>
        <x:v>0</x:v>
      </x:c>
      <x:c r="W34" s="39" t="n">
        <x:f>'Модель 36 міс'!U41</x:f>
        <x:v>0</x:v>
      </x:c>
      <x:c r="X34" s="39" t="n">
        <x:f>'Модель 36 міс'!V41</x:f>
        <x:v>0</x:v>
      </x:c>
      <x:c r="Y34" s="39" t="n">
        <x:f>'Модель 36 міс'!W41</x:f>
        <x:v>0</x:v>
      </x:c>
      <x:c r="Z34" s="39" t="n">
        <x:f>'Модель 36 міс'!X41</x:f>
        <x:v>0</x:v>
      </x:c>
      <x:c r="AA34" s="39" t="n">
        <x:f>'Модель 36 міс'!Y41</x:f>
        <x:v>0</x:v>
      </x:c>
      <x:c r="AB34" s="39" t="n">
        <x:f>'Модель 36 міс'!Z41</x:f>
        <x:v>0</x:v>
      </x:c>
      <x:c r="AC34" s="39" t="n">
        <x:f>'Модель 36 міс'!AA41</x:f>
        <x:v>15000</x:v>
      </x:c>
      <x:c r="AD34" s="39" t="n">
        <x:f>'Модель 36 міс'!AB41</x:f>
        <x:v>15000</x:v>
      </x:c>
      <x:c r="AE34" s="39" t="n">
        <x:f>'Модель 36 міс'!AC41</x:f>
        <x:v>15000</x:v>
      </x:c>
      <x:c r="AF34" s="39" t="n">
        <x:f>'Модель 36 міс'!AD41</x:f>
        <x:v>15000</x:v>
      </x:c>
      <x:c r="AG34" s="39" t="n">
        <x:f>'Модель 36 міс'!AE41</x:f>
        <x:v>15000</x:v>
      </x:c>
      <x:c r="AH34" s="39" t="n">
        <x:f>'Модель 36 міс'!AF41</x:f>
        <x:v>15000</x:v>
      </x:c>
      <x:c r="AI34" s="39" t="n">
        <x:f>'Модель 36 міс'!AG41</x:f>
        <x:v>15000</x:v>
      </x:c>
      <x:c r="AJ34" s="39" t="n">
        <x:f>'Модель 36 міс'!AH41</x:f>
        <x:v>15000</x:v>
      </x:c>
      <x:c r="AK34" s="39" t="n">
        <x:f>'Модель 36 міс'!AI41</x:f>
        <x:v>15000</x:v>
      </x:c>
      <x:c r="AL34" s="39" t="n">
        <x:f>'Модель 36 міс'!AJ41</x:f>
        <x:v>15000</x:v>
      </x:c>
      <x:c r="AM34" s="39" t="n">
        <x:f>'Модель 36 міс'!AK41</x:f>
        <x:v>15000</x:v>
      </x:c>
      <x:c r="AN34" s="39" t="n">
        <x:f>'Модель 36 міс'!AL41</x:f>
        <x:v>15000</x:v>
      </x:c>
      <x:c r="AO34" s="39" t="n">
        <x:v>0</x:v>
      </x:c>
      <x:c r="AP34" s="39" t="n">
        <x:v>0</x:v>
      </x:c>
      <x:c r="AQ34" s="39" t="n">
        <x:v>0</x:v>
      </x:c>
      <x:c r="AR34" s="39" t="n">
        <x:v>0</x:v>
      </x:c>
      <x:c r="AS34" s="39" t="n">
        <x:v>0</x:v>
      </x:c>
      <x:c r="AT34" s="39" t="n">
        <x:v>0</x:v>
      </x:c>
      <x:c r="AU34" s="39" t="n">
        <x:v>0</x:v>
      </x:c>
      <x:c r="AV34" s="39" t="n">
        <x:v>0</x:v>
      </x:c>
      <x:c r="AW34" s="39" t="n">
        <x:v>0</x:v>
      </x:c>
      <x:c r="AX34" s="39" t="n">
        <x:v>0</x:v>
      </x:c>
      <x:c r="AY34" s="39" t="n">
        <x:v>0</x:v>
      </x:c>
      <x:c r="AZ34" s="39" t="n">
        <x:v>0</x:v>
      </x:c>
      <x:c r="BA34" s="39" t="n">
        <x:v>0</x:v>
      </x:c>
      <x:c r="BB34" s="39" t="n">
        <x:v>0</x:v>
      </x:c>
      <x:c r="BC34" s="39" t="n">
        <x:v>0</x:v>
      </x:c>
      <x:c r="BD34" s="39" t="n">
        <x:v>0</x:v>
      </x:c>
      <x:c r="BE34" s="39" t="n">
        <x:v>0</x:v>
      </x:c>
      <x:c r="BF34" s="39" t="n">
        <x:v>0</x:v>
      </x:c>
      <x:c r="BG34" s="39" t="n">
        <x:v>0</x:v>
      </x:c>
      <x:c r="BH34" s="39" t="n">
        <x:v>0</x:v>
      </x:c>
      <x:c r="BI34" s="39" t="n">
        <x:v>0</x:v>
      </x:c>
      <x:c r="BJ34" s="39" t="n">
        <x:v>0</x:v>
      </x:c>
      <x:c r="BK34" s="39" t="n">
        <x:v>0</x:v>
      </x:c>
      <x:c r="BL34" s="39" t="n">
        <x:v>0</x:v>
      </x:c>
      <x:c r="BM34" s="150" t="n">
        <x:f t="shared" ref="BM34:BM44" si="4">SUM(E34:AN34)</x:f>
        <x:v>540000</x:v>
      </x:c>
    </x:row>
    <x:row r="35" s="57" customFormat="1" ht="25.5" customHeight="1">
      <x:c r="A35" s="120"/>
      <x:c r="B35" s="159" t="s">
        <x:v>174</x:v>
      </x:c>
      <x:c r="C35" s="107"/>
      <x:c r="D35" s="92" t="s">
        <x:v>62</x:v>
      </x:c>
      <x:c r="E35" s="39" t="n">
        <x:v>0</x:v>
      </x:c>
      <x:c r="F35" s="39" t="n">
        <x:v>0</x:v>
      </x:c>
      <x:c r="G35" s="39" t="n">
        <x:v>0</x:v>
      </x:c>
      <x:c r="H35" s="39" t="n">
        <x:v>0</x:v>
      </x:c>
      <x:c r="I35" s="39" t="n">
        <x:v>0</x:v>
      </x:c>
      <x:c r="J35" s="39" t="n">
        <x:v>0</x:v>
      </x:c>
      <x:c r="K35" s="39" t="n">
        <x:v>0</x:v>
      </x:c>
      <x:c r="L35" s="39" t="n">
        <x:v>0</x:v>
      </x:c>
      <x:c r="M35" s="39" t="n">
        <x:v>0</x:v>
      </x:c>
      <x:c r="N35" s="39" t="n">
        <x:v>0</x:v>
      </x:c>
      <x:c r="O35" s="39" t="n">
        <x:v>0</x:v>
      </x:c>
      <x:c r="P35" s="39" t="n">
        <x:v>0</x:v>
      </x:c>
      <x:c r="Q35" s="39" t="n">
        <x:v>0</x:v>
      </x:c>
      <x:c r="R35" s="39" t="n">
        <x:v>0</x:v>
      </x:c>
      <x:c r="S35" s="39" t="n">
        <x:v>0</x:v>
      </x:c>
      <x:c r="T35" s="39" t="n">
        <x:v>0</x:v>
      </x:c>
      <x:c r="U35" s="39" t="n">
        <x:v>0</x:v>
      </x:c>
      <x:c r="V35" s="39" t="n">
        <x:v>0</x:v>
      </x:c>
      <x:c r="W35" s="39" t="n">
        <x:v>0</x:v>
      </x:c>
      <x:c r="X35" s="39" t="n">
        <x:v>0</x:v>
      </x:c>
      <x:c r="Y35" s="39" t="n">
        <x:v>0</x:v>
      </x:c>
      <x:c r="Z35" s="39" t="n">
        <x:v>0</x:v>
      </x:c>
      <x:c r="AA35" s="39" t="n">
        <x:v>0</x:v>
      </x:c>
      <x:c r="AB35" s="39" t="n">
        <x:v>0</x:v>
      </x:c>
      <x:c r="AC35" s="39" t="n">
        <x:v>0</x:v>
      </x:c>
      <x:c r="AD35" s="39" t="n">
        <x:v>0</x:v>
      </x:c>
      <x:c r="AE35" s="39" t="n">
        <x:v>0</x:v>
      </x:c>
      <x:c r="AF35" s="39" t="n">
        <x:v>0</x:v>
      </x:c>
      <x:c r="AG35" s="39" t="n">
        <x:v>0</x:v>
      </x:c>
      <x:c r="AH35" s="39" t="n">
        <x:v>0</x:v>
      </x:c>
      <x:c r="AI35" s="39" t="n">
        <x:v>0</x:v>
      </x:c>
      <x:c r="AJ35" s="39" t="n">
        <x:v>0</x:v>
      </x:c>
      <x:c r="AK35" s="39" t="n">
        <x:v>0</x:v>
      </x:c>
      <x:c r="AL35" s="39" t="n">
        <x:v>0</x:v>
      </x:c>
      <x:c r="AM35" s="39" t="n">
        <x:v>0</x:v>
      </x:c>
      <x:c r="AN35" s="39" t="n">
        <x:v>0</x:v>
      </x:c>
      <x:c r="AO35" s="39" t="n">
        <x:v>0</x:v>
      </x:c>
      <x:c r="AP35" s="39" t="n">
        <x:v>0</x:v>
      </x:c>
      <x:c r="AQ35" s="39" t="n">
        <x:v>0</x:v>
      </x:c>
      <x:c r="AR35" s="39" t="n">
        <x:v>0</x:v>
      </x:c>
      <x:c r="AS35" s="39" t="n">
        <x:v>0</x:v>
      </x:c>
      <x:c r="AT35" s="39" t="n">
        <x:v>0</x:v>
      </x:c>
      <x:c r="AU35" s="39" t="n">
        <x:v>0</x:v>
      </x:c>
      <x:c r="AV35" s="39" t="n">
        <x:v>0</x:v>
      </x:c>
      <x:c r="AW35" s="39" t="n">
        <x:v>0</x:v>
      </x:c>
      <x:c r="AX35" s="39" t="n">
        <x:v>0</x:v>
      </x:c>
      <x:c r="AY35" s="39" t="n">
        <x:v>0</x:v>
      </x:c>
      <x:c r="AZ35" s="39" t="n">
        <x:v>0</x:v>
      </x:c>
      <x:c r="BA35" s="39" t="n">
        <x:v>0</x:v>
      </x:c>
      <x:c r="BB35" s="39" t="n">
        <x:v>0</x:v>
      </x:c>
      <x:c r="BC35" s="39" t="n">
        <x:v>0</x:v>
      </x:c>
      <x:c r="BD35" s="39" t="n">
        <x:v>0</x:v>
      </x:c>
      <x:c r="BE35" s="39" t="n">
        <x:v>0</x:v>
      </x:c>
      <x:c r="BF35" s="39" t="n">
        <x:v>0</x:v>
      </x:c>
      <x:c r="BG35" s="39" t="n">
        <x:v>0</x:v>
      </x:c>
      <x:c r="BH35" s="39" t="n">
        <x:v>0</x:v>
      </x:c>
      <x:c r="BI35" s="39" t="n">
        <x:v>0</x:v>
      </x:c>
      <x:c r="BJ35" s="39" t="n">
        <x:v>0</x:v>
      </x:c>
      <x:c r="BK35" s="39" t="n">
        <x:v>0</x:v>
      </x:c>
      <x:c r="BL35" s="39" t="n">
        <x:v>0</x:v>
      </x:c>
      <x:c r="BM35" s="150" t="n">
        <x:f t="shared" si="4">SUM(E35:AN35)</x:f>
        <x:v>0</x:v>
      </x:c>
    </x:row>
    <x:row r="36" s="57" customFormat="1" ht="48" customHeight="1">
      <x:c r="A36" s="120"/>
      <x:c r="B36" s="158" t="s">
        <x:v>175</x:v>
      </x:c>
      <x:c r="C36" s="187" t="s">
        <x:v>176</x:v>
      </x:c>
      <x:c r="D36" s="92" t="s">
        <x:v>62</x:v>
      </x:c>
      <x:c r="E36" s="39" t="n">
        <x:f>'Модель 36 міс'!C42</x:f>
        <x:v>300</x:v>
      </x:c>
      <x:c r="F36" s="39" t="n">
        <x:f>'Модель 36 міс'!D42</x:f>
        <x:v>300</x:v>
      </x:c>
      <x:c r="G36" s="39" t="n">
        <x:f>'Модель 36 міс'!E42</x:f>
        <x:v>300</x:v>
      </x:c>
      <x:c r="H36" s="39" t="n">
        <x:f>'Модель 36 міс'!F42</x:f>
        <x:v>300</x:v>
      </x:c>
      <x:c r="I36" s="39" t="n">
        <x:f>'Модель 36 міс'!G42</x:f>
        <x:v>300</x:v>
      </x:c>
      <x:c r="J36" s="39" t="n">
        <x:f>'Модель 36 міс'!H42</x:f>
        <x:v>300</x:v>
      </x:c>
      <x:c r="K36" s="39" t="n">
        <x:f>'Модель 36 міс'!I42</x:f>
        <x:v>300</x:v>
      </x:c>
      <x:c r="L36" s="39" t="n">
        <x:f>'Модель 36 міс'!J42</x:f>
        <x:v>300</x:v>
      </x:c>
      <x:c r="M36" s="39" t="n">
        <x:f>'Модель 36 міс'!K42</x:f>
        <x:v>300</x:v>
      </x:c>
      <x:c r="N36" s="39" t="n">
        <x:f>'Модель 36 міс'!L42</x:f>
        <x:v>300</x:v>
      </x:c>
      <x:c r="O36" s="39" t="n">
        <x:f>'Модель 36 міс'!M42</x:f>
        <x:v>300</x:v>
      </x:c>
      <x:c r="P36" s="39" t="n">
        <x:f>'Модель 36 міс'!N42</x:f>
        <x:v>300</x:v>
      </x:c>
      <x:c r="Q36" s="39" t="n">
        <x:f>'Модель 36 міс'!O42</x:f>
        <x:v>300</x:v>
      </x:c>
      <x:c r="R36" s="39" t="n">
        <x:f>'Модель 36 міс'!P42</x:f>
        <x:v>300</x:v>
      </x:c>
      <x:c r="S36" s="39" t="n">
        <x:f>'Модель 36 міс'!Q42</x:f>
        <x:v>300</x:v>
      </x:c>
      <x:c r="T36" s="39" t="n">
        <x:f>'Модель 36 міс'!R42</x:f>
        <x:v>300</x:v>
      </x:c>
      <x:c r="U36" s="39" t="n">
        <x:f>'Модель 36 міс'!S42</x:f>
        <x:v>300</x:v>
      </x:c>
      <x:c r="V36" s="39" t="n">
        <x:f>'Модель 36 міс'!T42</x:f>
        <x:v>300</x:v>
      </x:c>
      <x:c r="W36" s="39" t="n">
        <x:f>'Модель 36 міс'!U42</x:f>
        <x:v>300</x:v>
      </x:c>
      <x:c r="X36" s="39" t="n">
        <x:f>'Модель 36 міс'!V42</x:f>
        <x:v>300</x:v>
      </x:c>
      <x:c r="Y36" s="39" t="n">
        <x:f>'Модель 36 міс'!W42</x:f>
        <x:v>300</x:v>
      </x:c>
      <x:c r="Z36" s="39" t="n">
        <x:f>'Модель 36 міс'!X42</x:f>
        <x:v>300</x:v>
      </x:c>
      <x:c r="AA36" s="39" t="n">
        <x:f>'Модель 36 міс'!Y42</x:f>
        <x:v>300</x:v>
      </x:c>
      <x:c r="AB36" s="39" t="n">
        <x:f>'Модель 36 міс'!Z42</x:f>
        <x:v>300</x:v>
      </x:c>
      <x:c r="AC36" s="39" t="n">
        <x:f>'Модель 36 міс'!AA42</x:f>
        <x:v>300</x:v>
      </x:c>
      <x:c r="AD36" s="39" t="n">
        <x:f>'Модель 36 міс'!AB42</x:f>
        <x:v>300</x:v>
      </x:c>
      <x:c r="AE36" s="39" t="n">
        <x:f>'Модель 36 міс'!AC42</x:f>
        <x:v>300</x:v>
      </x:c>
      <x:c r="AF36" s="39" t="n">
        <x:f>'Модель 36 міс'!AD42</x:f>
        <x:v>300</x:v>
      </x:c>
      <x:c r="AG36" s="39" t="n">
        <x:f>'Модель 36 міс'!AE42</x:f>
        <x:v>300</x:v>
      </x:c>
      <x:c r="AH36" s="39" t="n">
        <x:f>'Модель 36 міс'!AF42</x:f>
        <x:v>300</x:v>
      </x:c>
      <x:c r="AI36" s="39" t="n">
        <x:f>'Модель 36 міс'!AG42</x:f>
        <x:v>300</x:v>
      </x:c>
      <x:c r="AJ36" s="39" t="n">
        <x:f>'Модель 36 міс'!AH42</x:f>
        <x:v>300</x:v>
      </x:c>
      <x:c r="AK36" s="39" t="n">
        <x:f>'Модель 36 міс'!AI42</x:f>
        <x:v>300</x:v>
      </x:c>
      <x:c r="AL36" s="39" t="n">
        <x:f>'Модель 36 міс'!AJ42</x:f>
        <x:v>300</x:v>
      </x:c>
      <x:c r="AM36" s="39" t="n">
        <x:f>'Модель 36 міс'!AK42</x:f>
        <x:v>300</x:v>
      </x:c>
      <x:c r="AN36" s="39" t="n">
        <x:f>'Модель 36 міс'!AL42</x:f>
        <x:v>300</x:v>
      </x:c>
      <x:c r="AO36" s="39" t="n">
        <x:v>0</x:v>
      </x:c>
      <x:c r="AP36" s="39" t="n">
        <x:v>0</x:v>
      </x:c>
      <x:c r="AQ36" s="39" t="n">
        <x:v>0</x:v>
      </x:c>
      <x:c r="AR36" s="39" t="n">
        <x:v>0</x:v>
      </x:c>
      <x:c r="AS36" s="39" t="n">
        <x:v>0</x:v>
      </x:c>
      <x:c r="AT36" s="39" t="n">
        <x:v>0</x:v>
      </x:c>
      <x:c r="AU36" s="39" t="n">
        <x:v>0</x:v>
      </x:c>
      <x:c r="AV36" s="39" t="n">
        <x:v>0</x:v>
      </x:c>
      <x:c r="AW36" s="39" t="n">
        <x:v>0</x:v>
      </x:c>
      <x:c r="AX36" s="39" t="n">
        <x:v>0</x:v>
      </x:c>
      <x:c r="AY36" s="39" t="n">
        <x:v>0</x:v>
      </x:c>
      <x:c r="AZ36" s="39" t="n">
        <x:v>0</x:v>
      </x:c>
      <x:c r="BA36" s="39" t="n">
        <x:v>0</x:v>
      </x:c>
      <x:c r="BB36" s="39" t="n">
        <x:v>0</x:v>
      </x:c>
      <x:c r="BC36" s="39" t="n">
        <x:v>0</x:v>
      </x:c>
      <x:c r="BD36" s="39" t="n">
        <x:v>0</x:v>
      </x:c>
      <x:c r="BE36" s="39" t="n">
        <x:v>0</x:v>
      </x:c>
      <x:c r="BF36" s="39" t="n">
        <x:v>0</x:v>
      </x:c>
      <x:c r="BG36" s="39" t="n">
        <x:v>0</x:v>
      </x:c>
      <x:c r="BH36" s="39" t="n">
        <x:v>0</x:v>
      </x:c>
      <x:c r="BI36" s="39" t="n">
        <x:v>0</x:v>
      </x:c>
      <x:c r="BJ36" s="39" t="n">
        <x:v>0</x:v>
      </x:c>
      <x:c r="BK36" s="39" t="n">
        <x:v>0</x:v>
      </x:c>
      <x:c r="BL36" s="39" t="n">
        <x:v>0</x:v>
      </x:c>
      <x:c r="BM36" s="150" t="n">
        <x:f t="shared" si="4">SUM(E36:AN36)</x:f>
        <x:v>10800</x:v>
      </x:c>
    </x:row>
    <x:row r="37" s="57" customFormat="1" ht="25.5" customHeight="1">
      <x:c r="A37" s="120"/>
      <x:c r="B37" s="158" t="s">
        <x:v>177</x:v>
      </x:c>
      <x:c r="C37" s="190" t="s">
        <x:v>178</x:v>
      </x:c>
      <x:c r="D37" s="92" t="s">
        <x:v>62</x:v>
      </x:c>
      <x:c r="E37" s="39" t="n">
        <x:f>'Модель 36 міс'!C43</x:f>
        <x:v>3000</x:v>
      </x:c>
      <x:c r="F37" s="39" t="n">
        <x:f>'Модель 36 міс'!D43</x:f>
        <x:v>2000</x:v>
      </x:c>
      <x:c r="G37" s="39" t="n">
        <x:f>'Модель 36 міс'!E43</x:f>
        <x:v>2000</x:v>
      </x:c>
      <x:c r="H37" s="39" t="n">
        <x:f>'Модель 36 міс'!F43</x:f>
        <x:v>2000</x:v>
      </x:c>
      <x:c r="I37" s="39" t="n">
        <x:f>'Модель 36 міс'!G43</x:f>
        <x:v>2200</x:v>
      </x:c>
      <x:c r="J37" s="39" t="n">
        <x:f>'Модель 36 міс'!H43</x:f>
        <x:v>2200</x:v>
      </x:c>
      <x:c r="K37" s="39" t="n">
        <x:f>'Модель 36 міс'!I43</x:f>
        <x:v>2000</x:v>
      </x:c>
      <x:c r="L37" s="39" t="n">
        <x:f>'Модель 36 міс'!J43</x:f>
        <x:v>2000</x:v>
      </x:c>
      <x:c r="M37" s="39" t="n">
        <x:f>'Модель 36 міс'!K43</x:f>
        <x:v>1800</x:v>
      </x:c>
      <x:c r="N37" s="39" t="n">
        <x:f>'Модель 36 міс'!L43</x:f>
        <x:v>1800</x:v>
      </x:c>
      <x:c r="O37" s="39" t="n">
        <x:f>'Модель 36 міс'!M43</x:f>
        <x:v>1800</x:v>
      </x:c>
      <x:c r="P37" s="39" t="n">
        <x:f>'Модель 36 міс'!N43</x:f>
        <x:v>1800</x:v>
      </x:c>
      <x:c r="Q37" s="39" t="n">
        <x:f>'Модель 36 міс'!O43</x:f>
        <x:v>1800</x:v>
      </x:c>
      <x:c r="R37" s="39" t="n">
        <x:f>'Модель 36 міс'!P43</x:f>
        <x:v>2500</x:v>
      </x:c>
      <x:c r="S37" s="39" t="n">
        <x:f>'Модель 36 міс'!Q43</x:f>
        <x:v>2500</x:v>
      </x:c>
      <x:c r="T37" s="39" t="n">
        <x:f>'Модель 36 міс'!R43</x:f>
        <x:v>2500</x:v>
      </x:c>
      <x:c r="U37" s="39" t="n">
        <x:f>'Модель 36 міс'!S43</x:f>
        <x:v>2500</x:v>
      </x:c>
      <x:c r="V37" s="39" t="n">
        <x:f>'Модель 36 міс'!T43</x:f>
        <x:v>2500</x:v>
      </x:c>
      <x:c r="W37" s="39" t="n">
        <x:f>'Модель 36 міс'!U43</x:f>
        <x:v>2200</x:v>
      </x:c>
      <x:c r="X37" s="39" t="n">
        <x:f>'Модель 36 міс'!V43</x:f>
        <x:v>2200</x:v>
      </x:c>
      <x:c r="Y37" s="39" t="n">
        <x:f>'Модель 36 міс'!W43</x:f>
        <x:v>2000</x:v>
      </x:c>
      <x:c r="Z37" s="39" t="n">
        <x:f>'Модель 36 міс'!X43</x:f>
        <x:v>2000</x:v>
      </x:c>
      <x:c r="AA37" s="39" t="n">
        <x:f>'Модель 36 міс'!Y43</x:f>
        <x:v>2000</x:v>
      </x:c>
      <x:c r="AB37" s="39" t="n">
        <x:f>'Модель 36 міс'!Z43</x:f>
        <x:v>2000</x:v>
      </x:c>
      <x:c r="AC37" s="39" t="n">
        <x:f>'Модель 36 міс'!AA43</x:f>
        <x:v>2200</x:v>
      </x:c>
      <x:c r="AD37" s="39" t="n">
        <x:f>'Модель 36 міс'!AB43</x:f>
        <x:v>2200</x:v>
      </x:c>
      <x:c r="AE37" s="39" t="n">
        <x:f>'Модель 36 міс'!AC43</x:f>
        <x:v>2500</x:v>
      </x:c>
      <x:c r="AF37" s="39" t="n">
        <x:f>'Модель 36 міс'!AD43</x:f>
        <x:v>2500</x:v>
      </x:c>
      <x:c r="AG37" s="39" t="n">
        <x:f>'Модель 36 міс'!AE43</x:f>
        <x:v>2500</x:v>
      </x:c>
      <x:c r="AH37" s="39" t="n">
        <x:f>'Модель 36 міс'!AF43</x:f>
        <x:v>2500</x:v>
      </x:c>
      <x:c r="AI37" s="39" t="n">
        <x:f>'Модель 36 міс'!AG43</x:f>
        <x:v>2500</x:v>
      </x:c>
      <x:c r="AJ37" s="39" t="n">
        <x:f>'Модель 36 міс'!AH43</x:f>
        <x:v>2500</x:v>
      </x:c>
      <x:c r="AK37" s="39" t="n">
        <x:f>'Модель 36 міс'!AI43</x:f>
        <x:v>2500</x:v>
      </x:c>
      <x:c r="AL37" s="39" t="n">
        <x:f>'Модель 36 міс'!AJ43</x:f>
        <x:v>2500</x:v>
      </x:c>
      <x:c r="AM37" s="39" t="n">
        <x:f>'Модель 36 міс'!AK43</x:f>
        <x:v>2500</x:v>
      </x:c>
      <x:c r="AN37" s="39" t="n">
        <x:f>'Модель 36 міс'!AL43</x:f>
        <x:v>2500</x:v>
      </x:c>
      <x:c r="AO37" s="39" t="n">
        <x:v>0</x:v>
      </x:c>
      <x:c r="AP37" s="39" t="n">
        <x:v>0</x:v>
      </x:c>
      <x:c r="AQ37" s="39" t="n">
        <x:v>0</x:v>
      </x:c>
      <x:c r="AR37" s="39" t="n">
        <x:v>0</x:v>
      </x:c>
      <x:c r="AS37" s="39" t="n">
        <x:v>0</x:v>
      </x:c>
      <x:c r="AT37" s="39" t="n">
        <x:v>0</x:v>
      </x:c>
      <x:c r="AU37" s="39" t="n">
        <x:v>0</x:v>
      </x:c>
      <x:c r="AV37" s="39" t="n">
        <x:v>0</x:v>
      </x:c>
      <x:c r="AW37" s="39" t="n">
        <x:v>0</x:v>
      </x:c>
      <x:c r="AX37" s="39" t="n">
        <x:v>0</x:v>
      </x:c>
      <x:c r="AY37" s="39" t="n">
        <x:v>0</x:v>
      </x:c>
      <x:c r="AZ37" s="39" t="n">
        <x:v>0</x:v>
      </x:c>
      <x:c r="BA37" s="39" t="n">
        <x:v>0</x:v>
      </x:c>
      <x:c r="BB37" s="39" t="n">
        <x:v>0</x:v>
      </x:c>
      <x:c r="BC37" s="39" t="n">
        <x:v>0</x:v>
      </x:c>
      <x:c r="BD37" s="39" t="n">
        <x:v>0</x:v>
      </x:c>
      <x:c r="BE37" s="39" t="n">
        <x:v>0</x:v>
      </x:c>
      <x:c r="BF37" s="39" t="n">
        <x:v>0</x:v>
      </x:c>
      <x:c r="BG37" s="39" t="n">
        <x:v>0</x:v>
      </x:c>
      <x:c r="BH37" s="39" t="n">
        <x:v>0</x:v>
      </x:c>
      <x:c r="BI37" s="39" t="n">
        <x:v>0</x:v>
      </x:c>
      <x:c r="BJ37" s="39" t="n">
        <x:v>0</x:v>
      </x:c>
      <x:c r="BK37" s="39" t="n">
        <x:v>0</x:v>
      </x:c>
      <x:c r="BL37" s="39" t="n">
        <x:v>0</x:v>
      </x:c>
      <x:c r="BM37" s="150" t="n">
        <x:f t="shared" si="4">SUM(E37:AN37)</x:f>
        <x:v>80700</x:v>
      </x:c>
    </x:row>
    <x:row r="38" s="57" customFormat="1" ht="21" customHeight="1">
      <x:c r="A38" s="120"/>
      <x:c r="B38" s="158" t="s">
        <x:v>179</x:v>
      </x:c>
      <x:c r="C38" s="107"/>
      <x:c r="D38" s="92" t="s">
        <x:v>62</x:v>
      </x:c>
      <x:c r="E38" s="39" t="n">
        <x:v>0</x:v>
      </x:c>
      <x:c r="F38" s="39" t="n">
        <x:v>0</x:v>
      </x:c>
      <x:c r="G38" s="39" t="n">
        <x:v>0</x:v>
      </x:c>
      <x:c r="H38" s="39" t="n">
        <x:v>0</x:v>
      </x:c>
      <x:c r="I38" s="39" t="n">
        <x:v>0</x:v>
      </x:c>
      <x:c r="J38" s="39" t="n">
        <x:v>0</x:v>
      </x:c>
      <x:c r="K38" s="39" t="n">
        <x:v>0</x:v>
      </x:c>
      <x:c r="L38" s="39" t="n">
        <x:v>0</x:v>
      </x:c>
      <x:c r="M38" s="39" t="n">
        <x:v>0</x:v>
      </x:c>
      <x:c r="N38" s="39" t="n">
        <x:v>0</x:v>
      </x:c>
      <x:c r="O38" s="39" t="n">
        <x:v>0</x:v>
      </x:c>
      <x:c r="P38" s="39" t="n">
        <x:v>0</x:v>
      </x:c>
      <x:c r="Q38" s="39" t="n">
        <x:v>0</x:v>
      </x:c>
      <x:c r="R38" s="39" t="n">
        <x:v>0</x:v>
      </x:c>
      <x:c r="S38" s="39" t="n">
        <x:v>0</x:v>
      </x:c>
      <x:c r="T38" s="39" t="n">
        <x:v>0</x:v>
      </x:c>
      <x:c r="U38" s="39" t="n">
        <x:v>0</x:v>
      </x:c>
      <x:c r="V38" s="39" t="n">
        <x:v>0</x:v>
      </x:c>
      <x:c r="W38" s="39" t="n">
        <x:v>0</x:v>
      </x:c>
      <x:c r="X38" s="39" t="n">
        <x:v>0</x:v>
      </x:c>
      <x:c r="Y38" s="39" t="n">
        <x:v>0</x:v>
      </x:c>
      <x:c r="Z38" s="39" t="n">
        <x:v>0</x:v>
      </x:c>
      <x:c r="AA38" s="39" t="n">
        <x:v>0</x:v>
      </x:c>
      <x:c r="AB38" s="39" t="n">
        <x:v>0</x:v>
      </x:c>
      <x:c r="AC38" s="39" t="n">
        <x:v>0</x:v>
      </x:c>
      <x:c r="AD38" s="39" t="n">
        <x:v>0</x:v>
      </x:c>
      <x:c r="AE38" s="39" t="n">
        <x:v>0</x:v>
      </x:c>
      <x:c r="AF38" s="39" t="n">
        <x:v>0</x:v>
      </x:c>
      <x:c r="AG38" s="39" t="n">
        <x:v>0</x:v>
      </x:c>
      <x:c r="AH38" s="39" t="n">
        <x:v>0</x:v>
      </x:c>
      <x:c r="AI38" s="39" t="n">
        <x:v>0</x:v>
      </x:c>
      <x:c r="AJ38" s="39" t="n">
        <x:v>0</x:v>
      </x:c>
      <x:c r="AK38" s="39" t="n">
        <x:v>0</x:v>
      </x:c>
      <x:c r="AL38" s="39" t="n">
        <x:v>0</x:v>
      </x:c>
      <x:c r="AM38" s="39" t="n">
        <x:v>0</x:v>
      </x:c>
      <x:c r="AN38" s="39" t="n">
        <x:v>0</x:v>
      </x:c>
      <x:c r="AO38" s="39" t="n">
        <x:v>0</x:v>
      </x:c>
      <x:c r="AP38" s="39" t="n">
        <x:v>0</x:v>
      </x:c>
      <x:c r="AQ38" s="39" t="n">
        <x:v>0</x:v>
      </x:c>
      <x:c r="AR38" s="39" t="n">
        <x:v>0</x:v>
      </x:c>
      <x:c r="AS38" s="39" t="n">
        <x:v>0</x:v>
      </x:c>
      <x:c r="AT38" s="39" t="n">
        <x:v>0</x:v>
      </x:c>
      <x:c r="AU38" s="39" t="n">
        <x:v>0</x:v>
      </x:c>
      <x:c r="AV38" s="39" t="n">
        <x:v>0</x:v>
      </x:c>
      <x:c r="AW38" s="39" t="n">
        <x:v>0</x:v>
      </x:c>
      <x:c r="AX38" s="39" t="n">
        <x:v>0</x:v>
      </x:c>
      <x:c r="AY38" s="39" t="n">
        <x:v>0</x:v>
      </x:c>
      <x:c r="AZ38" s="39" t="n">
        <x:v>0</x:v>
      </x:c>
      <x:c r="BA38" s="39" t="n">
        <x:v>0</x:v>
      </x:c>
      <x:c r="BB38" s="39" t="n">
        <x:v>0</x:v>
      </x:c>
      <x:c r="BC38" s="39" t="n">
        <x:v>0</x:v>
      </x:c>
      <x:c r="BD38" s="39" t="n">
        <x:v>0</x:v>
      </x:c>
      <x:c r="BE38" s="39" t="n">
        <x:v>0</x:v>
      </x:c>
      <x:c r="BF38" s="39" t="n">
        <x:v>0</x:v>
      </x:c>
      <x:c r="BG38" s="39" t="n">
        <x:v>0</x:v>
      </x:c>
      <x:c r="BH38" s="39" t="n">
        <x:v>0</x:v>
      </x:c>
      <x:c r="BI38" s="39" t="n">
        <x:v>0</x:v>
      </x:c>
      <x:c r="BJ38" s="39" t="n">
        <x:v>0</x:v>
      </x:c>
      <x:c r="BK38" s="39" t="n">
        <x:v>0</x:v>
      </x:c>
      <x:c r="BL38" s="39" t="n">
        <x:v>0</x:v>
      </x:c>
      <x:c r="BM38" s="150" t="n">
        <x:f t="shared" si="4">SUM(E38:AN38)</x:f>
        <x:v>0</x:v>
      </x:c>
    </x:row>
    <x:row r="39" s="57" customFormat="1" ht="64.5" customHeight="1">
      <x:c r="A39" s="120"/>
      <x:c r="B39" s="158" t="s">
        <x:v>180</x:v>
      </x:c>
      <x:c r="C39" s="188" t="s">
        <x:v>181</x:v>
      </x:c>
      <x:c r="D39" s="92" t="s">
        <x:v>62</x:v>
      </x:c>
      <x:c r="E39" s="39" t="n">
        <x:f>'Модель 36 міс'!C45</x:f>
        <x:v>179000</x:v>
      </x:c>
      <x:c r="F39" s="39" t="n">
        <x:f>'Модель 36 міс'!D45</x:f>
        <x:v>0</x:v>
      </x:c>
      <x:c r="G39" s="39" t="n">
        <x:f>'Модель 36 міс'!E45</x:f>
        <x:v>0</x:v>
      </x:c>
      <x:c r="H39" s="39" t="n">
        <x:f>'Модель 36 міс'!F45</x:f>
        <x:v>0</x:v>
      </x:c>
      <x:c r="I39" s="39" t="n">
        <x:f>'Модель 36 міс'!G45</x:f>
        <x:v>0</x:v>
      </x:c>
      <x:c r="J39" s="39" t="n">
        <x:f>'Модель 36 міс'!H45</x:f>
        <x:v>0</x:v>
      </x:c>
      <x:c r="K39" s="39" t="n">
        <x:f>'Модель 36 міс'!I45</x:f>
        <x:v>0</x:v>
      </x:c>
      <x:c r="L39" s="39" t="n">
        <x:f>'Модель 36 міс'!J45</x:f>
        <x:v>0</x:v>
      </x:c>
      <x:c r="M39" s="39" t="n">
        <x:f>'Модель 36 міс'!K45</x:f>
        <x:v>0</x:v>
      </x:c>
      <x:c r="N39" s="39" t="n">
        <x:f>'Модель 36 міс'!L45</x:f>
        <x:v>0</x:v>
      </x:c>
      <x:c r="O39" s="39" t="n">
        <x:f>'Модель 36 міс'!M45</x:f>
        <x:v>0</x:v>
      </x:c>
      <x:c r="P39" s="39" t="n">
        <x:f>'Модель 36 міс'!N45</x:f>
        <x:v>0</x:v>
      </x:c>
      <x:c r="Q39" s="39" t="n">
        <x:f>'Модель 36 міс'!O45</x:f>
        <x:v>0</x:v>
      </x:c>
      <x:c r="R39" s="39" t="n">
        <x:f>'Модель 36 міс'!P45</x:f>
        <x:v>0</x:v>
      </x:c>
      <x:c r="S39" s="39" t="n">
        <x:f>'Модель 36 міс'!Q45</x:f>
        <x:v>0</x:v>
      </x:c>
      <x:c r="T39" s="39" t="n">
        <x:f>'Модель 36 міс'!R45</x:f>
        <x:v>0</x:v>
      </x:c>
      <x:c r="U39" s="39" t="n">
        <x:f>'Модель 36 міс'!S45</x:f>
        <x:v>0</x:v>
      </x:c>
      <x:c r="V39" s="39" t="n">
        <x:f>'Модель 36 міс'!T45</x:f>
        <x:v>0</x:v>
      </x:c>
      <x:c r="W39" s="39" t="n">
        <x:f>'Модель 36 міс'!U45</x:f>
        <x:v>0</x:v>
      </x:c>
      <x:c r="X39" s="39" t="n">
        <x:f>'Модель 36 міс'!V45</x:f>
        <x:v>0</x:v>
      </x:c>
      <x:c r="Y39" s="39" t="n">
        <x:f>'Модель 36 міс'!W45</x:f>
        <x:v>0</x:v>
      </x:c>
      <x:c r="Z39" s="39" t="n">
        <x:f>'Модель 36 міс'!X45</x:f>
        <x:v>0</x:v>
      </x:c>
      <x:c r="AA39" s="39" t="n">
        <x:f>'Модель 36 міс'!Y45</x:f>
        <x:v>0</x:v>
      </x:c>
      <x:c r="AB39" s="39" t="n">
        <x:f>'Модель 36 міс'!Z45</x:f>
        <x:v>0</x:v>
      </x:c>
      <x:c r="AC39" s="39" t="n">
        <x:f>'Модель 36 міс'!AA45</x:f>
        <x:v>0</x:v>
      </x:c>
      <x:c r="AD39" s="39" t="n">
        <x:f>'Модель 36 міс'!AB45</x:f>
        <x:v>0</x:v>
      </x:c>
      <x:c r="AE39" s="39" t="n">
        <x:f>'Модель 36 міс'!AC45</x:f>
        <x:v>0</x:v>
      </x:c>
      <x:c r="AF39" s="39" t="n">
        <x:f>'Модель 36 міс'!AD45</x:f>
        <x:v>0</x:v>
      </x:c>
      <x:c r="AG39" s="39" t="n">
        <x:f>'Модель 36 міс'!AE45</x:f>
        <x:v>0</x:v>
      </x:c>
      <x:c r="AH39" s="39" t="n">
        <x:f>'Модель 36 міс'!AF45</x:f>
        <x:v>0</x:v>
      </x:c>
      <x:c r="AI39" s="39" t="n">
        <x:f>'Модель 36 міс'!AG45</x:f>
        <x:v>0</x:v>
      </x:c>
      <x:c r="AJ39" s="39" t="n">
        <x:f>'Модель 36 міс'!AH45</x:f>
        <x:v>0</x:v>
      </x:c>
      <x:c r="AK39" s="39" t="n">
        <x:f>'Модель 36 міс'!AI45</x:f>
        <x:v>0</x:v>
      </x:c>
      <x:c r="AL39" s="39" t="n">
        <x:f>'Модель 36 міс'!AJ45</x:f>
        <x:v>0</x:v>
      </x:c>
      <x:c r="AM39" s="39" t="n">
        <x:f>'Модель 36 міс'!AK45</x:f>
        <x:v>0</x:v>
      </x:c>
      <x:c r="AN39" s="39" t="n">
        <x:f>'Модель 36 міс'!AL45</x:f>
        <x:v>0</x:v>
      </x:c>
      <x:c r="AO39" s="39" t="n">
        <x:v>0</x:v>
      </x:c>
      <x:c r="AP39" s="39" t="n">
        <x:v>0</x:v>
      </x:c>
      <x:c r="AQ39" s="39" t="n">
        <x:v>0</x:v>
      </x:c>
      <x:c r="AR39" s="39" t="n">
        <x:v>0</x:v>
      </x:c>
      <x:c r="AS39" s="39" t="n">
        <x:v>0</x:v>
      </x:c>
      <x:c r="AT39" s="39" t="n">
        <x:v>0</x:v>
      </x:c>
      <x:c r="AU39" s="39" t="n">
        <x:v>0</x:v>
      </x:c>
      <x:c r="AV39" s="39" t="n">
        <x:v>0</x:v>
      </x:c>
      <x:c r="AW39" s="39" t="n">
        <x:v>0</x:v>
      </x:c>
      <x:c r="AX39" s="39" t="n">
        <x:v>0</x:v>
      </x:c>
      <x:c r="AY39" s="39" t="n">
        <x:v>0</x:v>
      </x:c>
      <x:c r="AZ39" s="39" t="n">
        <x:v>0</x:v>
      </x:c>
      <x:c r="BA39" s="39" t="n">
        <x:v>0</x:v>
      </x:c>
      <x:c r="BB39" s="39" t="n">
        <x:v>0</x:v>
      </x:c>
      <x:c r="BC39" s="39" t="n">
        <x:v>0</x:v>
      </x:c>
      <x:c r="BD39" s="39" t="n">
        <x:v>0</x:v>
      </x:c>
      <x:c r="BE39" s="39" t="n">
        <x:v>0</x:v>
      </x:c>
      <x:c r="BF39" s="39" t="n">
        <x:v>0</x:v>
      </x:c>
      <x:c r="BG39" s="39" t="n">
        <x:v>0</x:v>
      </x:c>
      <x:c r="BH39" s="39" t="n">
        <x:v>0</x:v>
      </x:c>
      <x:c r="BI39" s="39" t="n">
        <x:v>0</x:v>
      </x:c>
      <x:c r="BJ39" s="39" t="n">
        <x:v>0</x:v>
      </x:c>
      <x:c r="BK39" s="39" t="n">
        <x:v>0</x:v>
      </x:c>
      <x:c r="BL39" s="39" t="n">
        <x:v>0</x:v>
      </x:c>
      <x:c r="BM39" s="150" t="n">
        <x:f t="shared" si="4">SUM(E39:AN39)</x:f>
        <x:v>179000</x:v>
      </x:c>
    </x:row>
    <x:row r="40" s="57" customFormat="1" ht="42.75" customHeight="1">
      <x:c r="A40" s="120"/>
      <x:c r="B40" s="160" t="s">
        <x:v>182</x:v>
      </x:c>
      <x:c r="C40" s="188" t="s">
        <x:v>183</x:v>
      </x:c>
      <x:c r="D40" s="92" t="s">
        <x:v>62</x:v>
      </x:c>
      <x:c r="E40" s="39" t="n">
        <x:f>'Модель 36 міс'!C44</x:f>
        <x:v>350</x:v>
      </x:c>
      <x:c r="F40" s="39" t="n">
        <x:f>'Модель 36 міс'!D44</x:f>
        <x:v>350</x:v>
      </x:c>
      <x:c r="G40" s="39" t="n">
        <x:f>'Модель 36 міс'!E44</x:f>
        <x:v>350</x:v>
      </x:c>
      <x:c r="H40" s="39" t="n">
        <x:f>'Модель 36 міс'!F44</x:f>
        <x:v>350</x:v>
      </x:c>
      <x:c r="I40" s="39" t="n">
        <x:f>'Модель 36 міс'!G44</x:f>
        <x:v>350</x:v>
      </x:c>
      <x:c r="J40" s="39" t="n">
        <x:f>'Модель 36 міс'!H44</x:f>
        <x:v>350</x:v>
      </x:c>
      <x:c r="K40" s="39" t="n">
        <x:f>'Модель 36 міс'!I44</x:f>
        <x:v>350</x:v>
      </x:c>
      <x:c r="L40" s="39" t="n">
        <x:f>'Модель 36 міс'!J44</x:f>
        <x:v>350</x:v>
      </x:c>
      <x:c r="M40" s="39" t="n">
        <x:f>'Модель 36 міс'!K44</x:f>
        <x:v>400</x:v>
      </x:c>
      <x:c r="N40" s="39" t="n">
        <x:f>'Модель 36 міс'!L44</x:f>
        <x:v>400</x:v>
      </x:c>
      <x:c r="O40" s="39" t="n">
        <x:f>'Модель 36 міс'!M44</x:f>
        <x:v>400</x:v>
      </x:c>
      <x:c r="P40" s="39" t="n">
        <x:f>'Модель 36 міс'!N44</x:f>
        <x:v>400</x:v>
      </x:c>
      <x:c r="Q40" s="39" t="n">
        <x:f>'Модель 36 міс'!O44</x:f>
        <x:v>400</x:v>
      </x:c>
      <x:c r="R40" s="39" t="n">
        <x:f>'Модель 36 міс'!P44</x:f>
        <x:v>400</x:v>
      </x:c>
      <x:c r="S40" s="39" t="n">
        <x:f>'Модель 36 міс'!Q44</x:f>
        <x:v>450</x:v>
      </x:c>
      <x:c r="T40" s="39" t="n">
        <x:f>'Модель 36 міс'!R44</x:f>
        <x:v>450</x:v>
      </x:c>
      <x:c r="U40" s="39" t="n">
        <x:f>'Модель 36 міс'!S44</x:f>
        <x:v>450</x:v>
      </x:c>
      <x:c r="V40" s="39" t="n">
        <x:f>'Модель 36 міс'!T44</x:f>
        <x:v>450</x:v>
      </x:c>
      <x:c r="W40" s="39" t="n">
        <x:f>'Модель 36 міс'!U44</x:f>
        <x:v>450</x:v>
      </x:c>
      <x:c r="X40" s="39" t="n">
        <x:f>'Модель 36 міс'!V44</x:f>
        <x:v>450</x:v>
      </x:c>
      <x:c r="Y40" s="39" t="n">
        <x:f>'Модель 36 міс'!W44</x:f>
        <x:v>450</x:v>
      </x:c>
      <x:c r="Z40" s="39" t="n">
        <x:f>'Модель 36 міс'!X44</x:f>
        <x:v>450</x:v>
      </x:c>
      <x:c r="AA40" s="39" t="n">
        <x:f>'Модель 36 міс'!Y44</x:f>
        <x:v>450</x:v>
      </x:c>
      <x:c r="AB40" s="39" t="n">
        <x:f>'Модель 36 міс'!Z44</x:f>
        <x:v>450</x:v>
      </x:c>
      <x:c r="AC40" s="39" t="n">
        <x:f>'Модель 36 міс'!AA44</x:f>
        <x:v>450</x:v>
      </x:c>
      <x:c r="AD40" s="39" t="n">
        <x:f>'Модель 36 міс'!AB44</x:f>
        <x:v>450</x:v>
      </x:c>
      <x:c r="AE40" s="39" t="n">
        <x:f>'Модель 36 міс'!AC44</x:f>
        <x:v>450</x:v>
      </x:c>
      <x:c r="AF40" s="39" t="n">
        <x:f>'Модель 36 міс'!AD44</x:f>
        <x:v>450</x:v>
      </x:c>
      <x:c r="AG40" s="39" t="n">
        <x:f>'Модель 36 міс'!AE44</x:f>
        <x:v>450</x:v>
      </x:c>
      <x:c r="AH40" s="39" t="n">
        <x:f>'Модель 36 міс'!AF44</x:f>
        <x:v>450</x:v>
      </x:c>
      <x:c r="AI40" s="39" t="n">
        <x:f>'Модель 36 міс'!AG44</x:f>
        <x:v>450</x:v>
      </x:c>
      <x:c r="AJ40" s="39" t="n">
        <x:f>'Модель 36 міс'!AH44</x:f>
        <x:v>450</x:v>
      </x:c>
      <x:c r="AK40" s="39" t="n">
        <x:f>'Модель 36 міс'!AI44</x:f>
        <x:v>450</x:v>
      </x:c>
      <x:c r="AL40" s="39" t="n">
        <x:f>'Модель 36 міс'!AJ44</x:f>
        <x:v>450</x:v>
      </x:c>
      <x:c r="AM40" s="39" t="n">
        <x:f>'Модель 36 міс'!AK44</x:f>
        <x:v>450</x:v>
      </x:c>
      <x:c r="AN40" s="39" t="n">
        <x:f>'Модель 36 міс'!AL44</x:f>
        <x:v>450</x:v>
      </x:c>
      <x:c r="AO40" s="39" t="n">
        <x:v>0</x:v>
      </x:c>
      <x:c r="AP40" s="39" t="n">
        <x:v>0</x:v>
      </x:c>
      <x:c r="AQ40" s="39" t="n">
        <x:v>0</x:v>
      </x:c>
      <x:c r="AR40" s="39" t="n">
        <x:v>0</x:v>
      </x:c>
      <x:c r="AS40" s="39" t="n">
        <x:v>0</x:v>
      </x:c>
      <x:c r="AT40" s="39" t="n">
        <x:v>0</x:v>
      </x:c>
      <x:c r="AU40" s="39" t="n">
        <x:v>0</x:v>
      </x:c>
      <x:c r="AV40" s="39" t="n">
        <x:v>0</x:v>
      </x:c>
      <x:c r="AW40" s="39" t="n">
        <x:v>0</x:v>
      </x:c>
      <x:c r="AX40" s="39" t="n">
        <x:v>0</x:v>
      </x:c>
      <x:c r="AY40" s="39" t="n">
        <x:v>0</x:v>
      </x:c>
      <x:c r="AZ40" s="39" t="n">
        <x:v>0</x:v>
      </x:c>
      <x:c r="BA40" s="39" t="n">
        <x:v>0</x:v>
      </x:c>
      <x:c r="BB40" s="39" t="n">
        <x:v>0</x:v>
      </x:c>
      <x:c r="BC40" s="39" t="n">
        <x:v>0</x:v>
      </x:c>
      <x:c r="BD40" s="39" t="n">
        <x:v>0</x:v>
      </x:c>
      <x:c r="BE40" s="39" t="n">
        <x:v>0</x:v>
      </x:c>
      <x:c r="BF40" s="39" t="n">
        <x:v>0</x:v>
      </x:c>
      <x:c r="BG40" s="39" t="n">
        <x:v>0</x:v>
      </x:c>
      <x:c r="BH40" s="39" t="n">
        <x:v>0</x:v>
      </x:c>
      <x:c r="BI40" s="39" t="n">
        <x:v>0</x:v>
      </x:c>
      <x:c r="BJ40" s="39" t="n">
        <x:v>0</x:v>
      </x:c>
      <x:c r="BK40" s="39" t="n">
        <x:v>0</x:v>
      </x:c>
      <x:c r="BL40" s="39" t="n">
        <x:v>0</x:v>
      </x:c>
      <x:c r="BM40" s="150" t="n">
        <x:f t="shared" si="4">SUM(E40:AN40)</x:f>
        <x:v>15100</x:v>
      </x:c>
    </x:row>
    <x:row r="41" s="57" customFormat="1" ht="184.5" customHeight="1">
      <x:c r="A41" s="120"/>
      <x:c r="B41" s="158" t="s">
        <x:v>184</x:v>
      </x:c>
      <x:c r="C41" s="187" t="s">
        <x:v>185</x:v>
      </x:c>
      <x:c r="D41" s="92" t="s">
        <x:v>62</x:v>
      </x:c>
      <x:c r="E41" s="39" t="n">
        <x:f>'Модель 36 міс'!C46</x:f>
        <x:v>369140</x:v>
      </x:c>
      <x:c r="F41" s="39" t="n">
        <x:f>'Модель 36 міс'!D46</x:f>
        <x:v>0</x:v>
      </x:c>
      <x:c r="G41" s="39" t="n">
        <x:f>'Модель 36 міс'!E46</x:f>
        <x:v>0</x:v>
      </x:c>
      <x:c r="H41" s="39" t="n">
        <x:f>'Модель 36 міс'!F46</x:f>
        <x:v>0</x:v>
      </x:c>
      <x:c r="I41" s="39" t="n">
        <x:f>'Модель 36 міс'!G46</x:f>
        <x:v>0</x:v>
      </x:c>
      <x:c r="J41" s="39" t="n">
        <x:f>'Модель 36 міс'!H46</x:f>
        <x:v>0</x:v>
      </x:c>
      <x:c r="K41" s="39" t="n">
        <x:f>'Модель 36 міс'!I46</x:f>
        <x:v>0</x:v>
      </x:c>
      <x:c r="L41" s="39" t="n">
        <x:f>'Модель 36 міс'!J46</x:f>
        <x:v>0</x:v>
      </x:c>
      <x:c r="M41" s="39" t="n">
        <x:f>'Модель 36 міс'!K46</x:f>
        <x:v>0</x:v>
      </x:c>
      <x:c r="N41" s="39" t="n">
        <x:f>'Модель 36 міс'!L46</x:f>
        <x:v>0</x:v>
      </x:c>
      <x:c r="O41" s="39" t="n">
        <x:f>'Модель 36 міс'!M46</x:f>
        <x:v>0</x:v>
      </x:c>
      <x:c r="P41" s="39" t="n">
        <x:f>'Модель 36 міс'!N46</x:f>
        <x:v>0</x:v>
      </x:c>
      <x:c r="Q41" s="39" t="n">
        <x:f>'Модель 36 міс'!O46</x:f>
        <x:v>0</x:v>
      </x:c>
      <x:c r="R41" s="39" t="n">
        <x:f>'Модель 36 міс'!P46</x:f>
        <x:v>0</x:v>
      </x:c>
      <x:c r="S41" s="39" t="n">
        <x:f>'Модель 36 міс'!Q46</x:f>
        <x:v>0</x:v>
      </x:c>
      <x:c r="T41" s="39" t="n">
        <x:f>'Модель 36 міс'!R46</x:f>
        <x:v>0</x:v>
      </x:c>
      <x:c r="U41" s="39" t="n">
        <x:f>'Модель 36 міс'!S46</x:f>
        <x:v>0</x:v>
      </x:c>
      <x:c r="V41" s="39" t="n">
        <x:f>'Модель 36 міс'!T46</x:f>
        <x:v>0</x:v>
      </x:c>
      <x:c r="W41" s="39" t="n">
        <x:f>'Модель 36 міс'!U46</x:f>
        <x:v>0</x:v>
      </x:c>
      <x:c r="X41" s="39" t="n">
        <x:f>'Модель 36 міс'!V46</x:f>
        <x:v>0</x:v>
      </x:c>
      <x:c r="Y41" s="39" t="n">
        <x:f>'Модель 36 міс'!W46</x:f>
        <x:v>0</x:v>
      </x:c>
      <x:c r="Z41" s="39" t="n">
        <x:f>'Модель 36 міс'!X46</x:f>
        <x:v>0</x:v>
      </x:c>
      <x:c r="AA41" s="39" t="n">
        <x:f>'Модель 36 міс'!Y46</x:f>
        <x:v>0</x:v>
      </x:c>
      <x:c r="AB41" s="39" t="n">
        <x:f>'Модель 36 міс'!Z46</x:f>
        <x:v>0</x:v>
      </x:c>
      <x:c r="AC41" s="39" t="n">
        <x:f>'Модель 36 міс'!AA46</x:f>
        <x:v>0</x:v>
      </x:c>
      <x:c r="AD41" s="39" t="n">
        <x:f>'Модель 36 міс'!AB46</x:f>
        <x:v>0</x:v>
      </x:c>
      <x:c r="AE41" s="39" t="n">
        <x:f>'Модель 36 міс'!AC46</x:f>
        <x:v>0</x:v>
      </x:c>
      <x:c r="AF41" s="39" t="n">
        <x:f>'Модель 36 міс'!AD46</x:f>
        <x:v>0</x:v>
      </x:c>
      <x:c r="AG41" s="39" t="n">
        <x:f>'Модель 36 міс'!AE46</x:f>
        <x:v>0</x:v>
      </x:c>
      <x:c r="AH41" s="39" t="n">
        <x:f>'Модель 36 міс'!AF46</x:f>
        <x:v>0</x:v>
      </x:c>
      <x:c r="AI41" s="39" t="n">
        <x:f>'Модель 36 міс'!AG46</x:f>
        <x:v>0</x:v>
      </x:c>
      <x:c r="AJ41" s="39" t="n">
        <x:f>'Модель 36 міс'!AH46</x:f>
        <x:v>0</x:v>
      </x:c>
      <x:c r="AK41" s="39" t="n">
        <x:f>'Модель 36 міс'!AI46</x:f>
        <x:v>0</x:v>
      </x:c>
      <x:c r="AL41" s="39" t="n">
        <x:f>'Модель 36 міс'!AJ46</x:f>
        <x:v>0</x:v>
      </x:c>
      <x:c r="AM41" s="39" t="n">
        <x:f>'Модель 36 міс'!AK46</x:f>
        <x:v>0</x:v>
      </x:c>
      <x:c r="AN41" s="39" t="n">
        <x:f>'Модель 36 міс'!AL46</x:f>
        <x:v>0</x:v>
      </x:c>
      <x:c r="AO41" s="39" t="n">
        <x:v>0</x:v>
      </x:c>
      <x:c r="AP41" s="39" t="n">
        <x:v>0</x:v>
      </x:c>
      <x:c r="AQ41" s="39" t="n">
        <x:v>0</x:v>
      </x:c>
      <x:c r="AR41" s="39" t="n">
        <x:v>0</x:v>
      </x:c>
      <x:c r="AS41" s="39" t="n">
        <x:v>0</x:v>
      </x:c>
      <x:c r="AT41" s="39" t="n">
        <x:v>0</x:v>
      </x:c>
      <x:c r="AU41" s="39" t="n">
        <x:v>0</x:v>
      </x:c>
      <x:c r="AV41" s="39" t="n">
        <x:v>0</x:v>
      </x:c>
      <x:c r="AW41" s="39" t="n">
        <x:v>0</x:v>
      </x:c>
      <x:c r="AX41" s="39" t="n">
        <x:v>0</x:v>
      </x:c>
      <x:c r="AY41" s="39" t="n">
        <x:v>0</x:v>
      </x:c>
      <x:c r="AZ41" s="39" t="n">
        <x:v>0</x:v>
      </x:c>
      <x:c r="BA41" s="39" t="n">
        <x:v>0</x:v>
      </x:c>
      <x:c r="BB41" s="39" t="n">
        <x:v>0</x:v>
      </x:c>
      <x:c r="BC41" s="39" t="n">
        <x:v>0</x:v>
      </x:c>
      <x:c r="BD41" s="39" t="n">
        <x:v>0</x:v>
      </x:c>
      <x:c r="BE41" s="39" t="n">
        <x:v>0</x:v>
      </x:c>
      <x:c r="BF41" s="39" t="n">
        <x:v>0</x:v>
      </x:c>
      <x:c r="BG41" s="39" t="n">
        <x:v>0</x:v>
      </x:c>
      <x:c r="BH41" s="39" t="n">
        <x:v>0</x:v>
      </x:c>
      <x:c r="BI41" s="39" t="n">
        <x:v>0</x:v>
      </x:c>
      <x:c r="BJ41" s="39" t="n">
        <x:v>0</x:v>
      </x:c>
      <x:c r="BK41" s="39" t="n">
        <x:v>0</x:v>
      </x:c>
      <x:c r="BL41" s="39" t="n">
        <x:v>0</x:v>
      </x:c>
      <x:c r="BM41" s="150" t="n">
        <x:f t="shared" si="4">SUM(E41:AN41)</x:f>
        <x:v>369140</x:v>
      </x:c>
    </x:row>
    <x:row r="42" s="57" customFormat="1" ht="63">
      <x:c r="A42" s="120"/>
      <x:c r="B42" s="158" t="s">
        <x:v>186</x:v>
      </x:c>
      <x:c r="C42" s="187" t="s">
        <x:v>187</x:v>
      </x:c>
      <x:c r="D42" s="92" t="s">
        <x:v>62</x:v>
      </x:c>
      <x:c r="E42" s="39" t="n">
        <x:f>'Модель 36 міс'!C47</x:f>
        <x:v>613758</x:v>
      </x:c>
      <x:c r="F42" s="39" t="n">
        <x:f>'Модель 36 міс'!D47</x:f>
        <x:v>0</x:v>
      </x:c>
      <x:c r="G42" s="39" t="n">
        <x:f>'Модель 36 міс'!E47</x:f>
        <x:v>0</x:v>
      </x:c>
      <x:c r="H42" s="39" t="n">
        <x:f>'Модель 36 міс'!F47</x:f>
        <x:v>0</x:v>
      </x:c>
      <x:c r="I42" s="39" t="n">
        <x:f>'Модель 36 міс'!G47</x:f>
        <x:v>0</x:v>
      </x:c>
      <x:c r="J42" s="39" t="n">
        <x:f>'Модель 36 міс'!H47</x:f>
        <x:v>0</x:v>
      </x:c>
      <x:c r="K42" s="39" t="n">
        <x:f>'Модель 36 міс'!I47</x:f>
        <x:v>0</x:v>
      </x:c>
      <x:c r="L42" s="39" t="n">
        <x:f>'Модель 36 міс'!J47</x:f>
        <x:v>0</x:v>
      </x:c>
      <x:c r="M42" s="39" t="n">
        <x:f>'Модель 36 міс'!K47</x:f>
        <x:v>0</x:v>
      </x:c>
      <x:c r="N42" s="39" t="n">
        <x:f>'Модель 36 міс'!L47</x:f>
        <x:v>0</x:v>
      </x:c>
      <x:c r="O42" s="39" t="n">
        <x:f>'Модель 36 міс'!M47</x:f>
        <x:v>0</x:v>
      </x:c>
      <x:c r="P42" s="39" t="n">
        <x:f>'Модель 36 міс'!N47</x:f>
        <x:v>0</x:v>
      </x:c>
      <x:c r="Q42" s="39" t="n">
        <x:f>'Модель 36 міс'!O47</x:f>
        <x:v>0</x:v>
      </x:c>
      <x:c r="R42" s="39" t="n">
        <x:f>'Модель 36 міс'!P47</x:f>
        <x:v>0</x:v>
      </x:c>
      <x:c r="S42" s="39" t="n">
        <x:f>'Модель 36 міс'!Q47</x:f>
        <x:v>0</x:v>
      </x:c>
      <x:c r="T42" s="39" t="n">
        <x:f>'Модель 36 міс'!R47</x:f>
        <x:v>0</x:v>
      </x:c>
      <x:c r="U42" s="39" t="n">
        <x:f>'Модель 36 міс'!S47</x:f>
        <x:v>0</x:v>
      </x:c>
      <x:c r="V42" s="39" t="n">
        <x:f>'Модель 36 міс'!T47</x:f>
        <x:v>0</x:v>
      </x:c>
      <x:c r="W42" s="39" t="n">
        <x:f>'Модель 36 міс'!U47</x:f>
        <x:v>0</x:v>
      </x:c>
      <x:c r="X42" s="39" t="n">
        <x:f>'Модель 36 міс'!V47</x:f>
        <x:v>0</x:v>
      </x:c>
      <x:c r="Y42" s="39" t="n">
        <x:f>'Модель 36 міс'!W47</x:f>
        <x:v>0</x:v>
      </x:c>
      <x:c r="Z42" s="39" t="n">
        <x:f>'Модель 36 міс'!X47</x:f>
        <x:v>0</x:v>
      </x:c>
      <x:c r="AA42" s="39" t="n">
        <x:f>'Модель 36 міс'!Y47</x:f>
        <x:v>0</x:v>
      </x:c>
      <x:c r="AB42" s="39" t="n">
        <x:f>'Модель 36 міс'!Z47</x:f>
        <x:v>0</x:v>
      </x:c>
      <x:c r="AC42" s="39" t="n">
        <x:f>'Модель 36 міс'!AA47</x:f>
        <x:v>0</x:v>
      </x:c>
      <x:c r="AD42" s="39" t="n">
        <x:f>'Модель 36 міс'!AB47</x:f>
        <x:v>0</x:v>
      </x:c>
      <x:c r="AE42" s="39" t="n">
        <x:f>'Модель 36 міс'!AC47</x:f>
        <x:v>0</x:v>
      </x:c>
      <x:c r="AF42" s="39" t="n">
        <x:f>'Модель 36 міс'!AD47</x:f>
        <x:v>0</x:v>
      </x:c>
      <x:c r="AG42" s="39" t="n">
        <x:f>'Модель 36 міс'!AE47</x:f>
        <x:v>0</x:v>
      </x:c>
      <x:c r="AH42" s="39" t="n">
        <x:f>'Модель 36 міс'!AF47</x:f>
        <x:v>0</x:v>
      </x:c>
      <x:c r="AI42" s="39" t="n">
        <x:f>'Модель 36 міс'!AG47</x:f>
        <x:v>0</x:v>
      </x:c>
      <x:c r="AJ42" s="39" t="n">
        <x:f>'Модель 36 міс'!AH47</x:f>
        <x:v>0</x:v>
      </x:c>
      <x:c r="AK42" s="39" t="n">
        <x:f>'Модель 36 міс'!AI47</x:f>
        <x:v>0</x:v>
      </x:c>
      <x:c r="AL42" s="39" t="n">
        <x:f>'Модель 36 міс'!AJ47</x:f>
        <x:v>0</x:v>
      </x:c>
      <x:c r="AM42" s="39" t="n">
        <x:f>'Модель 36 міс'!AK47</x:f>
        <x:v>0</x:v>
      </x:c>
      <x:c r="AN42" s="39" t="n">
        <x:f>'Модель 36 міс'!AL47</x:f>
        <x:v>0</x:v>
      </x:c>
      <x:c r="AO42" s="39" t="n">
        <x:v>0</x:v>
      </x:c>
      <x:c r="AP42" s="39" t="n">
        <x:v>0</x:v>
      </x:c>
      <x:c r="AQ42" s="39" t="n">
        <x:v>0</x:v>
      </x:c>
      <x:c r="AR42" s="39" t="n">
        <x:v>0</x:v>
      </x:c>
      <x:c r="AS42" s="39" t="n">
        <x:v>0</x:v>
      </x:c>
      <x:c r="AT42" s="39" t="n">
        <x:v>0</x:v>
      </x:c>
      <x:c r="AU42" s="39" t="n">
        <x:v>0</x:v>
      </x:c>
      <x:c r="AV42" s="39" t="n">
        <x:v>0</x:v>
      </x:c>
      <x:c r="AW42" s="39" t="n">
        <x:v>0</x:v>
      </x:c>
      <x:c r="AX42" s="39" t="n">
        <x:v>0</x:v>
      </x:c>
      <x:c r="AY42" s="39" t="n">
        <x:v>0</x:v>
      </x:c>
      <x:c r="AZ42" s="39" t="n">
        <x:v>0</x:v>
      </x:c>
      <x:c r="BA42" s="39" t="n">
        <x:v>0</x:v>
      </x:c>
      <x:c r="BB42" s="39" t="n">
        <x:v>0</x:v>
      </x:c>
      <x:c r="BC42" s="39" t="n">
        <x:v>0</x:v>
      </x:c>
      <x:c r="BD42" s="39" t="n">
        <x:v>0</x:v>
      </x:c>
      <x:c r="BE42" s="39" t="n">
        <x:v>0</x:v>
      </x:c>
      <x:c r="BF42" s="39" t="n">
        <x:v>0</x:v>
      </x:c>
      <x:c r="BG42" s="39" t="n">
        <x:v>0</x:v>
      </x:c>
      <x:c r="BH42" s="39" t="n">
        <x:v>0</x:v>
      </x:c>
      <x:c r="BI42" s="39" t="n">
        <x:v>0</x:v>
      </x:c>
      <x:c r="BJ42" s="39" t="n">
        <x:v>0</x:v>
      </x:c>
      <x:c r="BK42" s="39" t="n">
        <x:v>0</x:v>
      </x:c>
      <x:c r="BL42" s="39" t="n">
        <x:v>0</x:v>
      </x:c>
      <x:c r="BM42" s="150" t="n">
        <x:f t="shared" si="4">SUM(E42:AN42)</x:f>
        <x:v>613758</x:v>
      </x:c>
    </x:row>
    <x:row r="43" s="57" customFormat="1">
      <x:c r="A43" s="120"/>
      <x:c r="B43" s="158" t="s">
        <x:v>188</x:v>
      </x:c>
      <x:c r="C43" s="107"/>
      <x:c r="D43" s="92" t="s">
        <x:v>62</x:v>
      </x:c>
      <x:c r="E43" s="39" t="n">
        <x:v>0</x:v>
      </x:c>
      <x:c r="F43" s="39" t="n">
        <x:v>0</x:v>
      </x:c>
      <x:c r="G43" s="39" t="n">
        <x:v>0</x:v>
      </x:c>
      <x:c r="H43" s="39" t="n">
        <x:v>0</x:v>
      </x:c>
      <x:c r="I43" s="39" t="n">
        <x:v>0</x:v>
      </x:c>
      <x:c r="J43" s="39" t="n">
        <x:v>0</x:v>
      </x:c>
      <x:c r="K43" s="39" t="n">
        <x:v>0</x:v>
      </x:c>
      <x:c r="L43" s="39" t="n">
        <x:v>0</x:v>
      </x:c>
      <x:c r="M43" s="39" t="n">
        <x:v>0</x:v>
      </x:c>
      <x:c r="N43" s="39" t="n">
        <x:v>0</x:v>
      </x:c>
      <x:c r="O43" s="39" t="n">
        <x:v>0</x:v>
      </x:c>
      <x:c r="P43" s="39" t="n">
        <x:v>0</x:v>
      </x:c>
      <x:c r="Q43" s="39" t="n">
        <x:v>0</x:v>
      </x:c>
      <x:c r="R43" s="39" t="n">
        <x:v>0</x:v>
      </x:c>
      <x:c r="S43" s="39" t="n">
        <x:v>0</x:v>
      </x:c>
      <x:c r="T43" s="39" t="n">
        <x:v>0</x:v>
      </x:c>
      <x:c r="U43" s="39" t="n">
        <x:v>0</x:v>
      </x:c>
      <x:c r="V43" s="39" t="n">
        <x:v>0</x:v>
      </x:c>
      <x:c r="W43" s="39" t="n">
        <x:v>0</x:v>
      </x:c>
      <x:c r="X43" s="39" t="n">
        <x:v>0</x:v>
      </x:c>
      <x:c r="Y43" s="39" t="n">
        <x:v>0</x:v>
      </x:c>
      <x:c r="Z43" s="39" t="n">
        <x:v>0</x:v>
      </x:c>
      <x:c r="AA43" s="39" t="n">
        <x:v>0</x:v>
      </x:c>
      <x:c r="AB43" s="39" t="n">
        <x:v>0</x:v>
      </x:c>
      <x:c r="AC43" s="39" t="n">
        <x:v>0</x:v>
      </x:c>
      <x:c r="AD43" s="39" t="n">
        <x:v>0</x:v>
      </x:c>
      <x:c r="AE43" s="39" t="n">
        <x:v>0</x:v>
      </x:c>
      <x:c r="AF43" s="39" t="n">
        <x:v>0</x:v>
      </x:c>
      <x:c r="AG43" s="39" t="n">
        <x:v>0</x:v>
      </x:c>
      <x:c r="AH43" s="39" t="n">
        <x:v>0</x:v>
      </x:c>
      <x:c r="AI43" s="39" t="n">
        <x:v>0</x:v>
      </x:c>
      <x:c r="AJ43" s="39" t="n">
        <x:v>0</x:v>
      </x:c>
      <x:c r="AK43" s="39" t="n">
        <x:v>0</x:v>
      </x:c>
      <x:c r="AL43" s="39" t="n">
        <x:v>0</x:v>
      </x:c>
      <x:c r="AM43" s="39" t="n">
        <x:v>0</x:v>
      </x:c>
      <x:c r="AN43" s="39" t="n">
        <x:v>0</x:v>
      </x:c>
      <x:c r="AO43" s="39" t="n">
        <x:v>0</x:v>
      </x:c>
      <x:c r="AP43" s="39" t="n">
        <x:v>0</x:v>
      </x:c>
      <x:c r="AQ43" s="39" t="n">
        <x:v>0</x:v>
      </x:c>
      <x:c r="AR43" s="39" t="n">
        <x:v>0</x:v>
      </x:c>
      <x:c r="AS43" s="39" t="n">
        <x:v>0</x:v>
      </x:c>
      <x:c r="AT43" s="39" t="n">
        <x:v>0</x:v>
      </x:c>
      <x:c r="AU43" s="39" t="n">
        <x:v>0</x:v>
      </x:c>
      <x:c r="AV43" s="39" t="n">
        <x:v>0</x:v>
      </x:c>
      <x:c r="AW43" s="39" t="n">
        <x:v>0</x:v>
      </x:c>
      <x:c r="AX43" s="39" t="n">
        <x:v>0</x:v>
      </x:c>
      <x:c r="AY43" s="39" t="n">
        <x:v>0</x:v>
      </x:c>
      <x:c r="AZ43" s="39" t="n">
        <x:v>0</x:v>
      </x:c>
      <x:c r="BA43" s="39" t="n">
        <x:v>0</x:v>
      </x:c>
      <x:c r="BB43" s="39" t="n">
        <x:v>0</x:v>
      </x:c>
      <x:c r="BC43" s="39" t="n">
        <x:v>0</x:v>
      </x:c>
      <x:c r="BD43" s="39" t="n">
        <x:v>0</x:v>
      </x:c>
      <x:c r="BE43" s="39" t="n">
        <x:v>0</x:v>
      </x:c>
      <x:c r="BF43" s="39" t="n">
        <x:v>0</x:v>
      </x:c>
      <x:c r="BG43" s="39" t="n">
        <x:v>0</x:v>
      </x:c>
      <x:c r="BH43" s="39" t="n">
        <x:v>0</x:v>
      </x:c>
      <x:c r="BI43" s="39" t="n">
        <x:v>0</x:v>
      </x:c>
      <x:c r="BJ43" s="39" t="n">
        <x:v>0</x:v>
      </x:c>
      <x:c r="BK43" s="39" t="n">
        <x:v>0</x:v>
      </x:c>
      <x:c r="BL43" s="39" t="n">
        <x:v>0</x:v>
      </x:c>
      <x:c r="BM43" s="150" t="n">
        <x:f t="shared" si="4">SUM(E43:AN43)</x:f>
        <x:v>0</x:v>
      </x:c>
    </x:row>
    <x:row r="44" s="57" customFormat="1" ht="94.5">
      <x:c r="A44" s="120"/>
      <x:c r="B44" s="158" t="s">
        <x:v>189</x:v>
      </x:c>
      <x:c r="C44" s="187" t="str">
        <x:v>ПЗ + сайт за грант; навчання окремо за власні кошти</x:v>
      </x:c>
      <x:c r="D44" s="92" t="s">
        <x:v>62</x:v>
      </x:c>
      <x:c r="E44" s="39" t="n">
        <x:f>SUM('Модель 36 міс'!C48:C49)</x:f>
        <x:v>388000</x:v>
      </x:c>
      <x:c r="F44" s="39" t="n">
        <x:f>SUM('Модель 36 міс'!D48:D49)</x:f>
        <x:v>0</x:v>
      </x:c>
      <x:c r="G44" s="39" t="n">
        <x:f>SUM('Модель 36 міс'!E48:E49)</x:f>
        <x:v>0</x:v>
      </x:c>
      <x:c r="H44" s="39" t="n">
        <x:f>SUM('Модель 36 міс'!F48:F49)</x:f>
        <x:v>0</x:v>
      </x:c>
      <x:c r="I44" s="39" t="n">
        <x:f>SUM('Модель 36 міс'!G48:G49)</x:f>
        <x:v>0</x:v>
      </x:c>
      <x:c r="J44" s="39" t="n">
        <x:f>SUM('Модель 36 міс'!H48:H49)</x:f>
        <x:v>0</x:v>
      </x:c>
      <x:c r="K44" s="39" t="n">
        <x:f>SUM('Модель 36 міс'!I48:I49)</x:f>
        <x:v>0</x:v>
      </x:c>
      <x:c r="L44" s="39" t="n">
        <x:f>SUM('Модель 36 міс'!J48:J49)</x:f>
        <x:v>0</x:v>
      </x:c>
      <x:c r="M44" s="39" t="n">
        <x:f>SUM('Модель 36 міс'!K48:K49)</x:f>
        <x:v>0</x:v>
      </x:c>
      <x:c r="N44" s="39" t="n">
        <x:f>SUM('Модель 36 міс'!L48:L49)</x:f>
        <x:v>0</x:v>
      </x:c>
      <x:c r="O44" s="39" t="n">
        <x:f>SUM('Модель 36 міс'!M48:M49)</x:f>
        <x:v>0</x:v>
      </x:c>
      <x:c r="P44" s="39" t="n">
        <x:f>SUM('Модель 36 міс'!N48:N49)</x:f>
        <x:v>0</x:v>
      </x:c>
      <x:c r="Q44" s="39" t="n">
        <x:f>SUM('Модель 36 міс'!O48:O49)</x:f>
        <x:v>275860</x:v>
      </x:c>
      <x:c r="R44" s="39" t="n">
        <x:f>SUM('Модель 36 міс'!P48:P49)</x:f>
        <x:v>0</x:v>
      </x:c>
      <x:c r="S44" s="39" t="n">
        <x:f>SUM('Модель 36 міс'!Q48:Q49)</x:f>
        <x:v>0</x:v>
      </x:c>
      <x:c r="T44" s="39" t="n">
        <x:f>SUM('Модель 36 міс'!R48:R49)</x:f>
        <x:v>0</x:v>
      </x:c>
      <x:c r="U44" s="39" t="n">
        <x:f>SUM('Модель 36 міс'!S48:S49)</x:f>
        <x:v>0</x:v>
      </x:c>
      <x:c r="V44" s="39" t="n">
        <x:f>SUM('Модель 36 міс'!T48:T49)</x:f>
        <x:v>0</x:v>
      </x:c>
      <x:c r="W44" s="39" t="n">
        <x:f>SUM('Модель 36 міс'!U48:U49)</x:f>
        <x:v>0</x:v>
      </x:c>
      <x:c r="X44" s="39" t="n">
        <x:f>SUM('Модель 36 міс'!V48:V49)</x:f>
        <x:v>0</x:v>
      </x:c>
      <x:c r="Y44" s="39" t="n">
        <x:f>SUM('Модель 36 міс'!W48:W49)</x:f>
        <x:v>0</x:v>
      </x:c>
      <x:c r="Z44" s="39" t="n">
        <x:f>SUM('Модель 36 міс'!X48:X49)</x:f>
        <x:v>0</x:v>
      </x:c>
      <x:c r="AA44" s="39" t="n">
        <x:f>SUM('Модель 36 міс'!Y48:Y49)</x:f>
        <x:v>0</x:v>
      </x:c>
      <x:c r="AB44" s="39" t="n">
        <x:f>SUM('Модель 36 міс'!Z48:Z49)</x:f>
        <x:v>0</x:v>
      </x:c>
      <x:c r="AC44" s="39" t="n">
        <x:f>SUM('Модель 36 міс'!AA48:AA49)</x:f>
        <x:v>0</x:v>
      </x:c>
      <x:c r="AD44" s="39" t="n">
        <x:f>SUM('Модель 36 міс'!AB48:AB49)</x:f>
        <x:v>0</x:v>
      </x:c>
      <x:c r="AE44" s="39" t="n">
        <x:f>SUM('Модель 36 міс'!AC48:AC49)</x:f>
        <x:v>0</x:v>
      </x:c>
      <x:c r="AF44" s="39" t="n">
        <x:f>SUM('Модель 36 міс'!AD48:AD49)</x:f>
        <x:v>0</x:v>
      </x:c>
      <x:c r="AG44" s="39" t="n">
        <x:f>SUM('Модель 36 міс'!AE48:AE49)</x:f>
        <x:v>0</x:v>
      </x:c>
      <x:c r="AH44" s="39" t="n">
        <x:f>SUM('Модель 36 міс'!AF48:AF49)</x:f>
        <x:v>0</x:v>
      </x:c>
      <x:c r="AI44" s="39" t="n">
        <x:f>SUM('Модель 36 міс'!AG48:AG49)</x:f>
        <x:v>0</x:v>
      </x:c>
      <x:c r="AJ44" s="39" t="n">
        <x:f>SUM('Модель 36 міс'!AH48:AH49)</x:f>
        <x:v>0</x:v>
      </x:c>
      <x:c r="AK44" s="39" t="n">
        <x:f>SUM('Модель 36 міс'!AI48:AI49)</x:f>
        <x:v>0</x:v>
      </x:c>
      <x:c r="AL44" s="39" t="n">
        <x:f>SUM('Модель 36 міс'!AJ48:AJ49)</x:f>
        <x:v>0</x:v>
      </x:c>
      <x:c r="AM44" s="39" t="n">
        <x:f>SUM('Модель 36 міс'!AK48:AK49)</x:f>
        <x:v>0</x:v>
      </x:c>
      <x:c r="AN44" s="39" t="n">
        <x:f>SUM('Модель 36 міс'!AL48:AL49)</x:f>
        <x:v>0</x:v>
      </x:c>
      <x:c r="AO44" s="39" t="n">
        <x:v>0</x:v>
      </x:c>
      <x:c r="AP44" s="39" t="n">
        <x:v>0</x:v>
      </x:c>
      <x:c r="AQ44" s="39" t="n">
        <x:v>0</x:v>
      </x:c>
      <x:c r="AR44" s="39" t="n">
        <x:v>0</x:v>
      </x:c>
      <x:c r="AS44" s="39" t="n">
        <x:v>0</x:v>
      </x:c>
      <x:c r="AT44" s="39" t="n">
        <x:v>0</x:v>
      </x:c>
      <x:c r="AU44" s="39" t="n">
        <x:v>0</x:v>
      </x:c>
      <x:c r="AV44" s="39" t="n">
        <x:v>0</x:v>
      </x:c>
      <x:c r="AW44" s="39" t="n">
        <x:v>0</x:v>
      </x:c>
      <x:c r="AX44" s="39" t="n">
        <x:v>0</x:v>
      </x:c>
      <x:c r="AY44" s="39" t="n">
        <x:v>0</x:v>
      </x:c>
      <x:c r="AZ44" s="39" t="n">
        <x:v>0</x:v>
      </x:c>
      <x:c r="BA44" s="39" t="n">
        <x:v>0</x:v>
      </x:c>
      <x:c r="BB44" s="39" t="n">
        <x:v>0</x:v>
      </x:c>
      <x:c r="BC44" s="39" t="n">
        <x:v>0</x:v>
      </x:c>
      <x:c r="BD44" s="39" t="n">
        <x:v>0</x:v>
      </x:c>
      <x:c r="BE44" s="39" t="n">
        <x:v>0</x:v>
      </x:c>
      <x:c r="BF44" s="39" t="n">
        <x:v>0</x:v>
      </x:c>
      <x:c r="BG44" s="39" t="n">
        <x:v>0</x:v>
      </x:c>
      <x:c r="BH44" s="39" t="n">
        <x:v>0</x:v>
      </x:c>
      <x:c r="BI44" s="39" t="n">
        <x:v>0</x:v>
      </x:c>
      <x:c r="BJ44" s="39" t="n">
        <x:v>0</x:v>
      </x:c>
      <x:c r="BK44" s="39" t="n">
        <x:v>0</x:v>
      </x:c>
      <x:c r="BL44" s="39" t="n">
        <x:v>0</x:v>
      </x:c>
      <x:c r="BM44" s="150" t="n">
        <x:f t="shared" si="4">SUM(E44:AN44)</x:f>
        <x:v>663860</x:v>
      </x:c>
    </x:row>
    <x:row r="45" s="57" customFormat="1" ht="63">
      <x:c r="A45" s="120"/>
      <x:c r="B45" s="158" t="s">
        <x:v>190</x:v>
      </x:c>
      <x:c r="C45" s="107"/>
      <x:c r="D45" s="92" t="s">
        <x:v>62</x:v>
      </x:c>
      <x:c r="E45" s="39" t="n">
        <x:v>0</x:v>
      </x:c>
      <x:c r="F45" s="39" t="n">
        <x:v>0</x:v>
      </x:c>
      <x:c r="G45" s="39" t="n">
        <x:v>0</x:v>
      </x:c>
      <x:c r="H45" s="39" t="n">
        <x:v>0</x:v>
      </x:c>
      <x:c r="I45" s="39" t="n">
        <x:v>0</x:v>
      </x:c>
      <x:c r="J45" s="39" t="n">
        <x:v>0</x:v>
      </x:c>
      <x:c r="K45" s="39" t="n">
        <x:v>0</x:v>
      </x:c>
      <x:c r="L45" s="39" t="n">
        <x:v>0</x:v>
      </x:c>
      <x:c r="M45" s="39" t="n">
        <x:v>0</x:v>
      </x:c>
      <x:c r="N45" s="39" t="n">
        <x:v>0</x:v>
      </x:c>
      <x:c r="O45" s="39" t="n">
        <x:v>0</x:v>
      </x:c>
      <x:c r="P45" s="39" t="n">
        <x:v>0</x:v>
      </x:c>
      <x:c r="Q45" s="39" t="n">
        <x:v>0</x:v>
      </x:c>
      <x:c r="R45" s="39" t="n">
        <x:v>0</x:v>
      </x:c>
      <x:c r="S45" s="39" t="n">
        <x:v>0</x:v>
      </x:c>
      <x:c r="T45" s="39" t="n">
        <x:v>0</x:v>
      </x:c>
      <x:c r="U45" s="39" t="n">
        <x:v>0</x:v>
      </x:c>
      <x:c r="V45" s="39" t="n">
        <x:v>0</x:v>
      </x:c>
      <x:c r="W45" s="39" t="n">
        <x:v>0</x:v>
      </x:c>
      <x:c r="X45" s="39" t="n">
        <x:v>0</x:v>
      </x:c>
      <x:c r="Y45" s="39" t="n">
        <x:v>0</x:v>
      </x:c>
      <x:c r="Z45" s="39" t="n">
        <x:v>0</x:v>
      </x:c>
      <x:c r="AA45" s="39" t="n">
        <x:v>0</x:v>
      </x:c>
      <x:c r="AB45" s="39" t="n">
        <x:v>0</x:v>
      </x:c>
      <x:c r="AC45" s="39" t="n">
        <x:v>0</x:v>
      </x:c>
      <x:c r="AD45" s="39" t="n">
        <x:v>0</x:v>
      </x:c>
      <x:c r="AE45" s="39" t="n">
        <x:v>0</x:v>
      </x:c>
      <x:c r="AF45" s="39" t="n">
        <x:v>0</x:v>
      </x:c>
      <x:c r="AG45" s="39" t="n">
        <x:v>0</x:v>
      </x:c>
      <x:c r="AH45" s="39" t="n">
        <x:v>0</x:v>
      </x:c>
      <x:c r="AI45" s="39" t="n">
        <x:v>0</x:v>
      </x:c>
      <x:c r="AJ45" s="39" t="n">
        <x:v>0</x:v>
      </x:c>
      <x:c r="AK45" s="39" t="n">
        <x:v>0</x:v>
      </x:c>
      <x:c r="AL45" s="39" t="n">
        <x:v>0</x:v>
      </x:c>
      <x:c r="AM45" s="39" t="n">
        <x:v>0</x:v>
      </x:c>
      <x:c r="AN45" s="39" t="n">
        <x:v>0</x:v>
      </x:c>
      <x:c r="AO45" s="39" t="n">
        <x:v>0</x:v>
      </x:c>
      <x:c r="AP45" s="39" t="n">
        <x:v>0</x:v>
      </x:c>
      <x:c r="AQ45" s="39" t="n">
        <x:v>0</x:v>
      </x:c>
      <x:c r="AR45" s="39" t="n">
        <x:v>0</x:v>
      </x:c>
      <x:c r="AS45" s="39" t="n">
        <x:v>0</x:v>
      </x:c>
      <x:c r="AT45" s="39" t="n">
        <x:v>0</x:v>
      </x:c>
      <x:c r="AU45" s="39" t="n">
        <x:v>0</x:v>
      </x:c>
      <x:c r="AV45" s="39" t="n">
        <x:v>0</x:v>
      </x:c>
      <x:c r="AW45" s="39" t="n">
        <x:v>0</x:v>
      </x:c>
      <x:c r="AX45" s="39" t="n">
        <x:v>0</x:v>
      </x:c>
      <x:c r="AY45" s="39" t="n">
        <x:v>0</x:v>
      </x:c>
      <x:c r="AZ45" s="39" t="n">
        <x:v>0</x:v>
      </x:c>
      <x:c r="BA45" s="39" t="n">
        <x:v>0</x:v>
      </x:c>
      <x:c r="BB45" s="39" t="n">
        <x:v>0</x:v>
      </x:c>
      <x:c r="BC45" s="39" t="n">
        <x:v>0</x:v>
      </x:c>
      <x:c r="BD45" s="39" t="n">
        <x:v>0</x:v>
      </x:c>
      <x:c r="BE45" s="39" t="n">
        <x:v>0</x:v>
      </x:c>
      <x:c r="BF45" s="39" t="n">
        <x:v>0</x:v>
      </x:c>
      <x:c r="BG45" s="39" t="n">
        <x:v>0</x:v>
      </x:c>
      <x:c r="BH45" s="39" t="n">
        <x:v>0</x:v>
      </x:c>
      <x:c r="BI45" s="39" t="n">
        <x:v>0</x:v>
      </x:c>
      <x:c r="BJ45" s="39" t="n">
        <x:v>0</x:v>
      </x:c>
      <x:c r="BK45" s="39" t="n">
        <x:v>0</x:v>
      </x:c>
      <x:c r="BL45" s="39" t="n">
        <x:v>0</x:v>
      </x:c>
      <x:c r="BM45" s="92" t="n">
        <x:f>SUM(E45:AN45)</x:f>
        <x:v>0</x:v>
      </x:c>
    </x:row>
    <x:row r="46" s="57" customFormat="1">
      <x:c r="A46" s="120"/>
      <x:c r="B46" s="161" t="s">
        <x:v>191</x:v>
      </x:c>
      <x:c r="C46" s="107"/>
      <x:c r="D46" s="92" t="s">
        <x:v>62</x:v>
      </x:c>
      <x:c r="E46" s="121" t="n">
        <x:f>'Модель 36 міс'!C50</x:f>
        <x:v>75000</x:v>
      </x:c>
      <x:c r="F46" s="121" t="n">
        <x:f>'Модель 36 міс'!D50</x:f>
        <x:v>75000</x:v>
      </x:c>
      <x:c r="G46" s="121" t="n">
        <x:f>'Модель 36 міс'!E50</x:f>
        <x:v>75000</x:v>
      </x:c>
      <x:c r="H46" s="121" t="n">
        <x:f>'Модель 36 міс'!F50</x:f>
        <x:v>75000</x:v>
      </x:c>
      <x:c r="I46" s="121" t="n">
        <x:f>'Модель 36 міс'!G50</x:f>
        <x:v>75000</x:v>
      </x:c>
      <x:c r="J46" s="121" t="n">
        <x:f>'Модель 36 міс'!H50</x:f>
        <x:v>75000</x:v>
      </x:c>
      <x:c r="K46" s="121" t="n">
        <x:f>'Модель 36 міс'!I50</x:f>
        <x:v>75000</x:v>
      </x:c>
      <x:c r="L46" s="121" t="n">
        <x:f>'Модель 36 міс'!J50</x:f>
        <x:v>75000</x:v>
      </x:c>
      <x:c r="M46" s="121" t="n">
        <x:f>'Модель 36 міс'!K50</x:f>
        <x:v>80000</x:v>
      </x:c>
      <x:c r="N46" s="121" t="n">
        <x:f>'Модель 36 міс'!L50</x:f>
        <x:v>80000</x:v>
      </x:c>
      <x:c r="O46" s="121" t="n">
        <x:f>'Модель 36 міс'!M50</x:f>
        <x:v>80000</x:v>
      </x:c>
      <x:c r="P46" s="121" t="n">
        <x:f>'Модель 36 міс'!N50</x:f>
        <x:v>80000</x:v>
      </x:c>
      <x:c r="Q46" s="121" t="n">
        <x:f>'Модель 36 міс'!O50</x:f>
        <x:v>85000</x:v>
      </x:c>
      <x:c r="R46" s="121" t="n">
        <x:f>'Модель 36 міс'!P50</x:f>
        <x:v>85000</x:v>
      </x:c>
      <x:c r="S46" s="121" t="n">
        <x:f>'Модель 36 міс'!Q50</x:f>
        <x:v>85000</x:v>
      </x:c>
      <x:c r="T46" s="121" t="n">
        <x:f>'Модель 36 міс'!R50</x:f>
        <x:v>85000</x:v>
      </x:c>
      <x:c r="U46" s="121" t="n">
        <x:f>'Модель 36 міс'!S50</x:f>
        <x:v>90000</x:v>
      </x:c>
      <x:c r="V46" s="121" t="n">
        <x:f>'Модель 36 міс'!T50</x:f>
        <x:v>90000</x:v>
      </x:c>
      <x:c r="W46" s="121" t="n">
        <x:f>'Модель 36 міс'!U50</x:f>
        <x:v>90000</x:v>
      </x:c>
      <x:c r="X46" s="121" t="n">
        <x:f>'Модель 36 міс'!V50</x:f>
        <x:v>90000</x:v>
      </x:c>
      <x:c r="Y46" s="121" t="n">
        <x:f>'Модель 36 міс'!W50</x:f>
        <x:v>90000</x:v>
      </x:c>
      <x:c r="Z46" s="121" t="n">
        <x:f>'Модель 36 міс'!X50</x:f>
        <x:v>100000</x:v>
      </x:c>
      <x:c r="AA46" s="121" t="n">
        <x:f>'Модель 36 міс'!Y50</x:f>
        <x:v>100000</x:v>
      </x:c>
      <x:c r="AB46" s="92" t="n">
        <x:f>'Модель 36 міс'!Z50</x:f>
        <x:v>100000</x:v>
      </x:c>
      <x:c r="AC46" s="92" t="n">
        <x:f t="shared" ref="AC46:BM46" si="5">'Модель 36 міс'!AA50</x:f>
        <x:v>100000</x:v>
      </x:c>
      <x:c r="AD46" s="92" t="n">
        <x:f t="shared" si="5">'Модель 36 міс'!AB50</x:f>
        <x:v>100000</x:v>
      </x:c>
      <x:c r="AE46" s="92" t="n">
        <x:f t="shared" si="5">'Модель 36 міс'!AC50</x:f>
        <x:v>100000</x:v>
      </x:c>
      <x:c r="AF46" s="92" t="n">
        <x:f t="shared" si="5">'Модель 36 міс'!AD50</x:f>
        <x:v>105000</x:v>
      </x:c>
      <x:c r="AG46" s="92" t="n">
        <x:f t="shared" si="5">'Модель 36 міс'!AE50</x:f>
        <x:v>105000</x:v>
      </x:c>
      <x:c r="AH46" s="92" t="n">
        <x:f t="shared" si="5">'Модель 36 міс'!AF50</x:f>
        <x:v>105000</x:v>
      </x:c>
      <x:c r="AI46" s="92" t="n">
        <x:f t="shared" si="5">'Модель 36 міс'!AG50</x:f>
        <x:v>105000</x:v>
      </x:c>
      <x:c r="AJ46" s="92" t="n">
        <x:f t="shared" si="5">'Модель 36 міс'!AH50</x:f>
        <x:v>105000</x:v>
      </x:c>
      <x:c r="AK46" s="92" t="n">
        <x:f t="shared" si="5">'Модель 36 міс'!AI50</x:f>
        <x:v>105000</x:v>
      </x:c>
      <x:c r="AL46" s="92" t="n">
        <x:f t="shared" si="5">'Модель 36 міс'!AJ50</x:f>
        <x:v>105000</x:v>
      </x:c>
      <x:c r="AM46" s="92" t="n">
        <x:f t="shared" si="5">'Модель 36 міс'!AK50</x:f>
        <x:v>110000</x:v>
      </x:c>
      <x:c r="AN46" s="92" t="n">
        <x:f t="shared" si="5">'Модель 36 міс'!AL50</x:f>
        <x:v>110000</x:v>
      </x:c>
      <x:c r="AO46" s="92" t="n">
        <x:f t="shared" si="5"/>
        <x:v>0</x:v>
      </x:c>
      <x:c r="AP46" s="92" t="n">
        <x:f t="shared" si="5"/>
        <x:v>0</x:v>
      </x:c>
      <x:c r="AQ46" s="92" t="n">
        <x:f t="shared" si="5"/>
        <x:v>0</x:v>
      </x:c>
      <x:c r="AR46" s="92" t="n">
        <x:f t="shared" si="5"/>
        <x:v>0</x:v>
      </x:c>
      <x:c r="AS46" s="92" t="n">
        <x:f t="shared" si="5"/>
        <x:v>0</x:v>
      </x:c>
      <x:c r="AT46" s="92" t="n">
        <x:f t="shared" si="5"/>
        <x:v>0</x:v>
      </x:c>
      <x:c r="AU46" s="92" t="n">
        <x:f t="shared" si="5"/>
        <x:v>0</x:v>
      </x:c>
      <x:c r="AV46" s="92" t="n">
        <x:f t="shared" si="5"/>
        <x:v>0</x:v>
      </x:c>
      <x:c r="AW46" s="92" t="n">
        <x:f t="shared" si="5"/>
        <x:v>0</x:v>
      </x:c>
      <x:c r="AX46" s="92" t="n">
        <x:f t="shared" si="5"/>
        <x:v>0</x:v>
      </x:c>
      <x:c r="AY46" s="92" t="n">
        <x:f t="shared" si="5"/>
        <x:v>0</x:v>
      </x:c>
      <x:c r="AZ46" s="92" t="n">
        <x:f t="shared" si="5"/>
        <x:v>0</x:v>
      </x:c>
      <x:c r="BA46" s="92" t="n">
        <x:f t="shared" si="5"/>
        <x:v>0</x:v>
      </x:c>
      <x:c r="BB46" s="92" t="n">
        <x:f t="shared" si="5"/>
        <x:v>0</x:v>
      </x:c>
      <x:c r="BC46" s="92" t="n">
        <x:f t="shared" si="5"/>
        <x:v>0</x:v>
      </x:c>
      <x:c r="BD46" s="92" t="n">
        <x:f t="shared" si="5"/>
        <x:v>0</x:v>
      </x:c>
      <x:c r="BE46" s="92" t="n">
        <x:f t="shared" si="5"/>
        <x:v>0</x:v>
      </x:c>
      <x:c r="BF46" s="92" t="n">
        <x:f t="shared" si="5"/>
        <x:v>0</x:v>
      </x:c>
      <x:c r="BG46" s="92" t="n">
        <x:f t="shared" si="5"/>
        <x:v>0</x:v>
      </x:c>
      <x:c r="BH46" s="92" t="n">
        <x:f t="shared" si="5"/>
        <x:v>0</x:v>
      </x:c>
      <x:c r="BI46" s="92" t="n">
        <x:f t="shared" si="5"/>
        <x:v>0</x:v>
      </x:c>
      <x:c r="BJ46" s="92" t="n">
        <x:f t="shared" si="5"/>
        <x:v>0</x:v>
      </x:c>
      <x:c r="BK46" s="92" t="n">
        <x:f t="shared" si="5"/>
        <x:v>0</x:v>
      </x:c>
      <x:c r="BL46" s="92" t="n">
        <x:f t="shared" si="5"/>
        <x:v>0</x:v>
      </x:c>
      <x:c r="BM46" s="92" t="n">
        <x:f t="shared" si="5">SUM(E46:AN46)</x:f>
        <x:v>3265000</x:v>
      </x:c>
    </x:row>
    <x:row r="47" s="57" customFormat="1">
      <x:c r="A47" s="120"/>
      <x:c r="B47" s="161" t="s">
        <x:v>192</x:v>
      </x:c>
      <x:c r="C47" s="107"/>
      <x:c r="D47" s="92" t="s">
        <x:v>62</x:v>
      </x:c>
      <x:c r="E47" s="39" t="n">
        <x:f>'Модель 36 міс'!C57</x:f>
        <x:v>0</x:v>
      </x:c>
      <x:c r="F47" s="39" t="n">
        <x:f>'Модель 36 міс'!D57</x:f>
        <x:v>0</x:v>
      </x:c>
      <x:c r="G47" s="39" t="n">
        <x:f>'Модель 36 міс'!E57</x:f>
        <x:v>0</x:v>
      </x:c>
      <x:c r="H47" s="39" t="n">
        <x:f>'Модель 36 міс'!F57</x:f>
        <x:v>0</x:v>
      </x:c>
      <x:c r="I47" s="39" t="n">
        <x:f>'Модель 36 міс'!G57</x:f>
        <x:v>0</x:v>
      </x:c>
      <x:c r="J47" s="39" t="n">
        <x:f>'Модель 36 міс'!H57</x:f>
        <x:v>0</x:v>
      </x:c>
      <x:c r="K47" s="39" t="n">
        <x:f>'Модель 36 міс'!I57</x:f>
        <x:v>0</x:v>
      </x:c>
      <x:c r="L47" s="39" t="n">
        <x:f>'Модель 36 міс'!J57</x:f>
        <x:v>0</x:v>
      </x:c>
      <x:c r="M47" s="39" t="n">
        <x:f>'Модель 36 міс'!K57</x:f>
        <x:v>0</x:v>
      </x:c>
      <x:c r="N47" s="39" t="n">
        <x:f>'Модель 36 міс'!L57</x:f>
        <x:v>0</x:v>
      </x:c>
      <x:c r="O47" s="39" t="n">
        <x:f>'Модель 36 міс'!M57</x:f>
        <x:v>0</x:v>
      </x:c>
      <x:c r="P47" s="39" t="n">
        <x:f>'Модель 36 міс'!N57</x:f>
        <x:v>0</x:v>
      </x:c>
      <x:c r="Q47" s="39" t="n">
        <x:f>'Модель 36 міс'!O57</x:f>
        <x:v>0</x:v>
      </x:c>
      <x:c r="R47" s="39" t="n">
        <x:f>'Модель 36 міс'!P57</x:f>
        <x:v>0</x:v>
      </x:c>
      <x:c r="S47" s="39" t="n">
        <x:f>'Модель 36 міс'!Q57</x:f>
        <x:v>0</x:v>
      </x:c>
      <x:c r="T47" s="39" t="n">
        <x:f>'Модель 36 міс'!R57</x:f>
        <x:v>0</x:v>
      </x:c>
      <x:c r="U47" s="39" t="n">
        <x:f>'Модель 36 міс'!S57</x:f>
        <x:v>0</x:v>
      </x:c>
      <x:c r="V47" s="39" t="n">
        <x:f>'Модель 36 міс'!T57</x:f>
        <x:v>0</x:v>
      </x:c>
      <x:c r="W47" s="39" t="n">
        <x:f>'Модель 36 міс'!U57</x:f>
        <x:v>0</x:v>
      </x:c>
      <x:c r="X47" s="39" t="n">
        <x:f>'Модель 36 міс'!V57</x:f>
        <x:v>0</x:v>
      </x:c>
      <x:c r="Y47" s="39" t="n">
        <x:f>'Модель 36 міс'!W57</x:f>
        <x:v>0</x:v>
      </x:c>
      <x:c r="Z47" s="39" t="n">
        <x:f>'Модель 36 міс'!X57</x:f>
        <x:v>0</x:v>
      </x:c>
      <x:c r="AA47" s="39" t="n">
        <x:f>'Модель 36 міс'!Y57</x:f>
        <x:v>0</x:v>
      </x:c>
      <x:c r="AB47" s="39" t="n">
        <x:f>'Модель 36 міс'!Z57</x:f>
        <x:v>0</x:v>
      </x:c>
      <x:c r="AC47" s="39" t="n">
        <x:f>'Модель 36 міс'!AA57</x:f>
        <x:v>0</x:v>
      </x:c>
      <x:c r="AD47" s="39" t="n">
        <x:f>'Модель 36 міс'!AB57</x:f>
        <x:v>0</x:v>
      </x:c>
      <x:c r="AE47" s="39" t="n">
        <x:f>'Модель 36 міс'!AC57</x:f>
        <x:v>0</x:v>
      </x:c>
      <x:c r="AF47" s="39" t="n">
        <x:f>'Модель 36 міс'!AD57</x:f>
        <x:v>0</x:v>
      </x:c>
      <x:c r="AG47" s="39" t="n">
        <x:f>'Модель 36 міс'!AE57</x:f>
        <x:v>0</x:v>
      </x:c>
      <x:c r="AH47" s="39" t="n">
        <x:f>'Модель 36 міс'!AF57</x:f>
        <x:v>0</x:v>
      </x:c>
      <x:c r="AI47" s="39" t="n">
        <x:f>'Модель 36 міс'!AG57</x:f>
        <x:v>0</x:v>
      </x:c>
      <x:c r="AJ47" s="39" t="n">
        <x:f>'Модель 36 міс'!AH57</x:f>
        <x:v>0</x:v>
      </x:c>
      <x:c r="AK47" s="39" t="n">
        <x:f>'Модель 36 міс'!AI57</x:f>
        <x:v>0</x:v>
      </x:c>
      <x:c r="AL47" s="39" t="n">
        <x:f>'Модель 36 міс'!AJ57</x:f>
        <x:v>0</x:v>
      </x:c>
      <x:c r="AM47" s="39" t="n">
        <x:f>'Модель 36 міс'!AK57</x:f>
        <x:v>0</x:v>
      </x:c>
      <x:c r="AN47" s="39" t="n">
        <x:f>'Модель 36 міс'!AL57</x:f>
        <x:v>0</x:v>
      </x:c>
      <x:c r="AO47" s="39" t="n">
        <x:v>0</x:v>
      </x:c>
      <x:c r="AP47" s="39" t="n">
        <x:v>0</x:v>
      </x:c>
      <x:c r="AQ47" s="39" t="n">
        <x:v>0</x:v>
      </x:c>
      <x:c r="AR47" s="39" t="n">
        <x:v>0</x:v>
      </x:c>
      <x:c r="AS47" s="39" t="n">
        <x:v>0</x:v>
      </x:c>
      <x:c r="AT47" s="39" t="n">
        <x:v>0</x:v>
      </x:c>
      <x:c r="AU47" s="39" t="n">
        <x:v>0</x:v>
      </x:c>
      <x:c r="AV47" s="39" t="n">
        <x:v>0</x:v>
      </x:c>
      <x:c r="AW47" s="39" t="n">
        <x:v>0</x:v>
      </x:c>
      <x:c r="AX47" s="39" t="n">
        <x:v>0</x:v>
      </x:c>
      <x:c r="AY47" s="39" t="n">
        <x:v>0</x:v>
      </x:c>
      <x:c r="AZ47" s="39" t="n">
        <x:v>0</x:v>
      </x:c>
      <x:c r="BA47" s="39" t="n">
        <x:v>0</x:v>
      </x:c>
      <x:c r="BB47" s="39" t="n">
        <x:v>0</x:v>
      </x:c>
      <x:c r="BC47" s="39" t="n">
        <x:v>0</x:v>
      </x:c>
      <x:c r="BD47" s="39" t="n">
        <x:v>0</x:v>
      </x:c>
      <x:c r="BE47" s="39" t="n">
        <x:v>0</x:v>
      </x:c>
      <x:c r="BF47" s="39" t="n">
        <x:v>0</x:v>
      </x:c>
      <x:c r="BG47" s="39" t="n">
        <x:v>0</x:v>
      </x:c>
      <x:c r="BH47" s="39" t="n">
        <x:v>0</x:v>
      </x:c>
      <x:c r="BI47" s="39" t="n">
        <x:v>0</x:v>
      </x:c>
      <x:c r="BJ47" s="39" t="n">
        <x:v>0</x:v>
      </x:c>
      <x:c r="BK47" s="39" t="n">
        <x:v>0</x:v>
      </x:c>
      <x:c r="BL47" s="39" t="n">
        <x:v>0</x:v>
      </x:c>
      <x:c r="BM47" s="92" t="n">
        <x:f>SUM(E47:AN47)</x:f>
        <x:v>0</x:v>
      </x:c>
    </x:row>
    <x:row r="48" s="57" customFormat="1" ht="31.5">
      <x:c r="A48" s="120"/>
      <x:c r="B48" s="161" t="s">
        <x:v>193</x:v>
      </x:c>
      <x:c r="C48" s="107"/>
      <x:c r="D48" s="92" t="s">
        <x:v>62</x:v>
      </x:c>
      <x:c r="E48" s="39" t="n">
        <x:v>0</x:v>
      </x:c>
      <x:c r="F48" s="39" t="n">
        <x:v>0</x:v>
      </x:c>
      <x:c r="G48" s="39" t="n">
        <x:v>0</x:v>
      </x:c>
      <x:c r="H48" s="39" t="n">
        <x:v>0</x:v>
      </x:c>
      <x:c r="I48" s="39" t="n">
        <x:v>0</x:v>
      </x:c>
      <x:c r="J48" s="39" t="n">
        <x:v>0</x:v>
      </x:c>
      <x:c r="K48" s="39" t="n">
        <x:v>0</x:v>
      </x:c>
      <x:c r="L48" s="39" t="n">
        <x:v>0</x:v>
      </x:c>
      <x:c r="M48" s="39" t="n">
        <x:v>0</x:v>
      </x:c>
      <x:c r="N48" s="39" t="n">
        <x:v>0</x:v>
      </x:c>
      <x:c r="O48" s="39" t="n">
        <x:v>0</x:v>
      </x:c>
      <x:c r="P48" s="39" t="n">
        <x:v>0</x:v>
      </x:c>
      <x:c r="Q48" s="39" t="n">
        <x:v>0</x:v>
      </x:c>
      <x:c r="R48" s="39" t="n">
        <x:v>0</x:v>
      </x:c>
      <x:c r="S48" s="39" t="n">
        <x:v>0</x:v>
      </x:c>
      <x:c r="T48" s="39" t="n">
        <x:v>0</x:v>
      </x:c>
      <x:c r="U48" s="39" t="n">
        <x:v>0</x:v>
      </x:c>
      <x:c r="V48" s="39" t="n">
        <x:v>0</x:v>
      </x:c>
      <x:c r="W48" s="39" t="n">
        <x:v>0</x:v>
      </x:c>
      <x:c r="X48" s="39" t="n">
        <x:v>0</x:v>
      </x:c>
      <x:c r="Y48" s="39" t="n">
        <x:v>0</x:v>
      </x:c>
      <x:c r="Z48" s="39" t="n">
        <x:v>0</x:v>
      </x:c>
      <x:c r="AA48" s="39" t="n">
        <x:v>0</x:v>
      </x:c>
      <x:c r="AB48" s="39" t="n">
        <x:v>0</x:v>
      </x:c>
      <x:c r="AC48" s="39" t="n">
        <x:v>0</x:v>
      </x:c>
      <x:c r="AD48" s="39" t="n">
        <x:v>0</x:v>
      </x:c>
      <x:c r="AE48" s="39" t="n">
        <x:v>0</x:v>
      </x:c>
      <x:c r="AF48" s="39" t="n">
        <x:v>0</x:v>
      </x:c>
      <x:c r="AG48" s="39" t="n">
        <x:v>0</x:v>
      </x:c>
      <x:c r="AH48" s="39" t="n">
        <x:v>0</x:v>
      </x:c>
      <x:c r="AI48" s="39" t="n">
        <x:v>0</x:v>
      </x:c>
      <x:c r="AJ48" s="39" t="n">
        <x:v>0</x:v>
      </x:c>
      <x:c r="AK48" s="39" t="n">
        <x:v>0</x:v>
      </x:c>
      <x:c r="AL48" s="39" t="n">
        <x:v>0</x:v>
      </x:c>
      <x:c r="AM48" s="39" t="n">
        <x:v>0</x:v>
      </x:c>
      <x:c r="AN48" s="39" t="n">
        <x:v>0</x:v>
      </x:c>
      <x:c r="AO48" s="39" t="n">
        <x:v>0</x:v>
      </x:c>
      <x:c r="AP48" s="39" t="n">
        <x:v>0</x:v>
      </x:c>
      <x:c r="AQ48" s="39" t="n">
        <x:v>0</x:v>
      </x:c>
      <x:c r="AR48" s="39" t="n">
        <x:v>0</x:v>
      </x:c>
      <x:c r="AS48" s="39" t="n">
        <x:v>0</x:v>
      </x:c>
      <x:c r="AT48" s="39" t="n">
        <x:v>0</x:v>
      </x:c>
      <x:c r="AU48" s="39" t="n">
        <x:v>0</x:v>
      </x:c>
      <x:c r="AV48" s="39" t="n">
        <x:v>0</x:v>
      </x:c>
      <x:c r="AW48" s="39" t="n">
        <x:v>0</x:v>
      </x:c>
      <x:c r="AX48" s="39" t="n">
        <x:v>0</x:v>
      </x:c>
      <x:c r="AY48" s="39" t="n">
        <x:v>0</x:v>
      </x:c>
      <x:c r="AZ48" s="39" t="n">
        <x:v>0</x:v>
      </x:c>
      <x:c r="BA48" s="39" t="n">
        <x:v>0</x:v>
      </x:c>
      <x:c r="BB48" s="39" t="n">
        <x:v>0</x:v>
      </x:c>
      <x:c r="BC48" s="39" t="n">
        <x:v>0</x:v>
      </x:c>
      <x:c r="BD48" s="39" t="n">
        <x:v>0</x:v>
      </x:c>
      <x:c r="BE48" s="39" t="n">
        <x:v>0</x:v>
      </x:c>
      <x:c r="BF48" s="39" t="n">
        <x:v>0</x:v>
      </x:c>
      <x:c r="BG48" s="39" t="n">
        <x:v>0</x:v>
      </x:c>
      <x:c r="BH48" s="39" t="n">
        <x:v>0</x:v>
      </x:c>
      <x:c r="BI48" s="39" t="n">
        <x:v>0</x:v>
      </x:c>
      <x:c r="BJ48" s="39" t="n">
        <x:v>0</x:v>
      </x:c>
      <x:c r="BK48" s="39" t="n">
        <x:v>0</x:v>
      </x:c>
      <x:c r="BL48" s="39" t="n">
        <x:v>0</x:v>
      </x:c>
      <x:c r="BM48" s="92" t="n">
        <x:f t="shared" ref="BM48:BM66" si="6">SUM(E48:AN48)</x:f>
        <x:v>0</x:v>
      </x:c>
    </x:row>
    <x:row r="49" s="57" customFormat="1" ht="31.5">
      <x:c r="A49" s="120"/>
      <x:c r="B49" s="161" t="s">
        <x:v>194</x:v>
      </x:c>
      <x:c r="C49" s="187" t="str">
        <x:v>3 наймані працівники; два нові місця — для заявленої надбавки. Gross-зарплата.</x:v>
      </x:c>
      <x:c r="D49" s="92" t="s">
        <x:v>62</x:v>
      </x:c>
      <x:c r="E49" s="39" t="n">
        <x:f>'Модель 36 міс'!C50</x:f>
        <x:v>75000</x:v>
      </x:c>
      <x:c r="F49" s="39" t="n">
        <x:f>'Модель 36 міс'!D50</x:f>
        <x:v>75000</x:v>
      </x:c>
      <x:c r="G49" s="39" t="n">
        <x:f>'Модель 36 міс'!E50</x:f>
        <x:v>75000</x:v>
      </x:c>
      <x:c r="H49" s="39" t="n">
        <x:f>'Модель 36 міс'!F50</x:f>
        <x:v>75000</x:v>
      </x:c>
      <x:c r="I49" s="39" t="n">
        <x:f>'Модель 36 міс'!G50</x:f>
        <x:v>75000</x:v>
      </x:c>
      <x:c r="J49" s="39" t="n">
        <x:f>'Модель 36 міс'!H50</x:f>
        <x:v>75000</x:v>
      </x:c>
      <x:c r="K49" s="39" t="n">
        <x:f>'Модель 36 міс'!I50</x:f>
        <x:v>75000</x:v>
      </x:c>
      <x:c r="L49" s="39" t="n">
        <x:f>'Модель 36 міс'!J50</x:f>
        <x:v>75000</x:v>
      </x:c>
      <x:c r="M49" s="39" t="n">
        <x:f>'Модель 36 міс'!K50</x:f>
        <x:v>80000</x:v>
      </x:c>
      <x:c r="N49" s="39" t="n">
        <x:f>'Модель 36 міс'!L50</x:f>
        <x:v>80000</x:v>
      </x:c>
      <x:c r="O49" s="39" t="n">
        <x:f>'Модель 36 міс'!M50</x:f>
        <x:v>80000</x:v>
      </x:c>
      <x:c r="P49" s="39" t="n">
        <x:f>'Модель 36 міс'!N50</x:f>
        <x:v>80000</x:v>
      </x:c>
      <x:c r="Q49" s="39" t="n">
        <x:f>'Модель 36 міс'!O50</x:f>
        <x:v>85000</x:v>
      </x:c>
      <x:c r="R49" s="39" t="n">
        <x:f>'Модель 36 міс'!P50</x:f>
        <x:v>85000</x:v>
      </x:c>
      <x:c r="S49" s="39" t="n">
        <x:f>'Модель 36 міс'!Q50</x:f>
        <x:v>85000</x:v>
      </x:c>
      <x:c r="T49" s="39" t="n">
        <x:f>'Модель 36 міс'!R50</x:f>
        <x:v>85000</x:v>
      </x:c>
      <x:c r="U49" s="39" t="n">
        <x:f>'Модель 36 міс'!S50</x:f>
        <x:v>90000</x:v>
      </x:c>
      <x:c r="V49" s="39" t="n">
        <x:f>'Модель 36 міс'!T50</x:f>
        <x:v>90000</x:v>
      </x:c>
      <x:c r="W49" s="39" t="n">
        <x:f>'Модель 36 міс'!U50</x:f>
        <x:v>90000</x:v>
      </x:c>
      <x:c r="X49" s="39" t="n">
        <x:f>'Модель 36 міс'!V50</x:f>
        <x:v>90000</x:v>
      </x:c>
      <x:c r="Y49" s="39" t="n">
        <x:f>'Модель 36 міс'!W50</x:f>
        <x:v>90000</x:v>
      </x:c>
      <x:c r="Z49" s="39" t="n">
        <x:f>'Модель 36 міс'!X50</x:f>
        <x:v>100000</x:v>
      </x:c>
      <x:c r="AA49" s="39" t="n">
        <x:f>'Модель 36 міс'!Y50</x:f>
        <x:v>100000</x:v>
      </x:c>
      <x:c r="AB49" s="39" t="n">
        <x:f>'Модель 36 міс'!Z50</x:f>
        <x:v>100000</x:v>
      </x:c>
      <x:c r="AC49" s="39" t="n">
        <x:f>'Модель 36 міс'!AA50</x:f>
        <x:v>100000</x:v>
      </x:c>
      <x:c r="AD49" s="39" t="n">
        <x:f>'Модель 36 міс'!AB50</x:f>
        <x:v>100000</x:v>
      </x:c>
      <x:c r="AE49" s="39" t="n">
        <x:f>'Модель 36 міс'!AC50</x:f>
        <x:v>100000</x:v>
      </x:c>
      <x:c r="AF49" s="39" t="n">
        <x:f>'Модель 36 міс'!AD50</x:f>
        <x:v>105000</x:v>
      </x:c>
      <x:c r="AG49" s="39" t="n">
        <x:f>'Модель 36 міс'!AE50</x:f>
        <x:v>105000</x:v>
      </x:c>
      <x:c r="AH49" s="39" t="n">
        <x:f>'Модель 36 міс'!AF50</x:f>
        <x:v>105000</x:v>
      </x:c>
      <x:c r="AI49" s="39" t="n">
        <x:f>'Модель 36 міс'!AG50</x:f>
        <x:v>105000</x:v>
      </x:c>
      <x:c r="AJ49" s="39" t="n">
        <x:f>'Модель 36 міс'!AH50</x:f>
        <x:v>105000</x:v>
      </x:c>
      <x:c r="AK49" s="39" t="n">
        <x:f>'Модель 36 міс'!AI50</x:f>
        <x:v>105000</x:v>
      </x:c>
      <x:c r="AL49" s="39" t="n">
        <x:f>'Модель 36 міс'!AJ50</x:f>
        <x:v>105000</x:v>
      </x:c>
      <x:c r="AM49" s="39" t="n">
        <x:f>'Модель 36 міс'!AK50</x:f>
        <x:v>110000</x:v>
      </x:c>
      <x:c r="AN49" s="39" t="n">
        <x:f>'Модель 36 міс'!AL50</x:f>
        <x:v>110000</x:v>
      </x:c>
      <x:c r="AO49" s="39" t="n">
        <x:v>0</x:v>
      </x:c>
      <x:c r="AP49" s="39" t="n">
        <x:v>0</x:v>
      </x:c>
      <x:c r="AQ49" s="39" t="n">
        <x:v>0</x:v>
      </x:c>
      <x:c r="AR49" s="39" t="n">
        <x:v>0</x:v>
      </x:c>
      <x:c r="AS49" s="39" t="n">
        <x:v>0</x:v>
      </x:c>
      <x:c r="AT49" s="39" t="n">
        <x:v>0</x:v>
      </x:c>
      <x:c r="AU49" s="39" t="n">
        <x:v>0</x:v>
      </x:c>
      <x:c r="AV49" s="39" t="n">
        <x:v>0</x:v>
      </x:c>
      <x:c r="AW49" s="39" t="n">
        <x:v>0</x:v>
      </x:c>
      <x:c r="AX49" s="39" t="n">
        <x:v>0</x:v>
      </x:c>
      <x:c r="AY49" s="39" t="n">
        <x:v>0</x:v>
      </x:c>
      <x:c r="AZ49" s="39" t="n">
        <x:v>0</x:v>
      </x:c>
      <x:c r="BA49" s="39" t="n">
        <x:v>0</x:v>
      </x:c>
      <x:c r="BB49" s="39" t="n">
        <x:v>0</x:v>
      </x:c>
      <x:c r="BC49" s="39" t="n">
        <x:v>0</x:v>
      </x:c>
      <x:c r="BD49" s="39" t="n">
        <x:v>0</x:v>
      </x:c>
      <x:c r="BE49" s="39" t="n">
        <x:v>0</x:v>
      </x:c>
      <x:c r="BF49" s="39" t="n">
        <x:v>0</x:v>
      </x:c>
      <x:c r="BG49" s="39" t="n">
        <x:v>0</x:v>
      </x:c>
      <x:c r="BH49" s="39" t="n">
        <x:v>0</x:v>
      </x:c>
      <x:c r="BI49" s="39" t="n">
        <x:v>0</x:v>
      </x:c>
      <x:c r="BJ49" s="39" t="n">
        <x:v>0</x:v>
      </x:c>
      <x:c r="BK49" s="39" t="n">
        <x:v>0</x:v>
      </x:c>
      <x:c r="BL49" s="39" t="n">
        <x:v>0</x:v>
      </x:c>
      <x:c r="BM49" s="92" t="n">
        <x:f t="shared" si="6">SUM(E49:AN49)</x:f>
        <x:v>3265000</x:v>
      </x:c>
    </x:row>
    <x:row r="50" s="57" customFormat="1" ht="31.5">
      <x:c r="A50" s="120"/>
      <x:c r="B50" s="161" t="str">
        <x:v>Прогноз залишку грантового зобов’язання; не підтвердження виконання</x:v>
      </x:c>
      <x:c r="D50" s="92" t="s">
        <x:v>62</x:v>
      </x:c>
      <x:c r="E50" s="128" t="n">
        <x:f>'Модель 36 міс'!C68</x:f>
        <x:v>1799898</x:v>
      </x:c>
      <x:c r="F50" s="128" t="n">
        <x:f>'Модель 36 міс'!D68</x:f>
        <x:v>1752245.66</x:v>
      </x:c>
      <x:c r="G50" s="128" t="n">
        <x:f>'Модель 36 міс'!E68</x:f>
        <x:v>1704593.32</x:v>
      </x:c>
      <x:c r="H50" s="128" t="n">
        <x:f t="shared" ref="H50:BL50" si="7">'Модель 36 міс'!F68</x:f>
        <x:v>1652140.98</x:v>
      </x:c>
      <x:c r="I50" s="128" t="n">
        <x:f t="shared" si="7">'Модель 36 міс'!G68</x:f>
        <x:v>1599688.6400000001</x:v>
      </x:c>
      <x:c r="J50" s="128" t="n">
        <x:f t="shared" si="7">'Модель 36 міс'!H68</x:f>
        <x:v>1546036.3</x:v>
      </x:c>
      <x:c r="K50" s="128" t="n">
        <x:f t="shared" si="7">'Модель 36 міс'!I68</x:f>
        <x:v>1492383.96</x:v>
      </x:c>
      <x:c r="L50" s="128" t="n">
        <x:f t="shared" si="7">'Модель 36 міс'!J68</x:f>
        <x:v>1435731.62</x:v>
      </x:c>
      <x:c r="M50" s="128" t="n">
        <x:f t="shared" si="7">'Модель 36 міс'!K68</x:f>
        <x:v>1375029.28</x:v>
      </x:c>
      <x:c r="N50" s="128" t="n">
        <x:f t="shared" si="7">'Модель 36 міс'!L68</x:f>
        <x:v>1314326.94</x:v>
      </x:c>
      <x:c r="O50" s="128" t="n">
        <x:f t="shared" si="7">'Модель 36 міс'!M68</x:f>
        <x:v>1247624.6</x:v>
      </x:c>
      <x:c r="P50" s="128" t="n">
        <x:f t="shared" si="7">'Модель 36 міс'!N68</x:f>
        <x:v>1180922.2600000002</x:v>
      </x:c>
      <x:c r="Q50" s="128" t="n">
        <x:f t="shared" si="7">'Модель 36 міс'!O68</x:f>
        <x:v>1111969.9200000002</x:v>
      </x:c>
      <x:c r="R50" s="128" t="n">
        <x:f t="shared" si="7">'Модель 36 міс'!P68</x:f>
        <x:v>1038817.5800000002</x:v>
      </x:c>
      <x:c r="S50" s="128" t="n">
        <x:f t="shared" si="7">'Модель 36 міс'!Q68</x:f>
        <x:v>965665.2400000002</x:v>
      </x:c>
      <x:c r="T50" s="128" t="n">
        <x:f t="shared" si="7">'Модель 36 міс'!R68</x:f>
        <x:v>892512.9000000003</x:v>
      </x:c>
      <x:c r="U50" s="128" t="n">
        <x:f t="shared" si="7">'Модель 36 міс'!S68</x:f>
        <x:v>814110.5600000003</x:v>
      </x:c>
      <x:c r="V50" s="128" t="n">
        <x:f t="shared" si="7">'Модель 36 міс'!T68</x:f>
        <x:v>735708.2200000002</x:v>
      </x:c>
      <x:c r="W50" s="128" t="n">
        <x:f t="shared" si="7">'Модель 36 міс'!U68</x:f>
        <x:v>657305.8800000001</x:v>
      </x:c>
      <x:c r="X50" s="128" t="n">
        <x:f t="shared" si="7">'Модель 36 міс'!V68</x:f>
        <x:v>577103.54</x:v>
      </x:c>
      <x:c r="Y50" s="128" t="n">
        <x:f t="shared" si="7">'Модель 36 міс'!W68</x:f>
        <x:v>493901.19999999995</x:v>
      </x:c>
      <x:c r="Z50" s="128" t="n">
        <x:f t="shared" si="7">'Модель 36 міс'!X68</x:f>
        <x:v>404998.85999999987</x:v>
      </x:c>
      <x:c r="AA50" s="128" t="n">
        <x:f t="shared" si="7">'Модель 36 міс'!Y68</x:f>
        <x:v>316096.5199999998</x:v>
      </x:c>
      <x:c r="AB50" s="128" t="n">
        <x:f t="shared" si="7">'Модель 36 міс'!Z68</x:f>
        <x:v>224194.1799999997</x:v>
      </x:c>
      <x:c r="AC50" s="128" t="n">
        <x:f t="shared" si="7">'Модель 36 міс'!AA68</x:f>
        <x:v>132291.83999999962</x:v>
      </x:c>
      <x:c r="AD50" s="128" t="n">
        <x:f t="shared" si="7">'Модель 36 міс'!AB68</x:f>
        <x:v>40389.499999999534</x:v>
      </x:c>
      <x:c r="AE50" s="128" t="n">
        <x:f t="shared" si="7">'Модель 36 міс'!AC68</x:f>
        <x:v>0</x:v>
      </x:c>
      <x:c r="AF50" s="128" t="n">
        <x:f t="shared" si="7">'Модель 36 міс'!AD68</x:f>
        <x:v>0</x:v>
      </x:c>
      <x:c r="AG50" s="128" t="n">
        <x:f t="shared" si="7">'Модель 36 міс'!AE68</x:f>
        <x:v>0</x:v>
      </x:c>
      <x:c r="AH50" s="128" t="n">
        <x:f t="shared" si="7">'Модель 36 міс'!AF68</x:f>
        <x:v>0</x:v>
      </x:c>
      <x:c r="AI50" s="128" t="n">
        <x:f t="shared" si="7">'Модель 36 міс'!AG68</x:f>
        <x:v>0</x:v>
      </x:c>
      <x:c r="AJ50" s="128" t="n">
        <x:f t="shared" si="7">'Модель 36 міс'!AH68</x:f>
        <x:v>0</x:v>
      </x:c>
      <x:c r="AK50" s="128" t="n">
        <x:f t="shared" si="7">'Модель 36 міс'!AI68</x:f>
        <x:v>0</x:v>
      </x:c>
      <x:c r="AL50" s="128" t="n">
        <x:f t="shared" si="7">'Модель 36 міс'!AJ68</x:f>
        <x:v>0</x:v>
      </x:c>
      <x:c r="AM50" s="128" t="n">
        <x:f t="shared" si="7">'Модель 36 міс'!AK68</x:f>
        <x:v>0</x:v>
      </x:c>
      <x:c r="AN50" s="128" t="n">
        <x:f t="shared" si="7">'Модель 36 міс'!AL68</x:f>
        <x:v>0</x:v>
      </x:c>
      <x:c r="AO50" s="128" t="n">
        <x:f t="shared" si="7"/>
        <x:v>0</x:v>
      </x:c>
      <x:c r="AP50" s="128" t="n">
        <x:f t="shared" si="7"/>
        <x:v>0</x:v>
      </x:c>
      <x:c r="AQ50" s="128" t="n">
        <x:f t="shared" si="7"/>
        <x:v>0</x:v>
      </x:c>
      <x:c r="AR50" s="128" t="n">
        <x:f t="shared" si="7"/>
        <x:v>0</x:v>
      </x:c>
      <x:c r="AS50" s="128" t="n">
        <x:f t="shared" si="7"/>
        <x:v>0</x:v>
      </x:c>
      <x:c r="AT50" s="128" t="n">
        <x:f t="shared" si="7"/>
        <x:v>0</x:v>
      </x:c>
      <x:c r="AU50" s="128" t="n">
        <x:f t="shared" si="7"/>
        <x:v>0</x:v>
      </x:c>
      <x:c r="AV50" s="128" t="n">
        <x:f t="shared" si="7"/>
        <x:v>0</x:v>
      </x:c>
      <x:c r="AW50" s="128" t="n">
        <x:f t="shared" si="7"/>
        <x:v>0</x:v>
      </x:c>
      <x:c r="AX50" s="128" t="n">
        <x:f t="shared" si="7"/>
        <x:v>0</x:v>
      </x:c>
      <x:c r="AY50" s="128" t="n">
        <x:f t="shared" si="7"/>
        <x:v>0</x:v>
      </x:c>
      <x:c r="AZ50" s="128" t="n">
        <x:f t="shared" si="7"/>
        <x:v>0</x:v>
      </x:c>
      <x:c r="BA50" s="128" t="n">
        <x:f t="shared" si="7"/>
        <x:v>0</x:v>
      </x:c>
      <x:c r="BB50" s="128" t="n">
        <x:f t="shared" si="7"/>
        <x:v>0</x:v>
      </x:c>
      <x:c r="BC50" s="128" t="n">
        <x:f t="shared" si="7"/>
        <x:v>0</x:v>
      </x:c>
      <x:c r="BD50" s="128" t="n">
        <x:f t="shared" si="7"/>
        <x:v>0</x:v>
      </x:c>
      <x:c r="BE50" s="128" t="n">
        <x:f t="shared" si="7"/>
        <x:v>0</x:v>
      </x:c>
      <x:c r="BF50" s="128" t="n">
        <x:f t="shared" si="7"/>
        <x:v>0</x:v>
      </x:c>
      <x:c r="BG50" s="128" t="n">
        <x:f t="shared" si="7"/>
        <x:v>0</x:v>
      </x:c>
      <x:c r="BH50" s="128" t="n">
        <x:f t="shared" si="7"/>
        <x:v>0</x:v>
      </x:c>
      <x:c r="BI50" s="128" t="n">
        <x:f t="shared" si="7"/>
        <x:v>0</x:v>
      </x:c>
      <x:c r="BJ50" s="128" t="n">
        <x:f t="shared" si="7"/>
        <x:v>0</x:v>
      </x:c>
      <x:c r="BK50" s="128" t="n">
        <x:f t="shared" si="7"/>
        <x:v>0</x:v>
      </x:c>
      <x:c r="BL50" s="128" t="n">
        <x:f t="shared" si="7"/>
        <x:v>0</x:v>
      </x:c>
      <x:c r="BM50" s="92" t="n">
        <x:f>AN50</x:f>
        <x:v>0</x:v>
      </x:c>
    </x:row>
    <x:row r="51" s="57" customFormat="1" ht="31.5">
      <x:c r="A51" s="120"/>
      <x:c r="B51" s="162" t="s">
        <x:v>195</x:v>
      </x:c>
      <x:c r="C51" s="123"/>
      <x:c r="D51" s="124"/>
      <x:c r="E51" s="151"/>
      <x:c r="F51" s="151"/>
      <x:c r="G51" s="151"/>
      <x:c r="H51" s="151"/>
      <x:c r="I51" s="151"/>
      <x:c r="J51" s="151"/>
      <x:c r="K51" s="151"/>
      <x:c r="L51" s="125"/>
      <x:c r="M51" s="125"/>
      <x:c r="N51" s="125"/>
      <x:c r="O51" s="125"/>
      <x:c r="P51" s="125"/>
      <x:c r="Q51" s="125"/>
      <x:c r="R51" s="125"/>
      <x:c r="S51" s="125"/>
      <x:c r="T51" s="125"/>
      <x:c r="U51" s="125"/>
      <x:c r="V51" s="125"/>
      <x:c r="W51" s="125"/>
      <x:c r="X51" s="125"/>
      <x:c r="Y51" s="125"/>
      <x:c r="Z51" s="125"/>
      <x:c r="AA51" s="125"/>
      <x:c r="AB51" s="125"/>
      <x:c r="AC51" s="125"/>
      <x:c r="AD51" s="125"/>
      <x:c r="AE51" s="125"/>
      <x:c r="AF51" s="125"/>
      <x:c r="AG51" s="125"/>
      <x:c r="AH51" s="125"/>
      <x:c r="AI51" s="125"/>
      <x:c r="AJ51" s="125"/>
      <x:c r="AK51" s="125"/>
      <x:c r="AL51" s="125"/>
      <x:c r="AM51" s="125"/>
      <x:c r="AN51" s="125"/>
      <x:c r="AO51" s="125"/>
      <x:c r="AP51" s="125"/>
      <x:c r="AQ51" s="125"/>
      <x:c r="AR51" s="125"/>
      <x:c r="AS51" s="125"/>
      <x:c r="AT51" s="125"/>
      <x:c r="AU51" s="125"/>
      <x:c r="AV51" s="125"/>
      <x:c r="AW51" s="125"/>
      <x:c r="AX51" s="125"/>
      <x:c r="AY51" s="125"/>
      <x:c r="AZ51" s="125"/>
      <x:c r="BA51" s="125"/>
      <x:c r="BB51" s="125"/>
      <x:c r="BC51" s="125"/>
      <x:c r="BD51" s="125"/>
      <x:c r="BE51" s="125"/>
      <x:c r="BF51" s="125"/>
      <x:c r="BG51" s="125"/>
      <x:c r="BH51" s="125"/>
      <x:c r="BI51" s="125"/>
      <x:c r="BJ51" s="125"/>
      <x:c r="BK51" s="125"/>
      <x:c r="BL51" s="125"/>
      <x:c r="BM51" s="125"/>
    </x:row>
    <x:row r="52" s="57" customFormat="1">
      <x:c r="A52" s="120"/>
      <x:c r="B52" s="163" t="s">
        <x:v>196</x:v>
      </x:c>
      <x:c r="C52" s="107"/>
      <x:c r="D52" s="126"/>
      <x:c r="E52" s="128" t="n">
        <x:v>0</x:v>
      </x:c>
      <x:c r="F52" s="128" t="n">
        <x:f t="shared" ref="F52:BL52" si="8">IF(F$13&gt;IF($C$11="24 місяці",24,IF($C$11="36 місяців",36,60)),0,F48*18%)</x:f>
        <x:v>0</x:v>
      </x:c>
      <x:c r="G52" s="128" t="n">
        <x:f t="shared" si="8"/>
        <x:v>0</x:v>
      </x:c>
      <x:c r="H52" s="128" t="n">
        <x:f t="shared" si="8"/>
        <x:v>0</x:v>
      </x:c>
      <x:c r="I52" s="128" t="n">
        <x:f t="shared" si="8"/>
        <x:v>0</x:v>
      </x:c>
      <x:c r="J52" s="128" t="n">
        <x:f t="shared" si="8"/>
        <x:v>0</x:v>
      </x:c>
      <x:c r="K52" s="128" t="n">
        <x:f t="shared" si="8"/>
        <x:v>0</x:v>
      </x:c>
      <x:c r="L52" s="128" t="n">
        <x:f t="shared" si="8"/>
        <x:v>0</x:v>
      </x:c>
      <x:c r="M52" s="128" t="n">
        <x:f t="shared" si="8"/>
        <x:v>0</x:v>
      </x:c>
      <x:c r="N52" s="128" t="n">
        <x:f t="shared" si="8"/>
        <x:v>0</x:v>
      </x:c>
      <x:c r="O52" s="128" t="n">
        <x:f t="shared" si="8"/>
        <x:v>0</x:v>
      </x:c>
      <x:c r="P52" s="128" t="n">
        <x:f t="shared" si="8"/>
        <x:v>0</x:v>
      </x:c>
      <x:c r="Q52" s="128" t="n">
        <x:f t="shared" si="8"/>
        <x:v>0</x:v>
      </x:c>
      <x:c r="R52" s="128" t="n">
        <x:f t="shared" si="8"/>
        <x:v>0</x:v>
      </x:c>
      <x:c r="S52" s="128" t="n">
        <x:f t="shared" si="8"/>
        <x:v>0</x:v>
      </x:c>
      <x:c r="T52" s="128" t="n">
        <x:f t="shared" si="8"/>
        <x:v>0</x:v>
      </x:c>
      <x:c r="U52" s="128" t="n">
        <x:f t="shared" si="8"/>
        <x:v>0</x:v>
      </x:c>
      <x:c r="V52" s="128" t="n">
        <x:f t="shared" si="8"/>
        <x:v>0</x:v>
      </x:c>
      <x:c r="W52" s="128" t="n">
        <x:f t="shared" si="8"/>
        <x:v>0</x:v>
      </x:c>
      <x:c r="X52" s="128" t="n">
        <x:f t="shared" si="8"/>
        <x:v>0</x:v>
      </x:c>
      <x:c r="Y52" s="128" t="n">
        <x:f t="shared" si="8"/>
        <x:v>0</x:v>
      </x:c>
      <x:c r="Z52" s="128" t="n">
        <x:f t="shared" si="8"/>
        <x:v>0</x:v>
      </x:c>
      <x:c r="AA52" s="128" t="n">
        <x:f t="shared" si="8"/>
        <x:v>0</x:v>
      </x:c>
      <x:c r="AB52" s="128" t="n">
        <x:f t="shared" si="8"/>
        <x:v>0</x:v>
      </x:c>
      <x:c r="AC52" s="128" t="n">
        <x:f t="shared" si="8"/>
        <x:v>0</x:v>
      </x:c>
      <x:c r="AD52" s="128" t="n">
        <x:f t="shared" si="8"/>
        <x:v>0</x:v>
      </x:c>
      <x:c r="AE52" s="128" t="n">
        <x:f t="shared" si="8"/>
        <x:v>0</x:v>
      </x:c>
      <x:c r="AF52" s="128" t="n">
        <x:f t="shared" si="8"/>
        <x:v>0</x:v>
      </x:c>
      <x:c r="AG52" s="128" t="n">
        <x:f t="shared" si="8"/>
        <x:v>0</x:v>
      </x:c>
      <x:c r="AH52" s="128" t="n">
        <x:f t="shared" si="8"/>
        <x:v>0</x:v>
      </x:c>
      <x:c r="AI52" s="128" t="n">
        <x:f t="shared" si="8"/>
        <x:v>0</x:v>
      </x:c>
      <x:c r="AJ52" s="128" t="n">
        <x:f t="shared" si="8"/>
        <x:v>0</x:v>
      </x:c>
      <x:c r="AK52" s="128" t="n">
        <x:f t="shared" si="8"/>
        <x:v>0</x:v>
      </x:c>
      <x:c r="AL52" s="128" t="n">
        <x:f t="shared" si="8"/>
        <x:v>0</x:v>
      </x:c>
      <x:c r="AM52" s="128" t="n">
        <x:f t="shared" si="8"/>
        <x:v>0</x:v>
      </x:c>
      <x:c r="AN52" s="128" t="n">
        <x:f t="shared" si="8"/>
        <x:v>0</x:v>
      </x:c>
      <x:c r="AO52" s="128" t="n">
        <x:f t="shared" si="8"/>
        <x:v>0</x:v>
      </x:c>
      <x:c r="AP52" s="128" t="n">
        <x:f t="shared" si="8"/>
        <x:v>0</x:v>
      </x:c>
      <x:c r="AQ52" s="128" t="n">
        <x:f t="shared" si="8"/>
        <x:v>0</x:v>
      </x:c>
      <x:c r="AR52" s="128" t="n">
        <x:f t="shared" si="8"/>
        <x:v>0</x:v>
      </x:c>
      <x:c r="AS52" s="128" t="n">
        <x:f t="shared" si="8"/>
        <x:v>0</x:v>
      </x:c>
      <x:c r="AT52" s="128" t="n">
        <x:f t="shared" si="8"/>
        <x:v>0</x:v>
      </x:c>
      <x:c r="AU52" s="128" t="n">
        <x:f t="shared" si="8"/>
        <x:v>0</x:v>
      </x:c>
      <x:c r="AV52" s="128" t="n">
        <x:f t="shared" si="8"/>
        <x:v>0</x:v>
      </x:c>
      <x:c r="AW52" s="128" t="n">
        <x:f t="shared" si="8"/>
        <x:v>0</x:v>
      </x:c>
      <x:c r="AX52" s="128" t="n">
        <x:f t="shared" si="8"/>
        <x:v>0</x:v>
      </x:c>
      <x:c r="AY52" s="128" t="n">
        <x:f t="shared" si="8"/>
        <x:v>0</x:v>
      </x:c>
      <x:c r="AZ52" s="128" t="n">
        <x:f t="shared" si="8"/>
        <x:v>0</x:v>
      </x:c>
      <x:c r="BA52" s="128" t="n">
        <x:f t="shared" si="8"/>
        <x:v>0</x:v>
      </x:c>
      <x:c r="BB52" s="128" t="n">
        <x:f t="shared" si="8"/>
        <x:v>0</x:v>
      </x:c>
      <x:c r="BC52" s="128" t="n">
        <x:f t="shared" si="8"/>
        <x:v>0</x:v>
      </x:c>
      <x:c r="BD52" s="128" t="n">
        <x:f t="shared" si="8"/>
        <x:v>0</x:v>
      </x:c>
      <x:c r="BE52" s="128" t="n">
        <x:f t="shared" si="8"/>
        <x:v>0</x:v>
      </x:c>
      <x:c r="BF52" s="128" t="n">
        <x:f t="shared" si="8"/>
        <x:v>0</x:v>
      </x:c>
      <x:c r="BG52" s="128" t="n">
        <x:f t="shared" si="8"/>
        <x:v>0</x:v>
      </x:c>
      <x:c r="BH52" s="128" t="n">
        <x:f t="shared" si="8"/>
        <x:v>0</x:v>
      </x:c>
      <x:c r="BI52" s="128" t="n">
        <x:f t="shared" si="8"/>
        <x:v>0</x:v>
      </x:c>
      <x:c r="BJ52" s="128" t="n">
        <x:f t="shared" si="8"/>
        <x:v>0</x:v>
      </x:c>
      <x:c r="BK52" s="128" t="n">
        <x:f t="shared" si="8"/>
        <x:v>0</x:v>
      </x:c>
      <x:c r="BL52" s="128" t="n">
        <x:f t="shared" si="8"/>
        <x:v>0</x:v>
      </x:c>
      <x:c r="BM52" s="92" t="n">
        <x:f t="shared" si="6">SUM(E52:AN52)</x:f>
        <x:v>0</x:v>
      </x:c>
    </x:row>
    <x:row r="53" s="57" customFormat="1">
      <x:c r="A53" s="120"/>
      <x:c r="B53" s="163" t="s">
        <x:v>197</x:v>
      </x:c>
      <x:c r="C53" s="107"/>
      <x:c r="D53" s="126"/>
      <x:c r="E53" s="128" t="n">
        <x:v>0</x:v>
      </x:c>
      <x:c r="F53" s="128" t="n">
        <x:f t="shared" ref="F53:BL53" si="9">IF(F$13&gt;IF($C$11="24 місяці",24,IF($C$11="36 місяців",36,60)),0,F48*5%)</x:f>
        <x:v>0</x:v>
      </x:c>
      <x:c r="G53" s="128" t="n">
        <x:f t="shared" si="9"/>
        <x:v>0</x:v>
      </x:c>
      <x:c r="H53" s="128" t="n">
        <x:f t="shared" si="9"/>
        <x:v>0</x:v>
      </x:c>
      <x:c r="I53" s="128" t="n">
        <x:f t="shared" si="9"/>
        <x:v>0</x:v>
      </x:c>
      <x:c r="J53" s="128" t="n">
        <x:f t="shared" si="9"/>
        <x:v>0</x:v>
      </x:c>
      <x:c r="K53" s="128" t="n">
        <x:f t="shared" si="9"/>
        <x:v>0</x:v>
      </x:c>
      <x:c r="L53" s="128" t="n">
        <x:f t="shared" si="9"/>
        <x:v>0</x:v>
      </x:c>
      <x:c r="M53" s="128" t="n">
        <x:f t="shared" si="9"/>
        <x:v>0</x:v>
      </x:c>
      <x:c r="N53" s="128" t="n">
        <x:f t="shared" si="9"/>
        <x:v>0</x:v>
      </x:c>
      <x:c r="O53" s="128" t="n">
        <x:f t="shared" si="9"/>
        <x:v>0</x:v>
      </x:c>
      <x:c r="P53" s="128" t="n">
        <x:f t="shared" si="9"/>
        <x:v>0</x:v>
      </x:c>
      <x:c r="Q53" s="128" t="n">
        <x:f t="shared" si="9"/>
        <x:v>0</x:v>
      </x:c>
      <x:c r="R53" s="128" t="n">
        <x:f t="shared" si="9"/>
        <x:v>0</x:v>
      </x:c>
      <x:c r="S53" s="128" t="n">
        <x:f t="shared" si="9"/>
        <x:v>0</x:v>
      </x:c>
      <x:c r="T53" s="128" t="n">
        <x:f t="shared" si="9"/>
        <x:v>0</x:v>
      </x:c>
      <x:c r="U53" s="128" t="n">
        <x:f t="shared" si="9"/>
        <x:v>0</x:v>
      </x:c>
      <x:c r="V53" s="128" t="n">
        <x:f t="shared" si="9"/>
        <x:v>0</x:v>
      </x:c>
      <x:c r="W53" s="128" t="n">
        <x:f t="shared" si="9"/>
        <x:v>0</x:v>
      </x:c>
      <x:c r="X53" s="128" t="n">
        <x:f t="shared" si="9"/>
        <x:v>0</x:v>
      </x:c>
      <x:c r="Y53" s="128" t="n">
        <x:f t="shared" si="9"/>
        <x:v>0</x:v>
      </x:c>
      <x:c r="Z53" s="128" t="n">
        <x:f t="shared" si="9"/>
        <x:v>0</x:v>
      </x:c>
      <x:c r="AA53" s="128" t="n">
        <x:f t="shared" si="9"/>
        <x:v>0</x:v>
      </x:c>
      <x:c r="AB53" s="128" t="n">
        <x:f t="shared" si="9"/>
        <x:v>0</x:v>
      </x:c>
      <x:c r="AC53" s="128" t="n">
        <x:f t="shared" si="9"/>
        <x:v>0</x:v>
      </x:c>
      <x:c r="AD53" s="128" t="n">
        <x:f t="shared" si="9"/>
        <x:v>0</x:v>
      </x:c>
      <x:c r="AE53" s="128" t="n">
        <x:f t="shared" si="9"/>
        <x:v>0</x:v>
      </x:c>
      <x:c r="AF53" s="128" t="n">
        <x:f t="shared" si="9"/>
        <x:v>0</x:v>
      </x:c>
      <x:c r="AG53" s="128" t="n">
        <x:f t="shared" si="9"/>
        <x:v>0</x:v>
      </x:c>
      <x:c r="AH53" s="128" t="n">
        <x:f t="shared" si="9"/>
        <x:v>0</x:v>
      </x:c>
      <x:c r="AI53" s="128" t="n">
        <x:f t="shared" si="9"/>
        <x:v>0</x:v>
      </x:c>
      <x:c r="AJ53" s="128" t="n">
        <x:f t="shared" si="9"/>
        <x:v>0</x:v>
      </x:c>
      <x:c r="AK53" s="128" t="n">
        <x:f t="shared" si="9"/>
        <x:v>0</x:v>
      </x:c>
      <x:c r="AL53" s="128" t="n">
        <x:f t="shared" si="9"/>
        <x:v>0</x:v>
      </x:c>
      <x:c r="AM53" s="128" t="n">
        <x:f t="shared" si="9"/>
        <x:v>0</x:v>
      </x:c>
      <x:c r="AN53" s="128" t="n">
        <x:f t="shared" si="9"/>
        <x:v>0</x:v>
      </x:c>
      <x:c r="AO53" s="128" t="n">
        <x:f t="shared" si="9"/>
        <x:v>0</x:v>
      </x:c>
      <x:c r="AP53" s="128" t="n">
        <x:f t="shared" si="9"/>
        <x:v>0</x:v>
      </x:c>
      <x:c r="AQ53" s="128" t="n">
        <x:f t="shared" si="9"/>
        <x:v>0</x:v>
      </x:c>
      <x:c r="AR53" s="128" t="n">
        <x:f t="shared" si="9"/>
        <x:v>0</x:v>
      </x:c>
      <x:c r="AS53" s="128" t="n">
        <x:f t="shared" si="9"/>
        <x:v>0</x:v>
      </x:c>
      <x:c r="AT53" s="128" t="n">
        <x:f t="shared" si="9"/>
        <x:v>0</x:v>
      </x:c>
      <x:c r="AU53" s="128" t="n">
        <x:f t="shared" si="9"/>
        <x:v>0</x:v>
      </x:c>
      <x:c r="AV53" s="128" t="n">
        <x:f t="shared" si="9"/>
        <x:v>0</x:v>
      </x:c>
      <x:c r="AW53" s="128" t="n">
        <x:f t="shared" si="9"/>
        <x:v>0</x:v>
      </x:c>
      <x:c r="AX53" s="128" t="n">
        <x:f t="shared" si="9"/>
        <x:v>0</x:v>
      </x:c>
      <x:c r="AY53" s="128" t="n">
        <x:f t="shared" si="9"/>
        <x:v>0</x:v>
      </x:c>
      <x:c r="AZ53" s="128" t="n">
        <x:f t="shared" si="9"/>
        <x:v>0</x:v>
      </x:c>
      <x:c r="BA53" s="128" t="n">
        <x:f t="shared" si="9"/>
        <x:v>0</x:v>
      </x:c>
      <x:c r="BB53" s="128" t="n">
        <x:f t="shared" si="9"/>
        <x:v>0</x:v>
      </x:c>
      <x:c r="BC53" s="128" t="n">
        <x:f t="shared" si="9"/>
        <x:v>0</x:v>
      </x:c>
      <x:c r="BD53" s="128" t="n">
        <x:f t="shared" si="9"/>
        <x:v>0</x:v>
      </x:c>
      <x:c r="BE53" s="128" t="n">
        <x:f t="shared" si="9"/>
        <x:v>0</x:v>
      </x:c>
      <x:c r="BF53" s="128" t="n">
        <x:f t="shared" si="9"/>
        <x:v>0</x:v>
      </x:c>
      <x:c r="BG53" s="128" t="n">
        <x:f t="shared" si="9"/>
        <x:v>0</x:v>
      </x:c>
      <x:c r="BH53" s="128" t="n">
        <x:f t="shared" si="9"/>
        <x:v>0</x:v>
      </x:c>
      <x:c r="BI53" s="128" t="n">
        <x:f t="shared" si="9"/>
        <x:v>0</x:v>
      </x:c>
      <x:c r="BJ53" s="128" t="n">
        <x:f t="shared" si="9"/>
        <x:v>0</x:v>
      </x:c>
      <x:c r="BK53" s="128" t="n">
        <x:f t="shared" si="9"/>
        <x:v>0</x:v>
      </x:c>
      <x:c r="BL53" s="128" t="n">
        <x:f t="shared" si="9"/>
        <x:v>0</x:v>
      </x:c>
      <x:c r="BM53" s="92" t="n">
        <x:f t="shared" si="6">SUM(E53:AN53)</x:f>
        <x:v>0</x:v>
      </x:c>
    </x:row>
    <x:row r="54" s="57" customFormat="1">
      <x:c r="A54" s="120"/>
      <x:c r="B54" s="163" t="s">
        <x:v>198</x:v>
      </x:c>
      <x:c r="C54" s="107"/>
      <x:c r="D54" s="126"/>
      <x:c r="E54" s="128" t="n">
        <x:v>0</x:v>
      </x:c>
      <x:c r="F54" s="128" t="n">
        <x:f t="shared" ref="F54:BL54" si="10">IF(F$13&gt;IF($C$11="24 місяці",24,IF($C$11="36 місяців",36,60)),0,F48*22%)</x:f>
        <x:v>0</x:v>
      </x:c>
      <x:c r="G54" s="128" t="n">
        <x:f t="shared" si="10"/>
        <x:v>0</x:v>
      </x:c>
      <x:c r="H54" s="128" t="n">
        <x:f t="shared" si="10"/>
        <x:v>0</x:v>
      </x:c>
      <x:c r="I54" s="128" t="n">
        <x:f t="shared" si="10"/>
        <x:v>0</x:v>
      </x:c>
      <x:c r="J54" s="128" t="n">
        <x:f t="shared" si="10"/>
        <x:v>0</x:v>
      </x:c>
      <x:c r="K54" s="128" t="n">
        <x:f t="shared" si="10"/>
        <x:v>0</x:v>
      </x:c>
      <x:c r="L54" s="128" t="n">
        <x:f t="shared" si="10"/>
        <x:v>0</x:v>
      </x:c>
      <x:c r="M54" s="128" t="n">
        <x:f t="shared" si="10"/>
        <x:v>0</x:v>
      </x:c>
      <x:c r="N54" s="128" t="n">
        <x:f t="shared" si="10"/>
        <x:v>0</x:v>
      </x:c>
      <x:c r="O54" s="128" t="n">
        <x:f t="shared" si="10"/>
        <x:v>0</x:v>
      </x:c>
      <x:c r="P54" s="128" t="n">
        <x:f t="shared" si="10"/>
        <x:v>0</x:v>
      </x:c>
      <x:c r="Q54" s="128" t="n">
        <x:f t="shared" si="10"/>
        <x:v>0</x:v>
      </x:c>
      <x:c r="R54" s="128" t="n">
        <x:f t="shared" si="10"/>
        <x:v>0</x:v>
      </x:c>
      <x:c r="S54" s="128" t="n">
        <x:f t="shared" si="10"/>
        <x:v>0</x:v>
      </x:c>
      <x:c r="T54" s="128" t="n">
        <x:f t="shared" si="10"/>
        <x:v>0</x:v>
      </x:c>
      <x:c r="U54" s="128" t="n">
        <x:f t="shared" si="10"/>
        <x:v>0</x:v>
      </x:c>
      <x:c r="V54" s="128" t="n">
        <x:f t="shared" si="10"/>
        <x:v>0</x:v>
      </x:c>
      <x:c r="W54" s="128" t="n">
        <x:f t="shared" si="10"/>
        <x:v>0</x:v>
      </x:c>
      <x:c r="X54" s="128" t="n">
        <x:f t="shared" si="10"/>
        <x:v>0</x:v>
      </x:c>
      <x:c r="Y54" s="128" t="n">
        <x:f t="shared" si="10"/>
        <x:v>0</x:v>
      </x:c>
      <x:c r="Z54" s="128" t="n">
        <x:f t="shared" si="10"/>
        <x:v>0</x:v>
      </x:c>
      <x:c r="AA54" s="128" t="n">
        <x:f t="shared" si="10"/>
        <x:v>0</x:v>
      </x:c>
      <x:c r="AB54" s="128" t="n">
        <x:f t="shared" si="10"/>
        <x:v>0</x:v>
      </x:c>
      <x:c r="AC54" s="128" t="n">
        <x:f t="shared" si="10"/>
        <x:v>0</x:v>
      </x:c>
      <x:c r="AD54" s="128" t="n">
        <x:f t="shared" si="10"/>
        <x:v>0</x:v>
      </x:c>
      <x:c r="AE54" s="128" t="n">
        <x:f t="shared" si="10"/>
        <x:v>0</x:v>
      </x:c>
      <x:c r="AF54" s="128" t="n">
        <x:f t="shared" si="10"/>
        <x:v>0</x:v>
      </x:c>
      <x:c r="AG54" s="128" t="n">
        <x:f t="shared" si="10"/>
        <x:v>0</x:v>
      </x:c>
      <x:c r="AH54" s="128" t="n">
        <x:f t="shared" si="10"/>
        <x:v>0</x:v>
      </x:c>
      <x:c r="AI54" s="128" t="n">
        <x:f t="shared" si="10"/>
        <x:v>0</x:v>
      </x:c>
      <x:c r="AJ54" s="128" t="n">
        <x:f t="shared" si="10"/>
        <x:v>0</x:v>
      </x:c>
      <x:c r="AK54" s="128" t="n">
        <x:f t="shared" si="10"/>
        <x:v>0</x:v>
      </x:c>
      <x:c r="AL54" s="128" t="n">
        <x:f t="shared" si="10"/>
        <x:v>0</x:v>
      </x:c>
      <x:c r="AM54" s="128" t="n">
        <x:f t="shared" si="10"/>
        <x:v>0</x:v>
      </x:c>
      <x:c r="AN54" s="128" t="n">
        <x:f t="shared" si="10"/>
        <x:v>0</x:v>
      </x:c>
      <x:c r="AO54" s="128" t="n">
        <x:f t="shared" si="10"/>
        <x:v>0</x:v>
      </x:c>
      <x:c r="AP54" s="128" t="n">
        <x:f t="shared" si="10"/>
        <x:v>0</x:v>
      </x:c>
      <x:c r="AQ54" s="128" t="n">
        <x:f t="shared" si="10"/>
        <x:v>0</x:v>
      </x:c>
      <x:c r="AR54" s="128" t="n">
        <x:f t="shared" si="10"/>
        <x:v>0</x:v>
      </x:c>
      <x:c r="AS54" s="128" t="n">
        <x:f t="shared" si="10"/>
        <x:v>0</x:v>
      </x:c>
      <x:c r="AT54" s="128" t="n">
        <x:f t="shared" si="10"/>
        <x:v>0</x:v>
      </x:c>
      <x:c r="AU54" s="128" t="n">
        <x:f t="shared" si="10"/>
        <x:v>0</x:v>
      </x:c>
      <x:c r="AV54" s="128" t="n">
        <x:f t="shared" si="10"/>
        <x:v>0</x:v>
      </x:c>
      <x:c r="AW54" s="128" t="n">
        <x:f t="shared" si="10"/>
        <x:v>0</x:v>
      </x:c>
      <x:c r="AX54" s="128" t="n">
        <x:f t="shared" si="10"/>
        <x:v>0</x:v>
      </x:c>
      <x:c r="AY54" s="128" t="n">
        <x:f t="shared" si="10"/>
        <x:v>0</x:v>
      </x:c>
      <x:c r="AZ54" s="128" t="n">
        <x:f t="shared" si="10"/>
        <x:v>0</x:v>
      </x:c>
      <x:c r="BA54" s="128" t="n">
        <x:f t="shared" si="10"/>
        <x:v>0</x:v>
      </x:c>
      <x:c r="BB54" s="128" t="n">
        <x:f t="shared" si="10"/>
        <x:v>0</x:v>
      </x:c>
      <x:c r="BC54" s="128" t="n">
        <x:f t="shared" si="10"/>
        <x:v>0</x:v>
      </x:c>
      <x:c r="BD54" s="128" t="n">
        <x:f t="shared" si="10"/>
        <x:v>0</x:v>
      </x:c>
      <x:c r="BE54" s="128" t="n">
        <x:f t="shared" si="10"/>
        <x:v>0</x:v>
      </x:c>
      <x:c r="BF54" s="128" t="n">
        <x:f t="shared" si="10"/>
        <x:v>0</x:v>
      </x:c>
      <x:c r="BG54" s="128" t="n">
        <x:f t="shared" si="10"/>
        <x:v>0</x:v>
      </x:c>
      <x:c r="BH54" s="128" t="n">
        <x:f t="shared" si="10"/>
        <x:v>0</x:v>
      </x:c>
      <x:c r="BI54" s="128" t="n">
        <x:f t="shared" si="10"/>
        <x:v>0</x:v>
      </x:c>
      <x:c r="BJ54" s="128" t="n">
        <x:f t="shared" si="10"/>
        <x:v>0</x:v>
      </x:c>
      <x:c r="BK54" s="128" t="n">
        <x:f t="shared" si="10"/>
        <x:v>0</x:v>
      </x:c>
      <x:c r="BL54" s="128" t="n">
        <x:f t="shared" si="10"/>
        <x:v>0</x:v>
      </x:c>
      <x:c r="BM54" s="92" t="n">
        <x:f t="shared" si="6">SUM(E54:AN54)</x:f>
        <x:v>0</x:v>
      </x:c>
    </x:row>
    <x:row r="55" s="57" customFormat="1" ht="31.5">
      <x:c r="A55" s="120"/>
      <x:c r="B55" s="164" t="s">
        <x:v>199</x:v>
      </x:c>
      <x:c r="C55" s="122"/>
      <x:c r="D55" s="127"/>
      <x:c r="E55" s="125"/>
      <x:c r="F55" s="125"/>
      <x:c r="G55" s="125"/>
      <x:c r="H55" s="125"/>
      <x:c r="I55" s="125"/>
      <x:c r="J55" s="125"/>
      <x:c r="K55" s="125"/>
      <x:c r="L55" s="125"/>
      <x:c r="M55" s="125"/>
      <x:c r="N55" s="125"/>
      <x:c r="O55" s="125"/>
      <x:c r="P55" s="125"/>
      <x:c r="Q55" s="125"/>
      <x:c r="R55" s="125"/>
      <x:c r="S55" s="125"/>
      <x:c r="T55" s="125"/>
      <x:c r="U55" s="125"/>
      <x:c r="V55" s="125"/>
      <x:c r="W55" s="125"/>
      <x:c r="X55" s="125"/>
      <x:c r="Y55" s="125"/>
      <x:c r="Z55" s="125"/>
      <x:c r="AA55" s="125"/>
      <x:c r="AB55" s="125"/>
      <x:c r="AC55" s="125"/>
      <x:c r="AD55" s="125"/>
      <x:c r="AE55" s="125"/>
      <x:c r="AF55" s="125"/>
      <x:c r="AG55" s="125"/>
      <x:c r="AH55" s="125"/>
      <x:c r="AI55" s="125"/>
      <x:c r="AJ55" s="125"/>
      <x:c r="AK55" s="125"/>
      <x:c r="AL55" s="125"/>
      <x:c r="AM55" s="125"/>
      <x:c r="AN55" s="125"/>
      <x:c r="AO55" s="125"/>
      <x:c r="AP55" s="125"/>
      <x:c r="AQ55" s="125"/>
      <x:c r="AR55" s="125"/>
      <x:c r="AS55" s="125"/>
      <x:c r="AT55" s="125"/>
      <x:c r="AU55" s="125"/>
      <x:c r="AV55" s="125"/>
      <x:c r="AW55" s="125"/>
      <x:c r="AX55" s="125"/>
      <x:c r="AY55" s="125"/>
      <x:c r="AZ55" s="125"/>
      <x:c r="BA55" s="125"/>
      <x:c r="BB55" s="125"/>
      <x:c r="BC55" s="125"/>
      <x:c r="BD55" s="125"/>
      <x:c r="BE55" s="125"/>
      <x:c r="BF55" s="125"/>
      <x:c r="BG55" s="125"/>
      <x:c r="BH55" s="125"/>
      <x:c r="BI55" s="125"/>
      <x:c r="BJ55" s="125"/>
      <x:c r="BK55" s="125"/>
      <x:c r="BL55" s="125"/>
      <x:c r="BM55" s="125"/>
    </x:row>
    <x:row r="56" s="57" customFormat="1" ht="31.5">
      <x:c r="A56" s="120"/>
      <x:c r="B56" s="163" t="s">
        <x:v>200</x:v>
      </x:c>
      <x:c r="C56" s="107"/>
      <x:c r="D56" s="126"/>
      <x:c r="E56" s="128" t="n">
        <x:f t="shared" ref="E56:AJ56" si="11">'Модель 36 міс'!C52</x:f>
        <x:v>13500</x:v>
      </x:c>
      <x:c r="F56" s="128" t="n">
        <x:f t="shared" si="11">'Модель 36 міс'!D52</x:f>
        <x:v>13500</x:v>
      </x:c>
      <x:c r="G56" s="128" t="n">
        <x:f t="shared" si="11">'Модель 36 міс'!E52</x:f>
        <x:v>13500</x:v>
      </x:c>
      <x:c r="H56" s="128" t="n">
        <x:f t="shared" si="11">'Модель 36 міс'!F52</x:f>
        <x:v>13500</x:v>
      </x:c>
      <x:c r="I56" s="128" t="n">
        <x:f t="shared" si="11">'Модель 36 міс'!G52</x:f>
        <x:v>13500</x:v>
      </x:c>
      <x:c r="J56" s="128" t="n">
        <x:f t="shared" si="11">'Модель 36 міс'!H52</x:f>
        <x:v>13500</x:v>
      </x:c>
      <x:c r="K56" s="128" t="n">
        <x:f t="shared" si="11">'Модель 36 міс'!I52</x:f>
        <x:v>13500</x:v>
      </x:c>
      <x:c r="L56" s="128" t="n">
        <x:f t="shared" si="11">'Модель 36 міс'!J52</x:f>
        <x:v>13500</x:v>
      </x:c>
      <x:c r="M56" s="128" t="n">
        <x:f t="shared" si="11">'Модель 36 міс'!K52</x:f>
        <x:v>14400</x:v>
      </x:c>
      <x:c r="N56" s="128" t="n">
        <x:f t="shared" si="11">'Модель 36 міс'!L52</x:f>
        <x:v>14400</x:v>
      </x:c>
      <x:c r="O56" s="128" t="n">
        <x:f t="shared" si="11">'Модель 36 міс'!M52</x:f>
        <x:v>14400</x:v>
      </x:c>
      <x:c r="P56" s="128" t="n">
        <x:f t="shared" si="11">'Модель 36 міс'!N52</x:f>
        <x:v>14400</x:v>
      </x:c>
      <x:c r="Q56" s="128" t="n">
        <x:f t="shared" si="11">'Модель 36 міс'!O52</x:f>
        <x:v>15300</x:v>
      </x:c>
      <x:c r="R56" s="128" t="n">
        <x:f t="shared" si="11">'Модель 36 міс'!P52</x:f>
        <x:v>15300</x:v>
      </x:c>
      <x:c r="S56" s="128" t="n">
        <x:f t="shared" si="11">'Модель 36 міс'!Q52</x:f>
        <x:v>15300</x:v>
      </x:c>
      <x:c r="T56" s="128" t="n">
        <x:f t="shared" si="11">'Модель 36 міс'!R52</x:f>
        <x:v>15300</x:v>
      </x:c>
      <x:c r="U56" s="128" t="n">
        <x:f t="shared" si="11">'Модель 36 міс'!S52</x:f>
        <x:v>16200</x:v>
      </x:c>
      <x:c r="V56" s="128" t="n">
        <x:f t="shared" si="11">'Модель 36 міс'!T52</x:f>
        <x:v>16200</x:v>
      </x:c>
      <x:c r="W56" s="128" t="n">
        <x:f t="shared" si="11">'Модель 36 міс'!U52</x:f>
        <x:v>16200</x:v>
      </x:c>
      <x:c r="X56" s="128" t="n">
        <x:f t="shared" si="11">'Модель 36 міс'!V52</x:f>
        <x:v>16200</x:v>
      </x:c>
      <x:c r="Y56" s="128" t="n">
        <x:f t="shared" si="11">'Модель 36 міс'!W52</x:f>
        <x:v>16200</x:v>
      </x:c>
      <x:c r="Z56" s="128" t="n">
        <x:f t="shared" si="11">'Модель 36 міс'!X52</x:f>
        <x:v>18000</x:v>
      </x:c>
      <x:c r="AA56" s="128" t="n">
        <x:f t="shared" si="11">'Модель 36 міс'!Y52</x:f>
        <x:v>18000</x:v>
      </x:c>
      <x:c r="AB56" s="128" t="n">
        <x:f t="shared" si="11">'Модель 36 міс'!Z52</x:f>
        <x:v>18000</x:v>
      </x:c>
      <x:c r="AC56" s="128" t="n">
        <x:f t="shared" si="11">'Модель 36 міс'!AA52</x:f>
        <x:v>18000</x:v>
      </x:c>
      <x:c r="AD56" s="128" t="n">
        <x:f t="shared" si="11">'Модель 36 міс'!AB52</x:f>
        <x:v>18000</x:v>
      </x:c>
      <x:c r="AE56" s="128" t="n">
        <x:f t="shared" si="11">'Модель 36 міс'!AC52</x:f>
        <x:v>18000</x:v>
      </x:c>
      <x:c r="AF56" s="128" t="n">
        <x:f t="shared" si="11">'Модель 36 міс'!AD52</x:f>
        <x:v>18900</x:v>
      </x:c>
      <x:c r="AG56" s="128" t="n">
        <x:f t="shared" si="11">'Модель 36 міс'!AE52</x:f>
        <x:v>18900</x:v>
      </x:c>
      <x:c r="AH56" s="128" t="n">
        <x:f t="shared" si="11">'Модель 36 міс'!AF52</x:f>
        <x:v>18900</x:v>
      </x:c>
      <x:c r="AI56" s="128" t="n">
        <x:f t="shared" si="11">'Модель 36 міс'!AG52</x:f>
        <x:v>18900</x:v>
      </x:c>
      <x:c r="AJ56" s="128" t="n">
        <x:f t="shared" si="11">'Модель 36 міс'!AH52</x:f>
        <x:v>18900</x:v>
      </x:c>
      <x:c r="AK56" s="128" t="n">
        <x:f t="shared" ref="AK56:BL56" si="12">'Модель 36 міс'!AI52</x:f>
        <x:v>18900</x:v>
      </x:c>
      <x:c r="AL56" s="128" t="n">
        <x:f t="shared" si="12">'Модель 36 міс'!AJ52</x:f>
        <x:v>18900</x:v>
      </x:c>
      <x:c r="AM56" s="128" t="n">
        <x:f t="shared" si="12">'Модель 36 міс'!AK52</x:f>
        <x:v>19800</x:v>
      </x:c>
      <x:c r="AN56" s="128" t="n">
        <x:f t="shared" si="12">'Модель 36 міс'!AL52</x:f>
        <x:v>19800</x:v>
      </x:c>
      <x:c r="AO56" s="128" t="n">
        <x:f t="shared" si="12"/>
        <x:v>0</x:v>
      </x:c>
      <x:c r="AP56" s="128" t="n">
        <x:f t="shared" si="12"/>
        <x:v>0</x:v>
      </x:c>
      <x:c r="AQ56" s="128" t="n">
        <x:f t="shared" si="12"/>
        <x:v>0</x:v>
      </x:c>
      <x:c r="AR56" s="128" t="n">
        <x:f t="shared" si="12"/>
        <x:v>0</x:v>
      </x:c>
      <x:c r="AS56" s="128" t="n">
        <x:f t="shared" si="12"/>
        <x:v>0</x:v>
      </x:c>
      <x:c r="AT56" s="128" t="n">
        <x:f t="shared" si="12"/>
        <x:v>0</x:v>
      </x:c>
      <x:c r="AU56" s="128" t="n">
        <x:f t="shared" si="12"/>
        <x:v>0</x:v>
      </x:c>
      <x:c r="AV56" s="128" t="n">
        <x:f t="shared" si="12"/>
        <x:v>0</x:v>
      </x:c>
      <x:c r="AW56" s="128" t="n">
        <x:f t="shared" si="12"/>
        <x:v>0</x:v>
      </x:c>
      <x:c r="AX56" s="128" t="n">
        <x:f t="shared" si="12"/>
        <x:v>0</x:v>
      </x:c>
      <x:c r="AY56" s="128" t="n">
        <x:f t="shared" si="12"/>
        <x:v>0</x:v>
      </x:c>
      <x:c r="AZ56" s="128" t="n">
        <x:f t="shared" si="12"/>
        <x:v>0</x:v>
      </x:c>
      <x:c r="BA56" s="128" t="n">
        <x:f t="shared" si="12"/>
        <x:v>0</x:v>
      </x:c>
      <x:c r="BB56" s="128" t="n">
        <x:f t="shared" si="12"/>
        <x:v>0</x:v>
      </x:c>
      <x:c r="BC56" s="128" t="n">
        <x:f t="shared" si="12"/>
        <x:v>0</x:v>
      </x:c>
      <x:c r="BD56" s="128" t="n">
        <x:f t="shared" si="12"/>
        <x:v>0</x:v>
      </x:c>
      <x:c r="BE56" s="128" t="n">
        <x:f t="shared" si="12"/>
        <x:v>0</x:v>
      </x:c>
      <x:c r="BF56" s="128" t="n">
        <x:f t="shared" si="12"/>
        <x:v>0</x:v>
      </x:c>
      <x:c r="BG56" s="128" t="n">
        <x:f t="shared" si="12"/>
        <x:v>0</x:v>
      </x:c>
      <x:c r="BH56" s="128" t="n">
        <x:f t="shared" si="12"/>
        <x:v>0</x:v>
      </x:c>
      <x:c r="BI56" s="128" t="n">
        <x:f t="shared" si="12"/>
        <x:v>0</x:v>
      </x:c>
      <x:c r="BJ56" s="128" t="n">
        <x:f t="shared" si="12"/>
        <x:v>0</x:v>
      </x:c>
      <x:c r="BK56" s="128" t="n">
        <x:f t="shared" si="12"/>
        <x:v>0</x:v>
      </x:c>
      <x:c r="BL56" s="128" t="n">
        <x:f t="shared" si="12"/>
        <x:v>0</x:v>
      </x:c>
      <x:c r="BM56" s="92" t="n">
        <x:f t="shared" si="6">SUM(E56:AN56)</x:f>
        <x:v>587700</x:v>
      </x:c>
    </x:row>
    <x:row r="57" s="57" customFormat="1" ht="31.5">
      <x:c r="A57" s="120"/>
      <x:c r="B57" s="163" t="s">
        <x:v>201</x:v>
      </x:c>
      <x:c r="C57" s="107"/>
      <x:c r="D57" s="126"/>
      <x:c r="E57" s="128" t="n">
        <x:f t="shared" ref="E57:AJ57" si="13">'Модель 36 міс'!C53</x:f>
        <x:v>3750</x:v>
      </x:c>
      <x:c r="F57" s="128" t="n">
        <x:f t="shared" si="13">'Модель 36 міс'!D53</x:f>
        <x:v>3750</x:v>
      </x:c>
      <x:c r="G57" s="128" t="n">
        <x:f t="shared" si="13">'Модель 36 міс'!E53</x:f>
        <x:v>3750</x:v>
      </x:c>
      <x:c r="H57" s="128" t="n">
        <x:f t="shared" si="13">'Модель 36 міс'!F53</x:f>
        <x:v>3750</x:v>
      </x:c>
      <x:c r="I57" s="128" t="n">
        <x:f t="shared" si="13">'Модель 36 міс'!G53</x:f>
        <x:v>3750</x:v>
      </x:c>
      <x:c r="J57" s="128" t="n">
        <x:f t="shared" si="13">'Модель 36 міс'!H53</x:f>
        <x:v>3750</x:v>
      </x:c>
      <x:c r="K57" s="128" t="n">
        <x:f t="shared" si="13">'Модель 36 міс'!I53</x:f>
        <x:v>3750</x:v>
      </x:c>
      <x:c r="L57" s="128" t="n">
        <x:f t="shared" si="13">'Модель 36 міс'!J53</x:f>
        <x:v>3750</x:v>
      </x:c>
      <x:c r="M57" s="128" t="n">
        <x:f t="shared" si="13">'Модель 36 міс'!K53</x:f>
        <x:v>4000</x:v>
      </x:c>
      <x:c r="N57" s="128" t="n">
        <x:f t="shared" si="13">'Модель 36 міс'!L53</x:f>
        <x:v>4000</x:v>
      </x:c>
      <x:c r="O57" s="128" t="n">
        <x:f t="shared" si="13">'Модель 36 міс'!M53</x:f>
        <x:v>4000</x:v>
      </x:c>
      <x:c r="P57" s="128" t="n">
        <x:f t="shared" si="13">'Модель 36 міс'!N53</x:f>
        <x:v>4000</x:v>
      </x:c>
      <x:c r="Q57" s="128" t="n">
        <x:f t="shared" si="13">'Модель 36 міс'!O53</x:f>
        <x:v>4250</x:v>
      </x:c>
      <x:c r="R57" s="128" t="n">
        <x:f t="shared" si="13">'Модель 36 міс'!P53</x:f>
        <x:v>4250</x:v>
      </x:c>
      <x:c r="S57" s="128" t="n">
        <x:f t="shared" si="13">'Модель 36 міс'!Q53</x:f>
        <x:v>4250</x:v>
      </x:c>
      <x:c r="T57" s="128" t="n">
        <x:f t="shared" si="13">'Модель 36 міс'!R53</x:f>
        <x:v>4250</x:v>
      </x:c>
      <x:c r="U57" s="128" t="n">
        <x:f t="shared" si="13">'Модель 36 міс'!S53</x:f>
        <x:v>4500</x:v>
      </x:c>
      <x:c r="V57" s="128" t="n">
        <x:f t="shared" si="13">'Модель 36 міс'!T53</x:f>
        <x:v>4500</x:v>
      </x:c>
      <x:c r="W57" s="128" t="n">
        <x:f t="shared" si="13">'Модель 36 міс'!U53</x:f>
        <x:v>4500</x:v>
      </x:c>
      <x:c r="X57" s="128" t="n">
        <x:f t="shared" si="13">'Модель 36 міс'!V53</x:f>
        <x:v>4500</x:v>
      </x:c>
      <x:c r="Y57" s="128" t="n">
        <x:f t="shared" si="13">'Модель 36 міс'!W53</x:f>
        <x:v>4500</x:v>
      </x:c>
      <x:c r="Z57" s="128" t="n">
        <x:f t="shared" si="13">'Модель 36 міс'!X53</x:f>
        <x:v>5000</x:v>
      </x:c>
      <x:c r="AA57" s="128" t="n">
        <x:f t="shared" si="13">'Модель 36 міс'!Y53</x:f>
        <x:v>5000</x:v>
      </x:c>
      <x:c r="AB57" s="128" t="n">
        <x:f t="shared" si="13">'Модель 36 міс'!Z53</x:f>
        <x:v>5000</x:v>
      </x:c>
      <x:c r="AC57" s="128" t="n">
        <x:f t="shared" si="13">'Модель 36 міс'!AA53</x:f>
        <x:v>5000</x:v>
      </x:c>
      <x:c r="AD57" s="128" t="n">
        <x:f t="shared" si="13">'Модель 36 міс'!AB53</x:f>
        <x:v>5000</x:v>
      </x:c>
      <x:c r="AE57" s="128" t="n">
        <x:f t="shared" si="13">'Модель 36 міс'!AC53</x:f>
        <x:v>5000</x:v>
      </x:c>
      <x:c r="AF57" s="128" t="n">
        <x:f t="shared" si="13">'Модель 36 міс'!AD53</x:f>
        <x:v>5250</x:v>
      </x:c>
      <x:c r="AG57" s="128" t="n">
        <x:f t="shared" si="13">'Модель 36 міс'!AE53</x:f>
        <x:v>5250</x:v>
      </x:c>
      <x:c r="AH57" s="128" t="n">
        <x:f t="shared" si="13">'Модель 36 міс'!AF53</x:f>
        <x:v>5250</x:v>
      </x:c>
      <x:c r="AI57" s="128" t="n">
        <x:f t="shared" si="13">'Модель 36 міс'!AG53</x:f>
        <x:v>5250</x:v>
      </x:c>
      <x:c r="AJ57" s="128" t="n">
        <x:f t="shared" si="13">'Модель 36 міс'!AH53</x:f>
        <x:v>5250</x:v>
      </x:c>
      <x:c r="AK57" s="128" t="n">
        <x:f t="shared" ref="AK57:BL57" si="14">'Модель 36 міс'!AI53</x:f>
        <x:v>5250</x:v>
      </x:c>
      <x:c r="AL57" s="128" t="n">
        <x:f t="shared" si="14">'Модель 36 міс'!AJ53</x:f>
        <x:v>5250</x:v>
      </x:c>
      <x:c r="AM57" s="128" t="n">
        <x:f t="shared" si="14">'Модель 36 міс'!AK53</x:f>
        <x:v>5500</x:v>
      </x:c>
      <x:c r="AN57" s="128" t="n">
        <x:f t="shared" si="14">'Модель 36 міс'!AL53</x:f>
        <x:v>5500</x:v>
      </x:c>
      <x:c r="AO57" s="128" t="n">
        <x:f t="shared" si="14"/>
        <x:v>0</x:v>
      </x:c>
      <x:c r="AP57" s="128" t="n">
        <x:f t="shared" si="14"/>
        <x:v>0</x:v>
      </x:c>
      <x:c r="AQ57" s="128" t="n">
        <x:f t="shared" si="14"/>
        <x:v>0</x:v>
      </x:c>
      <x:c r="AR57" s="128" t="n">
        <x:f t="shared" si="14"/>
        <x:v>0</x:v>
      </x:c>
      <x:c r="AS57" s="128" t="n">
        <x:f t="shared" si="14"/>
        <x:v>0</x:v>
      </x:c>
      <x:c r="AT57" s="128" t="n">
        <x:f t="shared" si="14"/>
        <x:v>0</x:v>
      </x:c>
      <x:c r="AU57" s="128" t="n">
        <x:f t="shared" si="14"/>
        <x:v>0</x:v>
      </x:c>
      <x:c r="AV57" s="128" t="n">
        <x:f t="shared" si="14"/>
        <x:v>0</x:v>
      </x:c>
      <x:c r="AW57" s="128" t="n">
        <x:f t="shared" si="14"/>
        <x:v>0</x:v>
      </x:c>
      <x:c r="AX57" s="128" t="n">
        <x:f t="shared" si="14"/>
        <x:v>0</x:v>
      </x:c>
      <x:c r="AY57" s="128" t="n">
        <x:f t="shared" si="14"/>
        <x:v>0</x:v>
      </x:c>
      <x:c r="AZ57" s="128" t="n">
        <x:f t="shared" si="14"/>
        <x:v>0</x:v>
      </x:c>
      <x:c r="BA57" s="128" t="n">
        <x:f t="shared" si="14"/>
        <x:v>0</x:v>
      </x:c>
      <x:c r="BB57" s="128" t="n">
        <x:f t="shared" si="14"/>
        <x:v>0</x:v>
      </x:c>
      <x:c r="BC57" s="128" t="n">
        <x:f t="shared" si="14"/>
        <x:v>0</x:v>
      </x:c>
      <x:c r="BD57" s="128" t="n">
        <x:f t="shared" si="14"/>
        <x:v>0</x:v>
      </x:c>
      <x:c r="BE57" s="128" t="n">
        <x:f t="shared" si="14"/>
        <x:v>0</x:v>
      </x:c>
      <x:c r="BF57" s="128" t="n">
        <x:f t="shared" si="14"/>
        <x:v>0</x:v>
      </x:c>
      <x:c r="BG57" s="128" t="n">
        <x:f t="shared" si="14"/>
        <x:v>0</x:v>
      </x:c>
      <x:c r="BH57" s="128" t="n">
        <x:f t="shared" si="14"/>
        <x:v>0</x:v>
      </x:c>
      <x:c r="BI57" s="128" t="n">
        <x:f t="shared" si="14"/>
        <x:v>0</x:v>
      </x:c>
      <x:c r="BJ57" s="128" t="n">
        <x:f t="shared" si="14"/>
        <x:v>0</x:v>
      </x:c>
      <x:c r="BK57" s="128" t="n">
        <x:f t="shared" si="14"/>
        <x:v>0</x:v>
      </x:c>
      <x:c r="BL57" s="128" t="n">
        <x:f t="shared" si="14"/>
        <x:v>0</x:v>
      </x:c>
      <x:c r="BM57" s="152" t="n">
        <x:f>SUM(E57:AN57)</x:f>
        <x:v>163250</x:v>
      </x:c>
    </x:row>
    <x:row r="58" s="57" customFormat="1" ht="31.5">
      <x:c r="A58" s="120"/>
      <x:c r="B58" s="163" t="s">
        <x:v>202</x:v>
      </x:c>
      <x:c r="C58" s="107"/>
      <x:c r="D58" s="126"/>
      <x:c r="E58" s="128" t="n">
        <x:f t="shared" ref="E58:AJ58" si="15">'Модель 36 міс'!C51</x:f>
        <x:v>16500</x:v>
      </x:c>
      <x:c r="F58" s="128" t="n">
        <x:f t="shared" si="15">'Модель 36 міс'!D51</x:f>
        <x:v>16500</x:v>
      </x:c>
      <x:c r="G58" s="128" t="n">
        <x:f t="shared" si="15">'Модель 36 міс'!E51</x:f>
        <x:v>16500</x:v>
      </x:c>
      <x:c r="H58" s="128" t="n">
        <x:f t="shared" si="15">'Модель 36 міс'!F51</x:f>
        <x:v>16500</x:v>
      </x:c>
      <x:c r="I58" s="128" t="n">
        <x:f t="shared" si="15">'Модель 36 міс'!G51</x:f>
        <x:v>16500</x:v>
      </x:c>
      <x:c r="J58" s="128" t="n">
        <x:f t="shared" si="15">'Модель 36 міс'!H51</x:f>
        <x:v>16500</x:v>
      </x:c>
      <x:c r="K58" s="128" t="n">
        <x:f t="shared" si="15">'Модель 36 міс'!I51</x:f>
        <x:v>16500</x:v>
      </x:c>
      <x:c r="L58" s="128" t="n">
        <x:f t="shared" si="15">'Модель 36 міс'!J51</x:f>
        <x:v>16500</x:v>
      </x:c>
      <x:c r="M58" s="128" t="n">
        <x:f t="shared" si="15">'Модель 36 міс'!K51</x:f>
        <x:v>17600</x:v>
      </x:c>
      <x:c r="N58" s="128" t="n">
        <x:f t="shared" si="15">'Модель 36 міс'!L51</x:f>
        <x:v>17600</x:v>
      </x:c>
      <x:c r="O58" s="128" t="n">
        <x:f t="shared" si="15">'Модель 36 міс'!M51</x:f>
        <x:v>17600</x:v>
      </x:c>
      <x:c r="P58" s="128" t="n">
        <x:f t="shared" si="15">'Модель 36 міс'!N51</x:f>
        <x:v>17600</x:v>
      </x:c>
      <x:c r="Q58" s="128" t="n">
        <x:f t="shared" si="15">'Модель 36 міс'!O51</x:f>
        <x:v>18700</x:v>
      </x:c>
      <x:c r="R58" s="128" t="n">
        <x:f t="shared" si="15">'Модель 36 міс'!P51</x:f>
        <x:v>18700</x:v>
      </x:c>
      <x:c r="S58" s="128" t="n">
        <x:f t="shared" si="15">'Модель 36 міс'!Q51</x:f>
        <x:v>18700</x:v>
      </x:c>
      <x:c r="T58" s="128" t="n">
        <x:f t="shared" si="15">'Модель 36 міс'!R51</x:f>
        <x:v>18700</x:v>
      </x:c>
      <x:c r="U58" s="128" t="n">
        <x:f t="shared" si="15">'Модель 36 міс'!S51</x:f>
        <x:v>19800</x:v>
      </x:c>
      <x:c r="V58" s="128" t="n">
        <x:f t="shared" si="15">'Модель 36 міс'!T51</x:f>
        <x:v>19800</x:v>
      </x:c>
      <x:c r="W58" s="128" t="n">
        <x:f t="shared" si="15">'Модель 36 міс'!U51</x:f>
        <x:v>19800</x:v>
      </x:c>
      <x:c r="X58" s="128" t="n">
        <x:f t="shared" si="15">'Модель 36 міс'!V51</x:f>
        <x:v>19800</x:v>
      </x:c>
      <x:c r="Y58" s="128" t="n">
        <x:f t="shared" si="15">'Модель 36 міс'!W51</x:f>
        <x:v>19800</x:v>
      </x:c>
      <x:c r="Z58" s="128" t="n">
        <x:f t="shared" si="15">'Модель 36 міс'!X51</x:f>
        <x:v>22000</x:v>
      </x:c>
      <x:c r="AA58" s="128" t="n">
        <x:f t="shared" si="15">'Модель 36 міс'!Y51</x:f>
        <x:v>22000</x:v>
      </x:c>
      <x:c r="AB58" s="128" t="n">
        <x:f t="shared" si="15">'Модель 36 міс'!Z51</x:f>
        <x:v>22000</x:v>
      </x:c>
      <x:c r="AC58" s="128" t="n">
        <x:f t="shared" si="15">'Модель 36 міс'!AA51</x:f>
        <x:v>22000</x:v>
      </x:c>
      <x:c r="AD58" s="128" t="n">
        <x:f t="shared" si="15">'Модель 36 міс'!AB51</x:f>
        <x:v>22000</x:v>
      </x:c>
      <x:c r="AE58" s="128" t="n">
        <x:f t="shared" si="15">'Модель 36 міс'!AC51</x:f>
        <x:v>22000</x:v>
      </x:c>
      <x:c r="AF58" s="128" t="n">
        <x:f t="shared" si="15">'Модель 36 міс'!AD51</x:f>
        <x:v>23100</x:v>
      </x:c>
      <x:c r="AG58" s="128" t="n">
        <x:f t="shared" si="15">'Модель 36 міс'!AE51</x:f>
        <x:v>23100</x:v>
      </x:c>
      <x:c r="AH58" s="128" t="n">
        <x:f t="shared" si="15">'Модель 36 міс'!AF51</x:f>
        <x:v>23100</x:v>
      </x:c>
      <x:c r="AI58" s="128" t="n">
        <x:f t="shared" si="15">'Модель 36 міс'!AG51</x:f>
        <x:v>23100</x:v>
      </x:c>
      <x:c r="AJ58" s="128" t="n">
        <x:f t="shared" si="15">'Модель 36 міс'!AH51</x:f>
        <x:v>23100</x:v>
      </x:c>
      <x:c r="AK58" s="128" t="n">
        <x:f t="shared" ref="AK58:BL58" si="16">'Модель 36 міс'!AI51</x:f>
        <x:v>23100</x:v>
      </x:c>
      <x:c r="AL58" s="128" t="n">
        <x:f t="shared" si="16">'Модель 36 міс'!AJ51</x:f>
        <x:v>23100</x:v>
      </x:c>
      <x:c r="AM58" s="128" t="n">
        <x:f t="shared" si="16">'Модель 36 міс'!AK51</x:f>
        <x:v>24200</x:v>
      </x:c>
      <x:c r="AN58" s="128" t="n">
        <x:f t="shared" si="16">'Модель 36 міс'!AL51</x:f>
        <x:v>24200</x:v>
      </x:c>
      <x:c r="AO58" s="128" t="n">
        <x:f t="shared" si="16"/>
        <x:v>0</x:v>
      </x:c>
      <x:c r="AP58" s="128" t="n">
        <x:f t="shared" si="16"/>
        <x:v>0</x:v>
      </x:c>
      <x:c r="AQ58" s="128" t="n">
        <x:f t="shared" si="16"/>
        <x:v>0</x:v>
      </x:c>
      <x:c r="AR58" s="128" t="n">
        <x:f t="shared" si="16"/>
        <x:v>0</x:v>
      </x:c>
      <x:c r="AS58" s="128" t="n">
        <x:f t="shared" si="16"/>
        <x:v>0</x:v>
      </x:c>
      <x:c r="AT58" s="128" t="n">
        <x:f t="shared" si="16"/>
        <x:v>0</x:v>
      </x:c>
      <x:c r="AU58" s="128" t="n">
        <x:f t="shared" si="16"/>
        <x:v>0</x:v>
      </x:c>
      <x:c r="AV58" s="128" t="n">
        <x:f t="shared" si="16"/>
        <x:v>0</x:v>
      </x:c>
      <x:c r="AW58" s="128" t="n">
        <x:f t="shared" si="16"/>
        <x:v>0</x:v>
      </x:c>
      <x:c r="AX58" s="128" t="n">
        <x:f t="shared" si="16"/>
        <x:v>0</x:v>
      </x:c>
      <x:c r="AY58" s="128" t="n">
        <x:f t="shared" si="16"/>
        <x:v>0</x:v>
      </x:c>
      <x:c r="AZ58" s="128" t="n">
        <x:f t="shared" si="16"/>
        <x:v>0</x:v>
      </x:c>
      <x:c r="BA58" s="128" t="n">
        <x:f t="shared" si="16"/>
        <x:v>0</x:v>
      </x:c>
      <x:c r="BB58" s="128" t="n">
        <x:f t="shared" si="16"/>
        <x:v>0</x:v>
      </x:c>
      <x:c r="BC58" s="128" t="n">
        <x:f t="shared" si="16"/>
        <x:v>0</x:v>
      </x:c>
      <x:c r="BD58" s="128" t="n">
        <x:f t="shared" si="16"/>
        <x:v>0</x:v>
      </x:c>
      <x:c r="BE58" s="128" t="n">
        <x:f t="shared" si="16"/>
        <x:v>0</x:v>
      </x:c>
      <x:c r="BF58" s="128" t="n">
        <x:f t="shared" si="16"/>
        <x:v>0</x:v>
      </x:c>
      <x:c r="BG58" s="128" t="n">
        <x:f t="shared" si="16"/>
        <x:v>0</x:v>
      </x:c>
      <x:c r="BH58" s="128" t="n">
        <x:f t="shared" si="16"/>
        <x:v>0</x:v>
      </x:c>
      <x:c r="BI58" s="128" t="n">
        <x:f t="shared" si="16"/>
        <x:v>0</x:v>
      </x:c>
      <x:c r="BJ58" s="128" t="n">
        <x:f t="shared" si="16"/>
        <x:v>0</x:v>
      </x:c>
      <x:c r="BK58" s="128" t="n">
        <x:f t="shared" si="16"/>
        <x:v>0</x:v>
      </x:c>
      <x:c r="BL58" s="128" t="n">
        <x:f t="shared" si="16"/>
        <x:v>0</x:v>
      </x:c>
      <x:c r="BM58" s="92" t="n">
        <x:f t="shared" si="6">SUM(E58:AN58)</x:f>
        <x:v>718300</x:v>
      </x:c>
    </x:row>
    <x:row r="59" s="57" customFormat="1" ht="31.5">
      <x:c r="A59" s="120"/>
      <x:c r="B59" s="165" t="s">
        <x:v>203</x:v>
      </x:c>
      <x:c r="C59" s="384" t="s">
        <x:v>204</x:v>
      </x:c>
      <x:c r="D59" s="385"/>
      <x:c r="E59" s="386"/>
      <x:c r="F59" s="386"/>
      <x:c r="G59" s="386"/>
      <x:c r="H59" s="386"/>
      <x:c r="I59" s="386"/>
      <x:c r="J59" s="386"/>
      <x:c r="K59" s="386"/>
      <x:c r="L59" s="157"/>
      <x:c r="M59" s="157"/>
      <x:c r="N59" s="157"/>
      <x:c r="O59" s="157"/>
      <x:c r="P59" s="157"/>
      <x:c r="Q59" s="157"/>
      <x:c r="R59" s="157"/>
      <x:c r="S59" s="157"/>
      <x:c r="T59" s="157"/>
      <x:c r="U59" s="157"/>
      <x:c r="V59" s="157"/>
      <x:c r="W59" s="157"/>
      <x:c r="X59" s="157"/>
      <x:c r="Y59" s="157"/>
      <x:c r="Z59" s="157"/>
      <x:c r="AA59" s="157"/>
      <x:c r="AB59" s="157"/>
      <x:c r="AC59" s="157"/>
      <x:c r="AD59" s="157"/>
      <x:c r="AE59" s="157"/>
      <x:c r="AF59" s="157"/>
      <x:c r="AG59" s="157"/>
      <x:c r="AH59" s="157"/>
      <x:c r="AI59" s="157"/>
      <x:c r="AJ59" s="157"/>
      <x:c r="AK59" s="157"/>
      <x:c r="AL59" s="157"/>
      <x:c r="AM59" s="157"/>
      <x:c r="AN59" s="157"/>
      <x:c r="AO59" s="157"/>
      <x:c r="AP59" s="157"/>
      <x:c r="AQ59" s="157"/>
      <x:c r="AR59" s="157"/>
      <x:c r="AS59" s="157"/>
      <x:c r="AT59" s="157"/>
      <x:c r="AU59" s="157"/>
      <x:c r="AV59" s="157"/>
      <x:c r="AW59" s="157"/>
      <x:c r="AX59" s="157"/>
      <x:c r="AY59" s="157"/>
      <x:c r="AZ59" s="157"/>
      <x:c r="BA59" s="157"/>
      <x:c r="BB59" s="157"/>
      <x:c r="BC59" s="157"/>
      <x:c r="BD59" s="157"/>
      <x:c r="BE59" s="157"/>
      <x:c r="BF59" s="157"/>
      <x:c r="BG59" s="157"/>
      <x:c r="BH59" s="157"/>
      <x:c r="BI59" s="157"/>
      <x:c r="BJ59" s="157"/>
      <x:c r="BK59" s="157"/>
      <x:c r="BL59" s="157"/>
      <x:c r="BM59" s="157"/>
    </x:row>
    <x:row r="60" s="57" customFormat="1">
      <x:c r="A60" s="120"/>
      <x:c r="B60" s="163" t="s">
        <x:v>205</x:v>
      </x:c>
      <x:c r="C60" s="190" t="str">
        <x:v>5% належного грошового доходу ФОП; грант і фінансування відокремлено</x:v>
      </x:c>
      <x:c r="D60" s="126"/>
      <x:c r="E60" s="128" t="n">
        <x:f>'Модель 36 міс'!C54</x:f>
        <x:v>10000</x:v>
      </x:c>
      <x:c r="F60" s="128" t="n">
        <x:f>'Модель 36 міс'!D54</x:f>
        <x:v>10000</x:v>
      </x:c>
      <x:c r="G60" s="128" t="n">
        <x:f t="shared" ref="G60:AN60" si="17">'Модель 36 міс'!E54</x:f>
        <x:v>10000</x:v>
      </x:c>
      <x:c r="H60" s="128" t="n">
        <x:f t="shared" si="17">'Модель 36 міс'!F54</x:f>
        <x:v>14000</x:v>
      </x:c>
      <x:c r="I60" s="128" t="n">
        <x:f t="shared" si="17">'Модель 36 міс'!G54</x:f>
        <x:v>14000</x:v>
      </x:c>
      <x:c r="J60" s="128" t="n">
        <x:f t="shared" si="17">'Модель 36 міс'!H54</x:f>
        <x:v>15000</x:v>
      </x:c>
      <x:c r="K60" s="128" t="n">
        <x:f t="shared" si="17">'Модель 36 міс'!I54</x:f>
        <x:v>15000</x:v>
      </x:c>
      <x:c r="L60" s="128" t="n">
        <x:f t="shared" si="17">'Модель 36 міс'!J54</x:f>
        <x:v>17500</x:v>
      </x:c>
      <x:c r="M60" s="128" t="n">
        <x:f t="shared" si="17">'Модель 36 міс'!K54</x:f>
        <x:v>19000</x:v>
      </x:c>
      <x:c r="N60" s="128" t="n">
        <x:f t="shared" si="17">'Модель 36 міс'!L54</x:f>
        <x:v>19000</x:v>
      </x:c>
      <x:c r="O60" s="128" t="n">
        <x:f t="shared" si="17">'Модель 36 міс'!M54</x:f>
        <x:v>24000</x:v>
      </x:c>
      <x:c r="P60" s="128" t="n">
        <x:f t="shared" si="17">'Модель 36 міс'!N54</x:f>
        <x:v>24000</x:v>
      </x:c>
      <x:c r="Q60" s="128" t="n">
        <x:f t="shared" si="17">'Модель 36 міс'!O54</x:f>
        <x:v>24000</x:v>
      </x:c>
      <x:c r="R60" s="128" t="n">
        <x:f t="shared" si="17">'Модель 36 міс'!P54</x:f>
        <x:v>27500</x:v>
      </x:c>
      <x:c r="S60" s="128" t="n">
        <x:f t="shared" si="17">'Модель 36 міс'!Q54</x:f>
        <x:v>27500</x:v>
      </x:c>
      <x:c r="T60" s="128" t="n">
        <x:f t="shared" si="17">'Модель 36 міс'!R54</x:f>
        <x:v>27500</x:v>
      </x:c>
      <x:c r="U60" s="128" t="n">
        <x:f>'Модель 36 міс'!S54</x:f>
        <x:v>30000</x:v>
      </x:c>
      <x:c r="V60" s="128" t="n">
        <x:f t="shared" si="17">'Модель 36 міс'!T54</x:f>
        <x:v>30000</x:v>
      </x:c>
      <x:c r="W60" s="128" t="n">
        <x:f t="shared" si="17">'Модель 36 міс'!U54</x:f>
        <x:v>30000</x:v>
      </x:c>
      <x:c r="X60" s="128" t="n">
        <x:f t="shared" si="17">'Модель 36 міс'!V54</x:f>
        <x:v>31500</x:v>
      </x:c>
      <x:c r="Y60" s="128" t="n">
        <x:f t="shared" si="17">'Модель 36 міс'!W54</x:f>
        <x:v>34000</x:v>
      </x:c>
      <x:c r="Z60" s="128" t="n">
        <x:f t="shared" si="17">'Модель 36 міс'!X54</x:f>
        <x:v>35000</x:v>
      </x:c>
      <x:c r="AA60" s="128" t="n">
        <x:f t="shared" si="17">'Модель 36 міс'!Y54</x:f>
        <x:v>35000</x:v>
      </x:c>
      <x:c r="AB60" s="128" t="n">
        <x:f t="shared" si="17">'Модель 36 міс'!Z54</x:f>
        <x:v>37500</x:v>
      </x:c>
      <x:c r="AC60" s="128" t="n">
        <x:f t="shared" si="17">'Модель 36 міс'!AA54</x:f>
        <x:v>37500</x:v>
      </x:c>
      <x:c r="AD60" s="128" t="n">
        <x:f t="shared" si="17">'Модель 36 міс'!AB54</x:f>
        <x:v>37500</x:v>
      </x:c>
      <x:c r="AE60" s="128" t="n">
        <x:f t="shared" si="17">'Модель 36 міс'!AC54</x:f>
        <x:v>37500</x:v>
      </x:c>
      <x:c r="AF60" s="128" t="n">
        <x:f t="shared" si="17">'Модель 36 міс'!AD54</x:f>
        <x:v>37500</x:v>
      </x:c>
      <x:c r="AG60" s="128" t="n">
        <x:f t="shared" si="17">'Модель 36 міс'!AE54</x:f>
        <x:v>37500</x:v>
      </x:c>
      <x:c r="AH60" s="128" t="n">
        <x:f t="shared" si="17">'Модель 36 міс'!AF54</x:f>
        <x:v>37500</x:v>
      </x:c>
      <x:c r="AI60" s="128" t="n">
        <x:f t="shared" si="17">'Модель 36 міс'!AG54</x:f>
        <x:v>37500</x:v>
      </x:c>
      <x:c r="AJ60" s="128" t="n">
        <x:f t="shared" si="17">'Модель 36 міс'!AH54</x:f>
        <x:v>37500</x:v>
      </x:c>
      <x:c r="AK60" s="128" t="n">
        <x:f t="shared" si="17">'Модель 36 міс'!AI54</x:f>
        <x:v>37500</x:v>
      </x:c>
      <x:c r="AL60" s="128" t="n">
        <x:f t="shared" si="17">'Модель 36 міс'!AJ54</x:f>
        <x:v>37500</x:v>
      </x:c>
      <x:c r="AM60" s="128" t="n">
        <x:f t="shared" si="17">'Модель 36 міс'!AK54</x:f>
        <x:v>37500</x:v>
      </x:c>
      <x:c r="AN60" s="128" t="n">
        <x:f t="shared" si="17">'Модель 36 міс'!AL54</x:f>
        <x:v>37500</x:v>
      </x:c>
      <x:c r="AO60" s="128" t="n">
        <x:v>0</x:v>
      </x:c>
      <x:c r="AP60" s="128" t="n">
        <x:v>0</x:v>
      </x:c>
      <x:c r="AQ60" s="128" t="n">
        <x:v>0</x:v>
      </x:c>
      <x:c r="AR60" s="128" t="n">
        <x:v>0</x:v>
      </x:c>
      <x:c r="AS60" s="128" t="n">
        <x:v>0</x:v>
      </x:c>
      <x:c r="AT60" s="128" t="n">
        <x:v>0</x:v>
      </x:c>
      <x:c r="AU60" s="128" t="n">
        <x:v>0</x:v>
      </x:c>
      <x:c r="AV60" s="128" t="n">
        <x:v>0</x:v>
      </x:c>
      <x:c r="AW60" s="128" t="n">
        <x:v>0</x:v>
      </x:c>
      <x:c r="AX60" s="128" t="n">
        <x:v>0</x:v>
      </x:c>
      <x:c r="AY60" s="128" t="n">
        <x:v>0</x:v>
      </x:c>
      <x:c r="AZ60" s="128" t="n">
        <x:v>0</x:v>
      </x:c>
      <x:c r="BA60" s="128" t="n">
        <x:v>0</x:v>
      </x:c>
      <x:c r="BB60" s="128" t="n">
        <x:v>0</x:v>
      </x:c>
      <x:c r="BC60" s="128" t="n">
        <x:v>0</x:v>
      </x:c>
      <x:c r="BD60" s="128" t="n">
        <x:v>0</x:v>
      </x:c>
      <x:c r="BE60" s="128" t="n">
        <x:v>0</x:v>
      </x:c>
      <x:c r="BF60" s="128" t="n">
        <x:v>0</x:v>
      </x:c>
      <x:c r="BG60" s="128" t="n">
        <x:v>0</x:v>
      </x:c>
      <x:c r="BH60" s="128" t="n">
        <x:v>0</x:v>
      </x:c>
      <x:c r="BI60" s="128" t="n">
        <x:v>0</x:v>
      </x:c>
      <x:c r="BJ60" s="128" t="n">
        <x:v>0</x:v>
      </x:c>
      <x:c r="BK60" s="128" t="n">
        <x:v>0</x:v>
      </x:c>
      <x:c r="BL60" s="128" t="n">
        <x:v>0</x:v>
      </x:c>
      <x:c r="BM60" s="92" t="n">
        <x:f t="shared" si="6">SUM(E60:AN60)</x:f>
        <x:v>1011000</x:v>
      </x:c>
    </x:row>
    <x:row r="61" s="57" customFormat="1">
      <x:c r="A61" s="120"/>
      <x:c r="B61" s="163" t="s">
        <x:v>206</x:v>
      </x:c>
      <x:c r="C61" s="185" t="str">
        <x:v>1% належного грошового доходу; модель резервує щомісяця</x:v>
      </x:c>
      <x:c r="D61" s="126"/>
      <x:c r="E61" s="128" t="n">
        <x:f>'Модель 36 міс'!C55</x:f>
        <x:v>2000</x:v>
      </x:c>
      <x:c r="F61" s="128" t="n">
        <x:f>'Модель 36 міс'!D55</x:f>
        <x:v>2000</x:v>
      </x:c>
      <x:c r="G61" s="128" t="n">
        <x:f t="shared" ref="G61:AN61" si="18">'Модель 36 міс'!E55</x:f>
        <x:v>2000</x:v>
      </x:c>
      <x:c r="H61" s="128" t="n">
        <x:f t="shared" si="18">'Модель 36 міс'!F55</x:f>
        <x:v>2800</x:v>
      </x:c>
      <x:c r="I61" s="128" t="n">
        <x:f t="shared" si="18">'Модель 36 міс'!G55</x:f>
        <x:v>2800</x:v>
      </x:c>
      <x:c r="J61" s="128" t="n">
        <x:f t="shared" si="18">'Модель 36 міс'!H55</x:f>
        <x:v>3000</x:v>
      </x:c>
      <x:c r="K61" s="128" t="n">
        <x:f t="shared" si="18">'Модель 36 міс'!I55</x:f>
        <x:v>3000</x:v>
      </x:c>
      <x:c r="L61" s="128" t="n">
        <x:f t="shared" si="18">'Модель 36 міс'!J55</x:f>
        <x:v>3500</x:v>
      </x:c>
      <x:c r="M61" s="128" t="n">
        <x:f t="shared" si="18">'Модель 36 міс'!K55</x:f>
        <x:v>3800</x:v>
      </x:c>
      <x:c r="N61" s="128" t="n">
        <x:f t="shared" si="18">'Модель 36 міс'!L55</x:f>
        <x:v>3800</x:v>
      </x:c>
      <x:c r="O61" s="128" t="n">
        <x:f t="shared" si="18">'Модель 36 міс'!M55</x:f>
        <x:v>4800</x:v>
      </x:c>
      <x:c r="P61" s="128" t="n">
        <x:f t="shared" si="18">'Модель 36 міс'!N55</x:f>
        <x:v>4800</x:v>
      </x:c>
      <x:c r="Q61" s="128" t="n">
        <x:f t="shared" si="18">'Модель 36 міс'!O55</x:f>
        <x:v>4800</x:v>
      </x:c>
      <x:c r="R61" s="128" t="n">
        <x:f t="shared" si="18">'Модель 36 міс'!P55</x:f>
        <x:v>5500</x:v>
      </x:c>
      <x:c r="S61" s="128" t="n">
        <x:f t="shared" si="18">'Модель 36 міс'!Q55</x:f>
        <x:v>5500</x:v>
      </x:c>
      <x:c r="T61" s="128" t="n">
        <x:f t="shared" si="18">'Модель 36 міс'!R55</x:f>
        <x:v>5500</x:v>
      </x:c>
      <x:c r="U61" s="128" t="n">
        <x:f t="shared" si="18">'Модель 36 міс'!S55</x:f>
        <x:v>6000</x:v>
      </x:c>
      <x:c r="V61" s="128" t="n">
        <x:f t="shared" si="18">'Модель 36 міс'!T55</x:f>
        <x:v>6000</x:v>
      </x:c>
      <x:c r="W61" s="128" t="n">
        <x:f t="shared" si="18">'Модель 36 міс'!U55</x:f>
        <x:v>6000</x:v>
      </x:c>
      <x:c r="X61" s="128" t="n">
        <x:f t="shared" si="18">'Модель 36 міс'!V55</x:f>
        <x:v>6300</x:v>
      </x:c>
      <x:c r="Y61" s="128" t="n">
        <x:f t="shared" si="18">'Модель 36 міс'!W55</x:f>
        <x:v>6800</x:v>
      </x:c>
      <x:c r="Z61" s="128" t="n">
        <x:f t="shared" si="18">'Модель 36 міс'!X55</x:f>
        <x:v>7000</x:v>
      </x:c>
      <x:c r="AA61" s="128" t="n">
        <x:f t="shared" si="18">'Модель 36 міс'!Y55</x:f>
        <x:v>7000</x:v>
      </x:c>
      <x:c r="AB61" s="128" t="n">
        <x:f t="shared" si="18">'Модель 36 міс'!Z55</x:f>
        <x:v>7500</x:v>
      </x:c>
      <x:c r="AC61" s="128" t="n">
        <x:f t="shared" si="18">'Модель 36 міс'!AA55</x:f>
        <x:v>7500</x:v>
      </x:c>
      <x:c r="AD61" s="128" t="n">
        <x:f t="shared" si="18">'Модель 36 міс'!AB55</x:f>
        <x:v>7500</x:v>
      </x:c>
      <x:c r="AE61" s="128" t="n">
        <x:f t="shared" si="18">'Модель 36 міс'!AC55</x:f>
        <x:v>7500</x:v>
      </x:c>
      <x:c r="AF61" s="128" t="n">
        <x:f t="shared" si="18">'Модель 36 міс'!AD55</x:f>
        <x:v>7500</x:v>
      </x:c>
      <x:c r="AG61" s="128" t="n">
        <x:f t="shared" si="18">'Модель 36 міс'!AE55</x:f>
        <x:v>7500</x:v>
      </x:c>
      <x:c r="AH61" s="128" t="n">
        <x:f t="shared" si="18">'Модель 36 міс'!AF55</x:f>
        <x:v>7500</x:v>
      </x:c>
      <x:c r="AI61" s="128" t="n">
        <x:f t="shared" si="18">'Модель 36 міс'!AG55</x:f>
        <x:v>7500</x:v>
      </x:c>
      <x:c r="AJ61" s="128" t="n">
        <x:f t="shared" si="18">'Модель 36 міс'!AH55</x:f>
        <x:v>7500</x:v>
      </x:c>
      <x:c r="AK61" s="128" t="n">
        <x:f t="shared" si="18">'Модель 36 міс'!AI55</x:f>
        <x:v>7500</x:v>
      </x:c>
      <x:c r="AL61" s="128" t="n">
        <x:f t="shared" si="18">'Модель 36 міс'!AJ55</x:f>
        <x:v>7500</x:v>
      </x:c>
      <x:c r="AM61" s="128" t="n">
        <x:f t="shared" si="18">'Модель 36 міс'!AK55</x:f>
        <x:v>7500</x:v>
      </x:c>
      <x:c r="AN61" s="128" t="n">
        <x:f t="shared" si="18">'Модель 36 міс'!AL55</x:f>
        <x:v>7500</x:v>
      </x:c>
      <x:c r="AO61" s="128" t="n">
        <x:v>0</x:v>
      </x:c>
      <x:c r="AP61" s="128" t="n">
        <x:v>0</x:v>
      </x:c>
      <x:c r="AQ61" s="128" t="n">
        <x:v>0</x:v>
      </x:c>
      <x:c r="AR61" s="128" t="n">
        <x:v>0</x:v>
      </x:c>
      <x:c r="AS61" s="128" t="n">
        <x:v>0</x:v>
      </x:c>
      <x:c r="AT61" s="128" t="n">
        <x:v>0</x:v>
      </x:c>
      <x:c r="AU61" s="128" t="n">
        <x:v>0</x:v>
      </x:c>
      <x:c r="AV61" s="128" t="n">
        <x:v>0</x:v>
      </x:c>
      <x:c r="AW61" s="128" t="n">
        <x:v>0</x:v>
      </x:c>
      <x:c r="AX61" s="128" t="n">
        <x:v>0</x:v>
      </x:c>
      <x:c r="AY61" s="128" t="n">
        <x:v>0</x:v>
      </x:c>
      <x:c r="AZ61" s="128" t="n">
        <x:v>0</x:v>
      </x:c>
      <x:c r="BA61" s="128" t="n">
        <x:v>0</x:v>
      </x:c>
      <x:c r="BB61" s="128" t="n">
        <x:v>0</x:v>
      </x:c>
      <x:c r="BC61" s="128" t="n">
        <x:v>0</x:v>
      </x:c>
      <x:c r="BD61" s="128" t="n">
        <x:v>0</x:v>
      </x:c>
      <x:c r="BE61" s="128" t="n">
        <x:v>0</x:v>
      </x:c>
      <x:c r="BF61" s="128" t="n">
        <x:v>0</x:v>
      </x:c>
      <x:c r="BG61" s="128" t="n">
        <x:v>0</x:v>
      </x:c>
      <x:c r="BH61" s="128" t="n">
        <x:v>0</x:v>
      </x:c>
      <x:c r="BI61" s="128" t="n">
        <x:v>0</x:v>
      </x:c>
      <x:c r="BJ61" s="128" t="n">
        <x:v>0</x:v>
      </x:c>
      <x:c r="BK61" s="128" t="n">
        <x:v>0</x:v>
      </x:c>
      <x:c r="BL61" s="128" t="n">
        <x:v>0</x:v>
      </x:c>
      <x:c r="BM61" s="92" t="n">
        <x:f t="shared" si="6">SUM(E61:AN61)</x:f>
        <x:v>202200</x:v>
      </x:c>
    </x:row>
    <x:row r="62" s="57" customFormat="1" ht="31.5">
      <x:c r="A62" s="120"/>
      <x:c r="B62" s="163" t="s">
        <x:v>207</x:v>
      </x:c>
      <x:c r="C62" s="107"/>
      <x:c r="D62" s="126"/>
      <x:c r="E62" s="128" t="n">
        <x:v>0</x:v>
      </x:c>
      <x:c r="F62" s="128" t="n">
        <x:v>0</x:v>
      </x:c>
      <x:c r="G62" s="128" t="n">
        <x:v>0</x:v>
      </x:c>
      <x:c r="H62" s="128" t="n">
        <x:v>0</x:v>
      </x:c>
      <x:c r="I62" s="128" t="n">
        <x:v>0</x:v>
      </x:c>
      <x:c r="J62" s="128" t="n">
        <x:v>0</x:v>
      </x:c>
      <x:c r="K62" s="128" t="n">
        <x:v>0</x:v>
      </x:c>
      <x:c r="L62" s="128" t="n">
        <x:v>0</x:v>
      </x:c>
      <x:c r="M62" s="128" t="n">
        <x:v>0</x:v>
      </x:c>
      <x:c r="N62" s="128" t="n">
        <x:v>0</x:v>
      </x:c>
      <x:c r="O62" s="128" t="n">
        <x:v>0</x:v>
      </x:c>
      <x:c r="P62" s="128" t="n">
        <x:v>0</x:v>
      </x:c>
      <x:c r="Q62" s="128" t="n">
        <x:v>0</x:v>
      </x:c>
      <x:c r="R62" s="128" t="n">
        <x:v>0</x:v>
      </x:c>
      <x:c r="S62" s="128" t="n">
        <x:v>0</x:v>
      </x:c>
      <x:c r="T62" s="128" t="n">
        <x:v>0</x:v>
      </x:c>
      <x:c r="U62" s="128" t="n">
        <x:v>0</x:v>
      </x:c>
      <x:c r="V62" s="128" t="n">
        <x:v>0</x:v>
      </x:c>
      <x:c r="W62" s="128" t="n">
        <x:v>0</x:v>
      </x:c>
      <x:c r="X62" s="128" t="n">
        <x:v>0</x:v>
      </x:c>
      <x:c r="Y62" s="128" t="n">
        <x:v>0</x:v>
      </x:c>
      <x:c r="Z62" s="128" t="n">
        <x:v>0</x:v>
      </x:c>
      <x:c r="AA62" s="128" t="n">
        <x:v>0</x:v>
      </x:c>
      <x:c r="AB62" s="128" t="n">
        <x:v>0</x:v>
      </x:c>
      <x:c r="AC62" s="128" t="n">
        <x:v>0</x:v>
      </x:c>
      <x:c r="AD62" s="128" t="n">
        <x:v>0</x:v>
      </x:c>
      <x:c r="AE62" s="128" t="n">
        <x:v>0</x:v>
      </x:c>
      <x:c r="AF62" s="128" t="n">
        <x:v>0</x:v>
      </x:c>
      <x:c r="AG62" s="128" t="n">
        <x:v>0</x:v>
      </x:c>
      <x:c r="AH62" s="128" t="n">
        <x:v>0</x:v>
      </x:c>
      <x:c r="AI62" s="128" t="n">
        <x:v>0</x:v>
      </x:c>
      <x:c r="AJ62" s="128" t="n">
        <x:v>0</x:v>
      </x:c>
      <x:c r="AK62" s="128" t="n">
        <x:v>0</x:v>
      </x:c>
      <x:c r="AL62" s="128" t="n">
        <x:v>0</x:v>
      </x:c>
      <x:c r="AM62" s="128" t="n">
        <x:v>0</x:v>
      </x:c>
      <x:c r="AN62" s="128" t="n">
        <x:v>0</x:v>
      </x:c>
      <x:c r="AO62" s="128" t="n">
        <x:v>0</x:v>
      </x:c>
      <x:c r="AP62" s="128" t="n">
        <x:v>0</x:v>
      </x:c>
      <x:c r="AQ62" s="128" t="n">
        <x:v>0</x:v>
      </x:c>
      <x:c r="AR62" s="128" t="n">
        <x:v>0</x:v>
      </x:c>
      <x:c r="AS62" s="128" t="n">
        <x:v>0</x:v>
      </x:c>
      <x:c r="AT62" s="128" t="n">
        <x:v>0</x:v>
      </x:c>
      <x:c r="AU62" s="128" t="n">
        <x:v>0</x:v>
      </x:c>
      <x:c r="AV62" s="128" t="n">
        <x:v>0</x:v>
      </x:c>
      <x:c r="AW62" s="128" t="n">
        <x:v>0</x:v>
      </x:c>
      <x:c r="AX62" s="128" t="n">
        <x:v>0</x:v>
      </x:c>
      <x:c r="AY62" s="128" t="n">
        <x:v>0</x:v>
      </x:c>
      <x:c r="AZ62" s="128" t="n">
        <x:v>0</x:v>
      </x:c>
      <x:c r="BA62" s="128" t="n">
        <x:v>0</x:v>
      </x:c>
      <x:c r="BB62" s="128" t="n">
        <x:v>0</x:v>
      </x:c>
      <x:c r="BC62" s="128" t="n">
        <x:v>0</x:v>
      </x:c>
      <x:c r="BD62" s="128" t="n">
        <x:v>0</x:v>
      </x:c>
      <x:c r="BE62" s="128" t="n">
        <x:v>0</x:v>
      </x:c>
      <x:c r="BF62" s="128" t="n">
        <x:v>0</x:v>
      </x:c>
      <x:c r="BG62" s="128" t="n">
        <x:v>0</x:v>
      </x:c>
      <x:c r="BH62" s="128" t="n">
        <x:v>0</x:v>
      </x:c>
      <x:c r="BI62" s="128" t="n">
        <x:v>0</x:v>
      </x:c>
      <x:c r="BJ62" s="128" t="n">
        <x:v>0</x:v>
      </x:c>
      <x:c r="BK62" s="128" t="n">
        <x:v>0</x:v>
      </x:c>
      <x:c r="BL62" s="128" t="n">
        <x:v>0</x:v>
      </x:c>
      <x:c r="BM62" s="92" t="n">
        <x:f t="shared" si="6">SUM(E62:AN62)</x:f>
        <x:v>0</x:v>
      </x:c>
    </x:row>
    <x:row r="63" s="57" customFormat="1">
      <x:c r="A63" s="120"/>
      <x:c r="B63" s="163" t="s">
        <x:v>208</x:v>
      </x:c>
      <x:c r="C63" s="107"/>
      <x:c r="D63" s="126"/>
      <x:c r="E63" s="128" t="n">
        <x:v>0</x:v>
      </x:c>
      <x:c r="F63" s="128" t="n">
        <x:v>0</x:v>
      </x:c>
      <x:c r="G63" s="128" t="n">
        <x:v>0</x:v>
      </x:c>
      <x:c r="H63" s="128" t="n">
        <x:v>0</x:v>
      </x:c>
      <x:c r="I63" s="128" t="n">
        <x:v>0</x:v>
      </x:c>
      <x:c r="J63" s="128" t="n">
        <x:v>0</x:v>
      </x:c>
      <x:c r="K63" s="128" t="n">
        <x:v>0</x:v>
      </x:c>
      <x:c r="L63" s="128" t="n">
        <x:v>0</x:v>
      </x:c>
      <x:c r="M63" s="128" t="n">
        <x:v>0</x:v>
      </x:c>
      <x:c r="N63" s="128" t="n">
        <x:v>0</x:v>
      </x:c>
      <x:c r="O63" s="128" t="n">
        <x:v>0</x:v>
      </x:c>
      <x:c r="P63" s="128" t="n">
        <x:v>0</x:v>
      </x:c>
      <x:c r="Q63" s="128" t="n">
        <x:v>0</x:v>
      </x:c>
      <x:c r="R63" s="128" t="n">
        <x:v>0</x:v>
      </x:c>
      <x:c r="S63" s="128" t="n">
        <x:v>0</x:v>
      </x:c>
      <x:c r="T63" s="128" t="n">
        <x:v>0</x:v>
      </x:c>
      <x:c r="U63" s="128" t="n">
        <x:v>0</x:v>
      </x:c>
      <x:c r="V63" s="128" t="n">
        <x:v>0</x:v>
      </x:c>
      <x:c r="W63" s="128" t="n">
        <x:v>0</x:v>
      </x:c>
      <x:c r="X63" s="128" t="n">
        <x:v>0</x:v>
      </x:c>
      <x:c r="Y63" s="128" t="n">
        <x:v>0</x:v>
      </x:c>
      <x:c r="Z63" s="128" t="n">
        <x:v>0</x:v>
      </x:c>
      <x:c r="AA63" s="128" t="n">
        <x:v>0</x:v>
      </x:c>
      <x:c r="AB63" s="128" t="n">
        <x:v>0</x:v>
      </x:c>
      <x:c r="AC63" s="128" t="n">
        <x:v>0</x:v>
      </x:c>
      <x:c r="AD63" s="128" t="n">
        <x:v>0</x:v>
      </x:c>
      <x:c r="AE63" s="128" t="n">
        <x:v>0</x:v>
      </x:c>
      <x:c r="AF63" s="128" t="n">
        <x:v>0</x:v>
      </x:c>
      <x:c r="AG63" s="128" t="n">
        <x:v>0</x:v>
      </x:c>
      <x:c r="AH63" s="128" t="n">
        <x:v>0</x:v>
      </x:c>
      <x:c r="AI63" s="128" t="n">
        <x:v>0</x:v>
      </x:c>
      <x:c r="AJ63" s="128" t="n">
        <x:v>0</x:v>
      </x:c>
      <x:c r="AK63" s="128" t="n">
        <x:v>0</x:v>
      </x:c>
      <x:c r="AL63" s="128" t="n">
        <x:v>0</x:v>
      </x:c>
      <x:c r="AM63" s="128" t="n">
        <x:v>0</x:v>
      </x:c>
      <x:c r="AN63" s="128" t="n">
        <x:v>0</x:v>
      </x:c>
      <x:c r="AO63" s="128" t="n">
        <x:v>0</x:v>
      </x:c>
      <x:c r="AP63" s="128" t="n">
        <x:v>0</x:v>
      </x:c>
      <x:c r="AQ63" s="128" t="n">
        <x:v>0</x:v>
      </x:c>
      <x:c r="AR63" s="128" t="n">
        <x:v>0</x:v>
      </x:c>
      <x:c r="AS63" s="128" t="n">
        <x:v>0</x:v>
      </x:c>
      <x:c r="AT63" s="128" t="n">
        <x:v>0</x:v>
      </x:c>
      <x:c r="AU63" s="128" t="n">
        <x:v>0</x:v>
      </x:c>
      <x:c r="AV63" s="128" t="n">
        <x:v>0</x:v>
      </x:c>
      <x:c r="AW63" s="128" t="n">
        <x:v>0</x:v>
      </x:c>
      <x:c r="AX63" s="128" t="n">
        <x:v>0</x:v>
      </x:c>
      <x:c r="AY63" s="128" t="n">
        <x:v>0</x:v>
      </x:c>
      <x:c r="AZ63" s="128" t="n">
        <x:v>0</x:v>
      </x:c>
      <x:c r="BA63" s="128" t="n">
        <x:v>0</x:v>
      </x:c>
      <x:c r="BB63" s="128" t="n">
        <x:v>0</x:v>
      </x:c>
      <x:c r="BC63" s="128" t="n">
        <x:v>0</x:v>
      </x:c>
      <x:c r="BD63" s="128" t="n">
        <x:v>0</x:v>
      </x:c>
      <x:c r="BE63" s="128" t="n">
        <x:v>0</x:v>
      </x:c>
      <x:c r="BF63" s="128" t="n">
        <x:v>0</x:v>
      </x:c>
      <x:c r="BG63" s="128" t="n">
        <x:v>0</x:v>
      </x:c>
      <x:c r="BH63" s="128" t="n">
        <x:v>0</x:v>
      </x:c>
      <x:c r="BI63" s="128" t="n">
        <x:v>0</x:v>
      </x:c>
      <x:c r="BJ63" s="128" t="n">
        <x:v>0</x:v>
      </x:c>
      <x:c r="BK63" s="128" t="n">
        <x:v>0</x:v>
      </x:c>
      <x:c r="BL63" s="128" t="n">
        <x:v>0</x:v>
      </x:c>
      <x:c r="BM63" s="92" t="n">
        <x:f t="shared" si="6">SUM(E63:AN63)</x:f>
        <x:v>0</x:v>
      </x:c>
    </x:row>
    <x:row r="64" s="57" customFormat="1">
      <x:c r="A64" s="120"/>
      <x:c r="B64" s="163" t="s">
        <x:v>209</x:v>
      </x:c>
      <x:c r="C64" s="107"/>
      <x:c r="D64" s="126"/>
      <x:c r="E64" s="128" t="n">
        <x:v>0</x:v>
      </x:c>
      <x:c r="F64" s="128" t="n">
        <x:v>0</x:v>
      </x:c>
      <x:c r="G64" s="128" t="n">
        <x:v>0</x:v>
      </x:c>
      <x:c r="H64" s="128" t="n">
        <x:v>0</x:v>
      </x:c>
      <x:c r="I64" s="128" t="n">
        <x:v>0</x:v>
      </x:c>
      <x:c r="J64" s="128" t="n">
        <x:v>0</x:v>
      </x:c>
      <x:c r="K64" s="128" t="n">
        <x:v>0</x:v>
      </x:c>
      <x:c r="L64" s="128" t="n">
        <x:v>0</x:v>
      </x:c>
      <x:c r="M64" s="128" t="n">
        <x:v>0</x:v>
      </x:c>
      <x:c r="N64" s="128" t="n">
        <x:v>0</x:v>
      </x:c>
      <x:c r="O64" s="128" t="n">
        <x:v>0</x:v>
      </x:c>
      <x:c r="P64" s="128" t="n">
        <x:v>0</x:v>
      </x:c>
      <x:c r="Q64" s="128" t="n">
        <x:v>0</x:v>
      </x:c>
      <x:c r="R64" s="128" t="n">
        <x:v>0</x:v>
      </x:c>
      <x:c r="S64" s="128" t="n">
        <x:v>0</x:v>
      </x:c>
      <x:c r="T64" s="128" t="n">
        <x:v>0</x:v>
      </x:c>
      <x:c r="U64" s="128" t="n">
        <x:v>0</x:v>
      </x:c>
      <x:c r="V64" s="128" t="n">
        <x:v>0</x:v>
      </x:c>
      <x:c r="W64" s="128" t="n">
        <x:v>0</x:v>
      </x:c>
      <x:c r="X64" s="128" t="n">
        <x:v>0</x:v>
      </x:c>
      <x:c r="Y64" s="128" t="n">
        <x:v>0</x:v>
      </x:c>
      <x:c r="Z64" s="128" t="n">
        <x:v>0</x:v>
      </x:c>
      <x:c r="AA64" s="128" t="n">
        <x:v>0</x:v>
      </x:c>
      <x:c r="AB64" s="128" t="n">
        <x:v>0</x:v>
      </x:c>
      <x:c r="AC64" s="128" t="n">
        <x:v>0</x:v>
      </x:c>
      <x:c r="AD64" s="128" t="n">
        <x:v>0</x:v>
      </x:c>
      <x:c r="AE64" s="128" t="n">
        <x:v>0</x:v>
      </x:c>
      <x:c r="AF64" s="128" t="n">
        <x:v>0</x:v>
      </x:c>
      <x:c r="AG64" s="128" t="n">
        <x:v>0</x:v>
      </x:c>
      <x:c r="AH64" s="128" t="n">
        <x:v>0</x:v>
      </x:c>
      <x:c r="AI64" s="128" t="n">
        <x:v>0</x:v>
      </x:c>
      <x:c r="AJ64" s="128" t="n">
        <x:v>0</x:v>
      </x:c>
      <x:c r="AK64" s="128" t="n">
        <x:v>0</x:v>
      </x:c>
      <x:c r="AL64" s="128" t="n">
        <x:v>0</x:v>
      </x:c>
      <x:c r="AM64" s="128" t="n">
        <x:v>0</x:v>
      </x:c>
      <x:c r="AN64" s="128" t="n">
        <x:v>0</x:v>
      </x:c>
      <x:c r="AO64" s="128" t="n">
        <x:v>0</x:v>
      </x:c>
      <x:c r="AP64" s="128" t="n">
        <x:v>0</x:v>
      </x:c>
      <x:c r="AQ64" s="128" t="n">
        <x:v>0</x:v>
      </x:c>
      <x:c r="AR64" s="128" t="n">
        <x:v>0</x:v>
      </x:c>
      <x:c r="AS64" s="128" t="n">
        <x:v>0</x:v>
      </x:c>
      <x:c r="AT64" s="128" t="n">
        <x:v>0</x:v>
      </x:c>
      <x:c r="AU64" s="128" t="n">
        <x:v>0</x:v>
      </x:c>
      <x:c r="AV64" s="128" t="n">
        <x:v>0</x:v>
      </x:c>
      <x:c r="AW64" s="128" t="n">
        <x:v>0</x:v>
      </x:c>
      <x:c r="AX64" s="128" t="n">
        <x:v>0</x:v>
      </x:c>
      <x:c r="AY64" s="128" t="n">
        <x:v>0</x:v>
      </x:c>
      <x:c r="AZ64" s="128" t="n">
        <x:v>0</x:v>
      </x:c>
      <x:c r="BA64" s="128" t="n">
        <x:v>0</x:v>
      </x:c>
      <x:c r="BB64" s="128" t="n">
        <x:v>0</x:v>
      </x:c>
      <x:c r="BC64" s="128" t="n">
        <x:v>0</x:v>
      </x:c>
      <x:c r="BD64" s="128" t="n">
        <x:v>0</x:v>
      </x:c>
      <x:c r="BE64" s="128" t="n">
        <x:v>0</x:v>
      </x:c>
      <x:c r="BF64" s="128" t="n">
        <x:v>0</x:v>
      </x:c>
      <x:c r="BG64" s="128" t="n">
        <x:v>0</x:v>
      </x:c>
      <x:c r="BH64" s="128" t="n">
        <x:v>0</x:v>
      </x:c>
      <x:c r="BI64" s="128" t="n">
        <x:v>0</x:v>
      </x:c>
      <x:c r="BJ64" s="128" t="n">
        <x:v>0</x:v>
      </x:c>
      <x:c r="BK64" s="128" t="n">
        <x:v>0</x:v>
      </x:c>
      <x:c r="BL64" s="128" t="n">
        <x:v>0</x:v>
      </x:c>
      <x:c r="BM64" s="92" t="n">
        <x:f t="shared" si="6">SUM(E64:AN64)</x:f>
        <x:v>0</x:v>
      </x:c>
    </x:row>
    <x:row r="65" s="57" customFormat="1">
      <x:c r="A65" s="120"/>
      <x:c r="B65" s="163" t="s">
        <x:v>210</x:v>
      </x:c>
      <x:c r="C65" s="107" t="str">
        <x:v>2026: 1 902,34 грн/міс. Майбутні роки і пільги уточнити</x:v>
      </x:c>
      <x:c r="D65" s="126"/>
      <x:c r="E65" s="128" t="n">
        <x:f>'Модель 36 міс'!C56</x:f>
        <x:v>1902.34</x:v>
      </x:c>
      <x:c r="F65" s="128" t="n">
        <x:f>'Модель 36 міс'!D56</x:f>
        <x:v>1902.34</x:v>
      </x:c>
      <x:c r="G65" s="128" t="n">
        <x:f>'Модель 36 міс'!E56</x:f>
        <x:v>1902.34</x:v>
      </x:c>
      <x:c r="H65" s="128" t="n">
        <x:f>'Модель 36 міс'!F56</x:f>
        <x:v>1902.34</x:v>
      </x:c>
      <x:c r="I65" s="128" t="n">
        <x:f>'Модель 36 міс'!G56</x:f>
        <x:v>1902.34</x:v>
      </x:c>
      <x:c r="J65" s="128" t="n">
        <x:f>'Модель 36 міс'!H56</x:f>
        <x:v>1902.34</x:v>
      </x:c>
      <x:c r="K65" s="128" t="n">
        <x:f>'Модель 36 міс'!I56</x:f>
        <x:v>1902.34</x:v>
      </x:c>
      <x:c r="L65" s="128" t="n">
        <x:f>'Модель 36 міс'!J56</x:f>
        <x:v>1902.34</x:v>
      </x:c>
      <x:c r="M65" s="128" t="n">
        <x:f>'Модель 36 міс'!K56</x:f>
        <x:v>1902.34</x:v>
      </x:c>
      <x:c r="N65" s="128" t="n">
        <x:f>'Модель 36 міс'!L56</x:f>
        <x:v>1902.34</x:v>
      </x:c>
      <x:c r="O65" s="128" t="n">
        <x:f>'Модель 36 міс'!M56</x:f>
        <x:v>1902.34</x:v>
      </x:c>
      <x:c r="P65" s="128" t="n">
        <x:f>'Модель 36 міс'!N56</x:f>
        <x:v>1902.34</x:v>
      </x:c>
      <x:c r="Q65" s="128" t="n">
        <x:f>'Модель 36 міс'!O56</x:f>
        <x:v>1902.34</x:v>
      </x:c>
      <x:c r="R65" s="128" t="n">
        <x:f>'Модель 36 міс'!P56</x:f>
        <x:v>1902.34</x:v>
      </x:c>
      <x:c r="S65" s="128" t="n">
        <x:f>'Модель 36 міс'!Q56</x:f>
        <x:v>1902.34</x:v>
      </x:c>
      <x:c r="T65" s="128" t="n">
        <x:f>'Модель 36 міс'!R56</x:f>
        <x:v>1902.34</x:v>
      </x:c>
      <x:c r="U65" s="128" t="n">
        <x:f>'Модель 36 міс'!S56</x:f>
        <x:v>1902.34</x:v>
      </x:c>
      <x:c r="V65" s="128" t="n">
        <x:f>'Модель 36 міс'!T56</x:f>
        <x:v>1902.34</x:v>
      </x:c>
      <x:c r="W65" s="128" t="n">
        <x:f>'Модель 36 міс'!U56</x:f>
        <x:v>1902.34</x:v>
      </x:c>
      <x:c r="X65" s="128" t="n">
        <x:f>'Модель 36 міс'!V56</x:f>
        <x:v>1902.34</x:v>
      </x:c>
      <x:c r="Y65" s="128" t="n">
        <x:f>'Модель 36 міс'!W56</x:f>
        <x:v>1902.34</x:v>
      </x:c>
      <x:c r="Z65" s="128" t="n">
        <x:f>'Модель 36 міс'!X56</x:f>
        <x:v>1902.34</x:v>
      </x:c>
      <x:c r="AA65" s="128" t="n">
        <x:f>'Модель 36 міс'!Y56</x:f>
        <x:v>1902.34</x:v>
      </x:c>
      <x:c r="AB65" s="128" t="n">
        <x:f>'Модель 36 міс'!Z56</x:f>
        <x:v>1902.34</x:v>
      </x:c>
      <x:c r="AC65" s="128" t="n">
        <x:f>'Модель 36 міс'!AA56</x:f>
        <x:v>1902.34</x:v>
      </x:c>
      <x:c r="AD65" s="128" t="n">
        <x:f>'Модель 36 міс'!AB56</x:f>
        <x:v>1902.34</x:v>
      </x:c>
      <x:c r="AE65" s="128" t="n">
        <x:f>'Модель 36 міс'!AC56</x:f>
        <x:v>1902.34</x:v>
      </x:c>
      <x:c r="AF65" s="128" t="n">
        <x:f>'Модель 36 міс'!AD56</x:f>
        <x:v>1902.34</x:v>
      </x:c>
      <x:c r="AG65" s="128" t="n">
        <x:f>'Модель 36 міс'!AE56</x:f>
        <x:v>1902.34</x:v>
      </x:c>
      <x:c r="AH65" s="128" t="n">
        <x:f>'Модель 36 міс'!AF56</x:f>
        <x:v>1902.34</x:v>
      </x:c>
      <x:c r="AI65" s="128" t="n">
        <x:f>'Модель 36 міс'!AG56</x:f>
        <x:v>1902.34</x:v>
      </x:c>
      <x:c r="AJ65" s="128" t="n">
        <x:f>'Модель 36 міс'!AH56</x:f>
        <x:v>1902.34</x:v>
      </x:c>
      <x:c r="AK65" s="128" t="n">
        <x:f>'Модель 36 міс'!AI56</x:f>
        <x:v>1902.34</x:v>
      </x:c>
      <x:c r="AL65" s="128" t="n">
        <x:f>'Модель 36 міс'!AJ56</x:f>
        <x:v>1902.34</x:v>
      </x:c>
      <x:c r="AM65" s="128" t="n">
        <x:f>'Модель 36 міс'!AK56</x:f>
        <x:v>1902.34</x:v>
      </x:c>
      <x:c r="AN65" s="128" t="n">
        <x:f>'Модель 36 міс'!AL56</x:f>
        <x:v>1902.34</x:v>
      </x:c>
      <x:c r="AO65" s="128" t="n">
        <x:v>0</x:v>
      </x:c>
      <x:c r="AP65" s="128" t="n">
        <x:v>0</x:v>
      </x:c>
      <x:c r="AQ65" s="128" t="n">
        <x:v>0</x:v>
      </x:c>
      <x:c r="AR65" s="128" t="n">
        <x:v>0</x:v>
      </x:c>
      <x:c r="AS65" s="128" t="n">
        <x:v>0</x:v>
      </x:c>
      <x:c r="AT65" s="128" t="n">
        <x:v>0</x:v>
      </x:c>
      <x:c r="AU65" s="128" t="n">
        <x:v>0</x:v>
      </x:c>
      <x:c r="AV65" s="128" t="n">
        <x:v>0</x:v>
      </x:c>
      <x:c r="AW65" s="128" t="n">
        <x:v>0</x:v>
      </x:c>
      <x:c r="AX65" s="128" t="n">
        <x:v>0</x:v>
      </x:c>
      <x:c r="AY65" s="128" t="n">
        <x:v>0</x:v>
      </x:c>
      <x:c r="AZ65" s="128" t="n">
        <x:v>0</x:v>
      </x:c>
      <x:c r="BA65" s="128" t="n">
        <x:v>0</x:v>
      </x:c>
      <x:c r="BB65" s="128" t="n">
        <x:v>0</x:v>
      </x:c>
      <x:c r="BC65" s="128" t="n">
        <x:v>0</x:v>
      </x:c>
      <x:c r="BD65" s="128" t="n">
        <x:v>0</x:v>
      </x:c>
      <x:c r="BE65" s="128" t="n">
        <x:v>0</x:v>
      </x:c>
      <x:c r="BF65" s="128" t="n">
        <x:v>0</x:v>
      </x:c>
      <x:c r="BG65" s="128" t="n">
        <x:v>0</x:v>
      </x:c>
      <x:c r="BH65" s="128" t="n">
        <x:v>0</x:v>
      </x:c>
      <x:c r="BI65" s="128" t="n">
        <x:v>0</x:v>
      </x:c>
      <x:c r="BJ65" s="128" t="n">
        <x:v>0</x:v>
      </x:c>
      <x:c r="BK65" s="128" t="n">
        <x:v>0</x:v>
      </x:c>
      <x:c r="BL65" s="128" t="n">
        <x:v>0</x:v>
      </x:c>
      <x:c r="BM65" s="92" t="n">
        <x:f t="shared" si="6">SUM(E65:AN65)</x:f>
        <x:v>68484.23999999993</x:v>
      </x:c>
    </x:row>
    <x:row r="66" s="57" customFormat="1" ht="31.5">
      <x:c r="A66" s="120"/>
      <x:c r="B66" s="163" t="s">
        <x:v>211</x:v>
      </x:c>
      <x:c r="C66" s="107"/>
      <x:c r="D66" s="126"/>
      <x:c r="E66" s="44" t="n">
        <x:v>0</x:v>
      </x:c>
      <x:c r="F66" s="44" t="n">
        <x:v>0</x:v>
      </x:c>
      <x:c r="G66" s="44" t="n">
        <x:v>0</x:v>
      </x:c>
      <x:c r="H66" s="44" t="n">
        <x:v>0</x:v>
      </x:c>
      <x:c r="I66" s="44" t="n">
        <x:v>0</x:v>
      </x:c>
      <x:c r="J66" s="44" t="n">
        <x:v>0</x:v>
      </x:c>
      <x:c r="K66" s="44" t="n">
        <x:v>0</x:v>
      </x:c>
      <x:c r="L66" s="44" t="n">
        <x:v>0</x:v>
      </x:c>
      <x:c r="M66" s="44" t="n">
        <x:v>0</x:v>
      </x:c>
      <x:c r="N66" s="44" t="n">
        <x:v>0</x:v>
      </x:c>
      <x:c r="O66" s="44" t="n">
        <x:v>0</x:v>
      </x:c>
      <x:c r="P66" s="44" t="n">
        <x:v>0</x:v>
      </x:c>
      <x:c r="Q66" s="44" t="n">
        <x:v>0</x:v>
      </x:c>
      <x:c r="R66" s="44" t="n">
        <x:v>0</x:v>
      </x:c>
      <x:c r="S66" s="44" t="n">
        <x:v>0</x:v>
      </x:c>
      <x:c r="T66" s="44" t="n">
        <x:v>0</x:v>
      </x:c>
      <x:c r="U66" s="44" t="n">
        <x:v>0</x:v>
      </x:c>
      <x:c r="V66" s="44" t="n">
        <x:v>0</x:v>
      </x:c>
      <x:c r="W66" s="44" t="n">
        <x:v>0</x:v>
      </x:c>
      <x:c r="X66" s="44" t="n">
        <x:v>0</x:v>
      </x:c>
      <x:c r="Y66" s="44" t="n">
        <x:v>0</x:v>
      </x:c>
      <x:c r="Z66" s="44" t="n">
        <x:v>0</x:v>
      </x:c>
      <x:c r="AA66" s="44" t="n">
        <x:v>0</x:v>
      </x:c>
      <x:c r="AB66" s="44" t="n">
        <x:v>0</x:v>
      </x:c>
      <x:c r="AC66" s="44" t="n">
        <x:v>0</x:v>
      </x:c>
      <x:c r="AD66" s="44" t="n">
        <x:v>0</x:v>
      </x:c>
      <x:c r="AE66" s="44" t="n">
        <x:v>0</x:v>
      </x:c>
      <x:c r="AF66" s="44" t="n">
        <x:v>0</x:v>
      </x:c>
      <x:c r="AG66" s="44" t="n">
        <x:v>0</x:v>
      </x:c>
      <x:c r="AH66" s="44" t="n">
        <x:v>0</x:v>
      </x:c>
      <x:c r="AI66" s="44" t="n">
        <x:v>0</x:v>
      </x:c>
      <x:c r="AJ66" s="44" t="n">
        <x:v>0</x:v>
      </x:c>
      <x:c r="AK66" s="44" t="n">
        <x:v>0</x:v>
      </x:c>
      <x:c r="AL66" s="44" t="n">
        <x:v>0</x:v>
      </x:c>
      <x:c r="AM66" s="44" t="n">
        <x:v>0</x:v>
      </x:c>
      <x:c r="AN66" s="44" t="n">
        <x:v>0</x:v>
      </x:c>
      <x:c r="AO66" s="44" t="n">
        <x:f t="shared" ref="AO66:BL66" si="19">SUM(AO52:AO54,AO57,AO59:AO61,AO63:AO65)</x:f>
        <x:v>0</x:v>
      </x:c>
      <x:c r="AP66" s="44" t="n">
        <x:f t="shared" si="19"/>
        <x:v>0</x:v>
      </x:c>
      <x:c r="AQ66" s="44" t="n">
        <x:f t="shared" si="19"/>
        <x:v>0</x:v>
      </x:c>
      <x:c r="AR66" s="44" t="n">
        <x:f t="shared" si="19"/>
        <x:v>0</x:v>
      </x:c>
      <x:c r="AS66" s="44" t="n">
        <x:f t="shared" si="19"/>
        <x:v>0</x:v>
      </x:c>
      <x:c r="AT66" s="44" t="n">
        <x:f t="shared" si="19"/>
        <x:v>0</x:v>
      </x:c>
      <x:c r="AU66" s="44" t="n">
        <x:f t="shared" si="19"/>
        <x:v>0</x:v>
      </x:c>
      <x:c r="AV66" s="44" t="n">
        <x:f t="shared" si="19"/>
        <x:v>0</x:v>
      </x:c>
      <x:c r="AW66" s="44" t="n">
        <x:f t="shared" si="19"/>
        <x:v>0</x:v>
      </x:c>
      <x:c r="AX66" s="44" t="n">
        <x:f t="shared" si="19"/>
        <x:v>0</x:v>
      </x:c>
      <x:c r="AY66" s="44" t="n">
        <x:f t="shared" si="19"/>
        <x:v>0</x:v>
      </x:c>
      <x:c r="AZ66" s="44" t="n">
        <x:f t="shared" si="19"/>
        <x:v>0</x:v>
      </x:c>
      <x:c r="BA66" s="44" t="n">
        <x:f t="shared" si="19"/>
        <x:v>0</x:v>
      </x:c>
      <x:c r="BB66" s="44" t="n">
        <x:f t="shared" si="19"/>
        <x:v>0</x:v>
      </x:c>
      <x:c r="BC66" s="44" t="n">
        <x:f t="shared" si="19"/>
        <x:v>0</x:v>
      </x:c>
      <x:c r="BD66" s="44" t="n">
        <x:f t="shared" si="19"/>
        <x:v>0</x:v>
      </x:c>
      <x:c r="BE66" s="44" t="n">
        <x:f t="shared" si="19"/>
        <x:v>0</x:v>
      </x:c>
      <x:c r="BF66" s="44" t="n">
        <x:f t="shared" si="19"/>
        <x:v>0</x:v>
      </x:c>
      <x:c r="BG66" s="44" t="n">
        <x:f t="shared" si="19"/>
        <x:v>0</x:v>
      </x:c>
      <x:c r="BH66" s="44" t="n">
        <x:f t="shared" si="19"/>
        <x:v>0</x:v>
      </x:c>
      <x:c r="BI66" s="44" t="n">
        <x:f t="shared" si="19"/>
        <x:v>0</x:v>
      </x:c>
      <x:c r="BJ66" s="44" t="n">
        <x:f t="shared" si="19"/>
        <x:v>0</x:v>
      </x:c>
      <x:c r="BK66" s="44" t="n">
        <x:f t="shared" si="19"/>
        <x:v>0</x:v>
      </x:c>
      <x:c r="BL66" s="44" t="n">
        <x:f t="shared" si="19"/>
        <x:v>0</x:v>
      </x:c>
      <x:c r="BM66" s="92" t="n">
        <x:f t="shared" si="6">SUM(E66:AN66)</x:f>
        <x:v>0</x:v>
      </x:c>
    </x:row>
    <x:row r="67" s="57" customFormat="1">
      <x:c r="A67" s="120"/>
      <x:c r="B67" s="163" t="s">
        <x:v>212</x:v>
      </x:c>
      <x:c r="C67" s="185"/>
      <x:c r="D67" s="126"/>
      <x:c r="E67" s="128" t="n">
        <x:v>0</x:v>
      </x:c>
      <x:c r="F67" s="128" t="n">
        <x:v>0</x:v>
      </x:c>
      <x:c r="G67" s="153" t="n">
        <x:v>0</x:v>
      </x:c>
      <x:c r="H67" s="153" t="n">
        <x:v>0</x:v>
      </x:c>
      <x:c r="I67" s="153" t="n">
        <x:v>0</x:v>
      </x:c>
      <x:c r="J67" s="153" t="n">
        <x:v>0</x:v>
      </x:c>
      <x:c r="K67" s="153" t="n">
        <x:v>0</x:v>
      </x:c>
      <x:c r="L67" s="153" t="n">
        <x:v>0</x:v>
      </x:c>
      <x:c r="M67" s="153" t="n">
        <x:v>0</x:v>
      </x:c>
      <x:c r="N67" s="153" t="n">
        <x:v>0</x:v>
      </x:c>
      <x:c r="O67" s="153" t="n">
        <x:v>0</x:v>
      </x:c>
      <x:c r="P67" s="153" t="n">
        <x:v>0</x:v>
      </x:c>
      <x:c r="Q67" s="153" t="n">
        <x:v>0</x:v>
      </x:c>
      <x:c r="R67" s="153" t="n">
        <x:v>0</x:v>
      </x:c>
      <x:c r="S67" s="153" t="n">
        <x:v>0</x:v>
      </x:c>
      <x:c r="T67" s="153" t="n">
        <x:v>0</x:v>
      </x:c>
      <x:c r="U67" s="153" t="n">
        <x:v>0</x:v>
      </x:c>
      <x:c r="V67" s="153" t="n">
        <x:v>0</x:v>
      </x:c>
      <x:c r="W67" s="153" t="n">
        <x:v>0</x:v>
      </x:c>
      <x:c r="X67" s="153" t="n">
        <x:v>0</x:v>
      </x:c>
      <x:c r="Y67" s="153" t="n">
        <x:v>0</x:v>
      </x:c>
      <x:c r="Z67" s="153" t="n">
        <x:v>0</x:v>
      </x:c>
      <x:c r="AA67" s="153" t="n">
        <x:v>0</x:v>
      </x:c>
      <x:c r="AB67" s="153" t="n">
        <x:v>0</x:v>
      </x:c>
      <x:c r="AC67" s="153" t="n">
        <x:v>0</x:v>
      </x:c>
      <x:c r="AD67" s="153" t="n">
        <x:v>0</x:v>
      </x:c>
      <x:c r="AE67" s="153" t="n">
        <x:v>0</x:v>
      </x:c>
      <x:c r="AF67" s="153" t="n">
        <x:v>0</x:v>
      </x:c>
      <x:c r="AG67" s="153" t="n">
        <x:v>0</x:v>
      </x:c>
      <x:c r="AH67" s="153" t="n">
        <x:v>0</x:v>
      </x:c>
      <x:c r="AI67" s="153" t="n">
        <x:v>0</x:v>
      </x:c>
      <x:c r="AJ67" s="153" t="n">
        <x:v>0</x:v>
      </x:c>
      <x:c r="AK67" s="153" t="n">
        <x:v>0</x:v>
      </x:c>
      <x:c r="AL67" s="153" t="n">
        <x:v>0</x:v>
      </x:c>
      <x:c r="AM67" s="153" t="n">
        <x:v>0</x:v>
      </x:c>
      <x:c r="AN67" s="153" t="n">
        <x:v>0</x:v>
      </x:c>
      <x:c r="AO67" s="153" t="n">
        <x:v>0</x:v>
      </x:c>
      <x:c r="AP67" s="153" t="n">
        <x:v>0</x:v>
      </x:c>
      <x:c r="AQ67" s="153" t="n">
        <x:v>0</x:v>
      </x:c>
      <x:c r="AR67" s="153" t="n">
        <x:v>0</x:v>
      </x:c>
      <x:c r="AS67" s="153" t="n">
        <x:v>0</x:v>
      </x:c>
      <x:c r="AT67" s="153" t="n">
        <x:v>0</x:v>
      </x:c>
      <x:c r="AU67" s="153" t="n">
        <x:v>0</x:v>
      </x:c>
      <x:c r="AV67" s="153" t="n">
        <x:v>0</x:v>
      </x:c>
      <x:c r="AW67" s="153" t="n">
        <x:v>0</x:v>
      </x:c>
      <x:c r="AX67" s="153" t="n">
        <x:v>0</x:v>
      </x:c>
      <x:c r="AY67" s="153" t="n">
        <x:v>0</x:v>
      </x:c>
      <x:c r="AZ67" s="153" t="n">
        <x:v>0</x:v>
      </x:c>
      <x:c r="BA67" s="153" t="n">
        <x:v>0</x:v>
      </x:c>
      <x:c r="BB67" s="153" t="n">
        <x:v>0</x:v>
      </x:c>
      <x:c r="BC67" s="153" t="n">
        <x:v>0</x:v>
      </x:c>
      <x:c r="BD67" s="153" t="n">
        <x:v>0</x:v>
      </x:c>
      <x:c r="BE67" s="153" t="n">
        <x:v>0</x:v>
      </x:c>
      <x:c r="BF67" s="153" t="n">
        <x:v>0</x:v>
      </x:c>
      <x:c r="BG67" s="153" t="n">
        <x:v>0</x:v>
      </x:c>
      <x:c r="BH67" s="153" t="n">
        <x:v>0</x:v>
      </x:c>
      <x:c r="BI67" s="153" t="n">
        <x:v>0</x:v>
      </x:c>
      <x:c r="BJ67" s="153" t="n">
        <x:v>0</x:v>
      </x:c>
      <x:c r="BK67" s="153" t="n">
        <x:v>0</x:v>
      </x:c>
      <x:c r="BL67" s="153" t="n">
        <x:v>0</x:v>
      </x:c>
      <x:c r="BM67" s="92" t="n">
        <x:f>SUM(E67:AN67)</x:f>
        <x:v>0</x:v>
      </x:c>
    </x:row>
    <x:row r="68" s="57" customFormat="1">
      <x:c r="A68" s="120"/>
      <x:c r="B68" s="166" t="s">
        <x:v>213</x:v>
      </x:c>
      <x:c r="C68" s="107"/>
      <x:c r="D68" s="126"/>
      <x:c r="E68" s="128" t="n">
        <x:v>0</x:v>
      </x:c>
      <x:c r="F68" s="128" t="n">
        <x:v>0</x:v>
      </x:c>
      <x:c r="G68" s="153" t="n">
        <x:v>0</x:v>
      </x:c>
      <x:c r="H68" s="153" t="n">
        <x:v>0</x:v>
      </x:c>
      <x:c r="I68" s="153" t="n">
        <x:v>0</x:v>
      </x:c>
      <x:c r="J68" s="153" t="n">
        <x:v>0</x:v>
      </x:c>
      <x:c r="K68" s="153" t="n">
        <x:v>0</x:v>
      </x:c>
      <x:c r="L68" s="153" t="n">
        <x:v>0</x:v>
      </x:c>
      <x:c r="M68" s="153" t="n">
        <x:v>0</x:v>
      </x:c>
      <x:c r="N68" s="153" t="n">
        <x:v>0</x:v>
      </x:c>
      <x:c r="O68" s="153" t="n">
        <x:v>0</x:v>
      </x:c>
      <x:c r="P68" s="153" t="n">
        <x:v>0</x:v>
      </x:c>
      <x:c r="Q68" s="153" t="n">
        <x:v>0</x:v>
      </x:c>
      <x:c r="R68" s="153" t="n">
        <x:v>0</x:v>
      </x:c>
      <x:c r="S68" s="153" t="n">
        <x:v>0</x:v>
      </x:c>
      <x:c r="T68" s="153" t="n">
        <x:v>0</x:v>
      </x:c>
      <x:c r="U68" s="153" t="n">
        <x:v>0</x:v>
      </x:c>
      <x:c r="V68" s="153" t="n">
        <x:v>0</x:v>
      </x:c>
      <x:c r="W68" s="153" t="n">
        <x:v>0</x:v>
      </x:c>
      <x:c r="X68" s="153" t="n">
        <x:v>0</x:v>
      </x:c>
      <x:c r="Y68" s="153" t="n">
        <x:v>0</x:v>
      </x:c>
      <x:c r="Z68" s="153" t="n">
        <x:v>0</x:v>
      </x:c>
      <x:c r="AA68" s="153" t="n">
        <x:v>0</x:v>
      </x:c>
      <x:c r="AB68" s="153" t="n">
        <x:v>0</x:v>
      </x:c>
      <x:c r="AC68" s="153" t="n">
        <x:v>0</x:v>
      </x:c>
      <x:c r="AD68" s="153" t="n">
        <x:v>0</x:v>
      </x:c>
      <x:c r="AE68" s="153" t="n">
        <x:v>0</x:v>
      </x:c>
      <x:c r="AF68" s="153" t="n">
        <x:v>0</x:v>
      </x:c>
      <x:c r="AG68" s="153" t="n">
        <x:v>0</x:v>
      </x:c>
      <x:c r="AH68" s="153" t="n">
        <x:v>0</x:v>
      </x:c>
      <x:c r="AI68" s="153" t="n">
        <x:v>0</x:v>
      </x:c>
      <x:c r="AJ68" s="153" t="n">
        <x:v>0</x:v>
      </x:c>
      <x:c r="AK68" s="153" t="n">
        <x:v>0</x:v>
      </x:c>
      <x:c r="AL68" s="153" t="n">
        <x:v>0</x:v>
      </x:c>
      <x:c r="AM68" s="153" t="n">
        <x:v>0</x:v>
      </x:c>
      <x:c r="AN68" s="153" t="n">
        <x:v>0</x:v>
      </x:c>
      <x:c r="AO68" s="153" t="n">
        <x:v>0</x:v>
      </x:c>
      <x:c r="AP68" s="153" t="n">
        <x:v>0</x:v>
      </x:c>
      <x:c r="AQ68" s="153" t="n">
        <x:v>0</x:v>
      </x:c>
      <x:c r="AR68" s="153" t="n">
        <x:v>0</x:v>
      </x:c>
      <x:c r="AS68" s="153" t="n">
        <x:v>0</x:v>
      </x:c>
      <x:c r="AT68" s="153" t="n">
        <x:v>0</x:v>
      </x:c>
      <x:c r="AU68" s="153" t="n">
        <x:v>0</x:v>
      </x:c>
      <x:c r="AV68" s="153" t="n">
        <x:v>0</x:v>
      </x:c>
      <x:c r="AW68" s="153" t="n">
        <x:v>0</x:v>
      </x:c>
      <x:c r="AX68" s="153" t="n">
        <x:v>0</x:v>
      </x:c>
      <x:c r="AY68" s="153" t="n">
        <x:v>0</x:v>
      </x:c>
      <x:c r="AZ68" s="153" t="n">
        <x:v>0</x:v>
      </x:c>
      <x:c r="BA68" s="153" t="n">
        <x:v>0</x:v>
      </x:c>
      <x:c r="BB68" s="153" t="n">
        <x:v>0</x:v>
      </x:c>
      <x:c r="BC68" s="153" t="n">
        <x:v>0</x:v>
      </x:c>
      <x:c r="BD68" s="153" t="n">
        <x:v>0</x:v>
      </x:c>
      <x:c r="BE68" s="153" t="n">
        <x:v>0</x:v>
      </x:c>
      <x:c r="BF68" s="153" t="n">
        <x:v>0</x:v>
      </x:c>
      <x:c r="BG68" s="153" t="n">
        <x:v>0</x:v>
      </x:c>
      <x:c r="BH68" s="153" t="n">
        <x:v>0</x:v>
      </x:c>
      <x:c r="BI68" s="153" t="n">
        <x:v>0</x:v>
      </x:c>
      <x:c r="BJ68" s="153" t="n">
        <x:v>0</x:v>
      </x:c>
      <x:c r="BK68" s="153" t="n">
        <x:v>0</x:v>
      </x:c>
      <x:c r="BL68" s="153" t="n">
        <x:v>0</x:v>
      </x:c>
      <x:c r="BM68" s="92" t="n">
        <x:f>SUM(E68:AN68)</x:f>
        <x:v>0</x:v>
      </x:c>
    </x:row>
    <x:row r="69" s="57" customFormat="1">
      <x:c r="A69" s="120"/>
      <x:c r="B69" s="166" t="s">
        <x:v>214</x:v>
      </x:c>
      <x:c r="C69" s="107"/>
      <x:c r="D69" s="126"/>
      <x:c r="E69" s="128" t="n">
        <x:v>0</x:v>
      </x:c>
      <x:c r="F69" s="128" t="n">
        <x:v>0</x:v>
      </x:c>
      <x:c r="G69" s="153" t="n">
        <x:v>0</x:v>
      </x:c>
      <x:c r="H69" s="153" t="n">
        <x:v>0</x:v>
      </x:c>
      <x:c r="I69" s="153" t="n">
        <x:v>0</x:v>
      </x:c>
      <x:c r="J69" s="153" t="n">
        <x:v>0</x:v>
      </x:c>
      <x:c r="K69" s="153" t="n">
        <x:v>0</x:v>
      </x:c>
      <x:c r="L69" s="153" t="n">
        <x:v>0</x:v>
      </x:c>
      <x:c r="M69" s="153" t="n">
        <x:v>0</x:v>
      </x:c>
      <x:c r="N69" s="153" t="n">
        <x:v>0</x:v>
      </x:c>
      <x:c r="O69" s="153" t="n">
        <x:v>0</x:v>
      </x:c>
      <x:c r="P69" s="153" t="n">
        <x:v>0</x:v>
      </x:c>
      <x:c r="Q69" s="153" t="n">
        <x:v>0</x:v>
      </x:c>
      <x:c r="R69" s="153" t="n">
        <x:v>0</x:v>
      </x:c>
      <x:c r="S69" s="153" t="n">
        <x:v>0</x:v>
      </x:c>
      <x:c r="T69" s="153" t="n">
        <x:v>0</x:v>
      </x:c>
      <x:c r="U69" s="153" t="n">
        <x:v>0</x:v>
      </x:c>
      <x:c r="V69" s="153" t="n">
        <x:v>0</x:v>
      </x:c>
      <x:c r="W69" s="153" t="n">
        <x:v>0</x:v>
      </x:c>
      <x:c r="X69" s="153" t="n">
        <x:v>0</x:v>
      </x:c>
      <x:c r="Y69" s="153" t="n">
        <x:v>0</x:v>
      </x:c>
      <x:c r="Z69" s="153" t="n">
        <x:v>0</x:v>
      </x:c>
      <x:c r="AA69" s="153" t="n">
        <x:v>0</x:v>
      </x:c>
      <x:c r="AB69" s="153" t="n">
        <x:v>0</x:v>
      </x:c>
      <x:c r="AC69" s="153" t="n">
        <x:v>0</x:v>
      </x:c>
      <x:c r="AD69" s="153" t="n">
        <x:v>0</x:v>
      </x:c>
      <x:c r="AE69" s="153" t="n">
        <x:v>0</x:v>
      </x:c>
      <x:c r="AF69" s="153" t="n">
        <x:v>0</x:v>
      </x:c>
      <x:c r="AG69" s="153" t="n">
        <x:v>0</x:v>
      </x:c>
      <x:c r="AH69" s="153" t="n">
        <x:v>0</x:v>
      </x:c>
      <x:c r="AI69" s="153" t="n">
        <x:v>0</x:v>
      </x:c>
      <x:c r="AJ69" s="153" t="n">
        <x:v>0</x:v>
      </x:c>
      <x:c r="AK69" s="153" t="n">
        <x:v>0</x:v>
      </x:c>
      <x:c r="AL69" s="153" t="n">
        <x:v>0</x:v>
      </x:c>
      <x:c r="AM69" s="153" t="n">
        <x:v>0</x:v>
      </x:c>
      <x:c r="AN69" s="153" t="n">
        <x:v>0</x:v>
      </x:c>
      <x:c r="AO69" s="153" t="n">
        <x:v>0</x:v>
      </x:c>
      <x:c r="AP69" s="153" t="n">
        <x:v>0</x:v>
      </x:c>
      <x:c r="AQ69" s="153" t="n">
        <x:v>0</x:v>
      </x:c>
      <x:c r="AR69" s="153" t="n">
        <x:v>0</x:v>
      </x:c>
      <x:c r="AS69" s="153" t="n">
        <x:v>0</x:v>
      </x:c>
      <x:c r="AT69" s="153" t="n">
        <x:v>0</x:v>
      </x:c>
      <x:c r="AU69" s="153" t="n">
        <x:v>0</x:v>
      </x:c>
      <x:c r="AV69" s="153" t="n">
        <x:v>0</x:v>
      </x:c>
      <x:c r="AW69" s="153" t="n">
        <x:v>0</x:v>
      </x:c>
      <x:c r="AX69" s="153" t="n">
        <x:v>0</x:v>
      </x:c>
      <x:c r="AY69" s="153" t="n">
        <x:v>0</x:v>
      </x:c>
      <x:c r="AZ69" s="153" t="n">
        <x:v>0</x:v>
      </x:c>
      <x:c r="BA69" s="153" t="n">
        <x:v>0</x:v>
      </x:c>
      <x:c r="BB69" s="153" t="n">
        <x:v>0</x:v>
      </x:c>
      <x:c r="BC69" s="153" t="n">
        <x:v>0</x:v>
      </x:c>
      <x:c r="BD69" s="153" t="n">
        <x:v>0</x:v>
      </x:c>
      <x:c r="BE69" s="153" t="n">
        <x:v>0</x:v>
      </x:c>
      <x:c r="BF69" s="153" t="n">
        <x:v>0</x:v>
      </x:c>
      <x:c r="BG69" s="153" t="n">
        <x:v>0</x:v>
      </x:c>
      <x:c r="BH69" s="153" t="n">
        <x:v>0</x:v>
      </x:c>
      <x:c r="BI69" s="153" t="n">
        <x:v>0</x:v>
      </x:c>
      <x:c r="BJ69" s="153" t="n">
        <x:v>0</x:v>
      </x:c>
      <x:c r="BK69" s="153" t="n">
        <x:v>0</x:v>
      </x:c>
      <x:c r="BL69" s="153" t="n">
        <x:v>0</x:v>
      </x:c>
      <x:c r="BM69" s="92" t="n">
        <x:f>SUM(E69:AN69)</x:f>
        <x:v>0</x:v>
      </x:c>
    </x:row>
    <x:row r="70" s="57" customFormat="1">
      <x:c r="A70" s="120"/>
      <x:c r="B70" s="166" t="s">
        <x:v>215</x:v>
      </x:c>
      <x:c r="C70" s="107"/>
      <x:c r="D70" s="126"/>
      <x:c r="E70" s="128" t="n">
        <x:f t="shared" ref="E70:AJ70" si="20">'Модель 36 міс'!C65</x:f>
        <x:v>47652.34</x:v>
      </x:c>
      <x:c r="F70" s="128" t="n">
        <x:f t="shared" si="20">'Модель 36 міс'!D65</x:f>
        <x:v>47652.34</x:v>
      </x:c>
      <x:c r="G70" s="153" t="n">
        <x:f t="shared" si="20">'Модель 36 міс'!E65</x:f>
        <x:v>47652.34</x:v>
      </x:c>
      <x:c r="H70" s="153" t="n">
        <x:f t="shared" si="20">'Модель 36 міс'!F65</x:f>
        <x:v>52452.34</x:v>
      </x:c>
      <x:c r="I70" s="153" t="n">
        <x:f t="shared" si="20">'Модель 36 міс'!G65</x:f>
        <x:v>52452.34</x:v>
      </x:c>
      <x:c r="J70" s="153" t="n">
        <x:f t="shared" si="20">'Модель 36 міс'!H65</x:f>
        <x:v>53652.34</x:v>
      </x:c>
      <x:c r="K70" s="153" t="n">
        <x:f t="shared" si="20">'Модель 36 міс'!I65</x:f>
        <x:v>53652.34</x:v>
      </x:c>
      <x:c r="L70" s="153" t="n">
        <x:f t="shared" si="20">'Модель 36 міс'!J65</x:f>
        <x:v>56652.34</x:v>
      </x:c>
      <x:c r="M70" s="153" t="n">
        <x:f t="shared" si="20">'Модель 36 міс'!K65</x:f>
        <x:v>60702.34</x:v>
      </x:c>
      <x:c r="N70" s="153" t="n">
        <x:f t="shared" si="20">'Модель 36 міс'!L65</x:f>
        <x:v>60702.34</x:v>
      </x:c>
      <x:c r="O70" s="153" t="n">
        <x:f t="shared" si="20">'Модель 36 міс'!M65</x:f>
        <x:v>66702.34</x:v>
      </x:c>
      <x:c r="P70" s="153" t="n">
        <x:f t="shared" si="20">'Модель 36 міс'!N65</x:f>
        <x:v>66702.34</x:v>
      </x:c>
      <x:c r="Q70" s="153" t="n">
        <x:f t="shared" si="20">'Модель 36 міс'!O65</x:f>
        <x:v>68952.34</x:v>
      </x:c>
      <x:c r="R70" s="153" t="n">
        <x:f t="shared" si="20">'Модель 36 міс'!P65</x:f>
        <x:v>73152.34</x:v>
      </x:c>
      <x:c r="S70" s="153" t="n">
        <x:f t="shared" si="20">'Модель 36 міс'!Q65</x:f>
        <x:v>73152.34</x:v>
      </x:c>
      <x:c r="T70" s="153" t="n">
        <x:f t="shared" si="20">'Модель 36 міс'!R65</x:f>
        <x:v>73152.34</x:v>
      </x:c>
      <x:c r="U70" s="153" t="n">
        <x:f t="shared" si="20">'Модель 36 міс'!S65</x:f>
        <x:v>78402.34</x:v>
      </x:c>
      <x:c r="V70" s="153" t="n">
        <x:f t="shared" si="20">'Модель 36 міс'!T65</x:f>
        <x:v>78402.34</x:v>
      </x:c>
      <x:c r="W70" s="153" t="n">
        <x:f t="shared" si="20">'Модель 36 міс'!U65</x:f>
        <x:v>78402.34</x:v>
      </x:c>
      <x:c r="X70" s="153" t="n">
        <x:f t="shared" si="20">'Модель 36 міс'!V65</x:f>
        <x:v>80202.34</x:v>
      </x:c>
      <x:c r="Y70" s="153" t="n">
        <x:f t="shared" si="20">'Модель 36 міс'!W65</x:f>
        <x:v>83202.34</x:v>
      </x:c>
      <x:c r="Z70" s="153" t="n">
        <x:f t="shared" si="20">'Модель 36 міс'!X65</x:f>
        <x:v>88902.34</x:v>
      </x:c>
      <x:c r="AA70" s="153" t="n">
        <x:f t="shared" si="20">'Модель 36 міс'!Y65</x:f>
        <x:v>88902.34</x:v>
      </x:c>
      <x:c r="AB70" s="153" t="n">
        <x:f t="shared" si="20">'Модель 36 міс'!Z65</x:f>
        <x:v>91902.34</x:v>
      </x:c>
      <x:c r="AC70" s="153" t="n">
        <x:f t="shared" si="20">'Модель 36 міс'!AA65</x:f>
        <x:v>91902.34</x:v>
      </x:c>
      <x:c r="AD70" s="153" t="n">
        <x:f t="shared" si="20">'Модель 36 міс'!AB65</x:f>
        <x:v>91902.34</x:v>
      </x:c>
      <x:c r="AE70" s="153" t="n">
        <x:f t="shared" si="20">'Модель 36 міс'!AC65</x:f>
        <x:v>91902.34</x:v>
      </x:c>
      <x:c r="AF70" s="153" t="n">
        <x:f t="shared" si="20">'Модель 36 міс'!AD65</x:f>
        <x:v>94152.34</x:v>
      </x:c>
      <x:c r="AG70" s="153" t="n">
        <x:f t="shared" si="20">'Модель 36 міс'!AE65</x:f>
        <x:v>94152.34</x:v>
      </x:c>
      <x:c r="AH70" s="153" t="n">
        <x:f t="shared" si="20">'Модель 36 міс'!AF65</x:f>
        <x:v>94152.34</x:v>
      </x:c>
      <x:c r="AI70" s="153" t="n">
        <x:f t="shared" si="20">'Модель 36 міс'!AG65</x:f>
        <x:v>94152.34</x:v>
      </x:c>
      <x:c r="AJ70" s="153" t="n">
        <x:f t="shared" si="20">'Модель 36 міс'!AH65</x:f>
        <x:v>94152.34</x:v>
      </x:c>
      <x:c r="AK70" s="153" t="n">
        <x:f t="shared" ref="AK70:BL70" si="21">'Модель 36 міс'!AI65</x:f>
        <x:v>94152.34</x:v>
      </x:c>
      <x:c r="AL70" s="153" t="n">
        <x:f t="shared" si="21">'Модель 36 міс'!AJ65</x:f>
        <x:v>94152.34</x:v>
      </x:c>
      <x:c r="AM70" s="153" t="n">
        <x:f t="shared" si="21">'Модель 36 міс'!AK65</x:f>
        <x:v>96402.34</x:v>
      </x:c>
      <x:c r="AN70" s="153" t="n">
        <x:f t="shared" si="21">'Модель 36 міс'!AL65</x:f>
        <x:v>96402.34</x:v>
      </x:c>
      <x:c r="AO70" s="153" t="n">
        <x:f t="shared" si="21"/>
        <x:v>0</x:v>
      </x:c>
      <x:c r="AP70" s="153" t="n">
        <x:f t="shared" si="21"/>
        <x:v>0</x:v>
      </x:c>
      <x:c r="AQ70" s="153" t="n">
        <x:f t="shared" si="21"/>
        <x:v>0</x:v>
      </x:c>
      <x:c r="AR70" s="153" t="n">
        <x:f t="shared" si="21"/>
        <x:v>0</x:v>
      </x:c>
      <x:c r="AS70" s="153" t="n">
        <x:f t="shared" si="21"/>
        <x:v>0</x:v>
      </x:c>
      <x:c r="AT70" s="153" t="n">
        <x:f t="shared" si="21"/>
        <x:v>0</x:v>
      </x:c>
      <x:c r="AU70" s="153" t="n">
        <x:f t="shared" si="21"/>
        <x:v>0</x:v>
      </x:c>
      <x:c r="AV70" s="153" t="n">
        <x:f t="shared" si="21"/>
        <x:v>0</x:v>
      </x:c>
      <x:c r="AW70" s="153" t="n">
        <x:f t="shared" si="21"/>
        <x:v>0</x:v>
      </x:c>
      <x:c r="AX70" s="153" t="n">
        <x:f t="shared" si="21"/>
        <x:v>0</x:v>
      </x:c>
      <x:c r="AY70" s="153" t="n">
        <x:f t="shared" si="21"/>
        <x:v>0</x:v>
      </x:c>
      <x:c r="AZ70" s="153" t="n">
        <x:f t="shared" si="21"/>
        <x:v>0</x:v>
      </x:c>
      <x:c r="BA70" s="153" t="n">
        <x:f t="shared" si="21"/>
        <x:v>0</x:v>
      </x:c>
      <x:c r="BB70" s="153" t="n">
        <x:f t="shared" si="21"/>
        <x:v>0</x:v>
      </x:c>
      <x:c r="BC70" s="153" t="n">
        <x:f t="shared" si="21"/>
        <x:v>0</x:v>
      </x:c>
      <x:c r="BD70" s="153" t="n">
        <x:f t="shared" si="21"/>
        <x:v>0</x:v>
      </x:c>
      <x:c r="BE70" s="153" t="n">
        <x:f t="shared" si="21"/>
        <x:v>0</x:v>
      </x:c>
      <x:c r="BF70" s="153" t="n">
        <x:f t="shared" si="21"/>
        <x:v>0</x:v>
      </x:c>
      <x:c r="BG70" s="153" t="n">
        <x:f t="shared" si="21"/>
        <x:v>0</x:v>
      </x:c>
      <x:c r="BH70" s="153" t="n">
        <x:f t="shared" si="21"/>
        <x:v>0</x:v>
      </x:c>
      <x:c r="BI70" s="153" t="n">
        <x:f t="shared" si="21"/>
        <x:v>0</x:v>
      </x:c>
      <x:c r="BJ70" s="153" t="n">
        <x:f t="shared" si="21"/>
        <x:v>0</x:v>
      </x:c>
      <x:c r="BK70" s="153" t="n">
        <x:f t="shared" si="21"/>
        <x:v>0</x:v>
      </x:c>
      <x:c r="BL70" s="153" t="n">
        <x:f t="shared" si="21"/>
        <x:v>0</x:v>
      </x:c>
      <x:c r="BM70" s="92" t="n">
        <x:f>SUM(E70:AN70)</x:f>
        <x:v>2750934.2399999998</x:v>
      </x:c>
    </x:row>
    <x:row r="71" s="57" customFormat="1">
      <x:c r="A71" s="120"/>
      <x:c r="B71" s="166" t="str">
        <x:v>Накопичений прогноз платежів до заліку з М2</x:v>
      </x:c>
      <x:c r="C71" s="107"/>
      <x:c r="D71" s="126"/>
      <x:c r="E71" s="128" t="n">
        <x:f>'Модель 36 міс'!C67</x:f>
        <x:v>0</x:v>
      </x:c>
      <x:c r="F71" s="128" t="n">
        <x:f>'Модель 36 міс'!D67</x:f>
        <x:v>47652.34</x:v>
      </x:c>
      <x:c r="G71" s="153" t="n">
        <x:f>'Модель 36 міс'!E67</x:f>
        <x:v>95304.68</x:v>
      </x:c>
      <x:c r="H71" s="153" t="n">
        <x:f>'Модель 36 міс'!F67</x:f>
        <x:v>147757.02</x:v>
      </x:c>
      <x:c r="I71" s="153" t="n">
        <x:f>'Модель 36 міс'!G67</x:f>
        <x:v>200209.36</x:v>
      </x:c>
      <x:c r="J71" s="153" t="n">
        <x:f>'Модель 36 міс'!H67</x:f>
        <x:v>253861.69999999998</x:v>
      </x:c>
      <x:c r="K71" s="153" t="n">
        <x:f>'Модель 36 міс'!I67</x:f>
        <x:v>307514.04</x:v>
      </x:c>
      <x:c r="L71" s="153" t="n">
        <x:f>'Модель 36 міс'!J67</x:f>
        <x:v>364166.38</x:v>
      </x:c>
      <x:c r="M71" s="153" t="n">
        <x:f>'Модель 36 міс'!K67</x:f>
        <x:v>424868.72</x:v>
      </x:c>
      <x:c r="N71" s="153" t="n">
        <x:f>'Модель 36 міс'!L67</x:f>
        <x:v>485571.05999999994</x:v>
      </x:c>
      <x:c r="O71" s="153" t="n">
        <x:f>'Модель 36 міс'!M67</x:f>
        <x:v>552273.3999999999</x:v>
      </x:c>
      <x:c r="P71" s="153" t="n">
        <x:f>'Модель 36 міс'!N67</x:f>
        <x:v>618975.7399999999</x:v>
      </x:c>
      <x:c r="Q71" s="153" t="n">
        <x:f>'Модель 36 міс'!O67</x:f>
        <x:v>687928.0799999998</x:v>
      </x:c>
      <x:c r="R71" s="153" t="n">
        <x:f>'Модель 36 міс'!P67</x:f>
        <x:v>761080.4199999998</x:v>
      </x:c>
      <x:c r="S71" s="153" t="n">
        <x:f>'Модель 36 міс'!Q67</x:f>
        <x:v>834232.7599999998</x:v>
      </x:c>
      <x:c r="T71" s="153" t="n">
        <x:f>'Модель 36 міс'!R67</x:f>
        <x:v>907385.0999999997</x:v>
      </x:c>
      <x:c r="U71" s="153" t="n">
        <x:f>'Модель 36 міс'!S67</x:f>
        <x:v>985787.4399999997</x:v>
      </x:c>
      <x:c r="V71" s="153" t="n">
        <x:f>'Модель 36 міс'!T67</x:f>
        <x:v>1064189.7799999998</x:v>
      </x:c>
      <x:c r="W71" s="153" t="n">
        <x:f>'Модель 36 міс'!U67</x:f>
        <x:v>1142592.1199999999</x:v>
      </x:c>
      <x:c r="X71" s="153" t="n">
        <x:f>'Модель 36 міс'!V67</x:f>
        <x:v>1222794.46</x:v>
      </x:c>
      <x:c r="Y71" s="153" t="n">
        <x:f>'Модель 36 міс'!W67</x:f>
        <x:v>1305996.8</x:v>
      </x:c>
      <x:c r="Z71" s="153" t="n">
        <x:f>'Модель 36 міс'!X67</x:f>
        <x:v>1394899.1400000001</x:v>
      </x:c>
      <x:c r="AA71" s="153" t="n">
        <x:f>'Модель 36 міс'!Y67</x:f>
        <x:v>1483801.4800000002</x:v>
      </x:c>
      <x:c r="AB71" s="153" t="n">
        <x:f>'Модель 36 міс'!Z67</x:f>
        <x:v>1575703.8200000003</x:v>
      </x:c>
      <x:c r="AC71" s="153" t="n">
        <x:f>'Модель 36 міс'!AA67</x:f>
        <x:v>1667606.1600000004</x:v>
      </x:c>
      <x:c r="AD71" s="153" t="n">
        <x:f>'Модель 36 міс'!AB67</x:f>
        <x:v>1759508.5000000005</x:v>
      </x:c>
      <x:c r="AE71" s="153" t="n">
        <x:f>'Модель 36 міс'!AC67</x:f>
        <x:v>1851410.8400000005</x:v>
      </x:c>
      <x:c r="AF71" s="153" t="n">
        <x:f>'Модель 36 міс'!AD67</x:f>
        <x:v>1945563.1800000006</x:v>
      </x:c>
      <x:c r="AG71" s="153" t="n">
        <x:f>'Модель 36 міс'!AE67</x:f>
        <x:v>2039715.5200000007</x:v>
      </x:c>
      <x:c r="AH71" s="153" t="n">
        <x:f>'Модель 36 міс'!AF67</x:f>
        <x:v>2133867.860000001</x:v>
      </x:c>
      <x:c r="AI71" s="153" t="n">
        <x:f>'Модель 36 міс'!AG67</x:f>
        <x:v>2228020.2000000007</x:v>
      </x:c>
      <x:c r="AJ71" s="153" t="n">
        <x:f>'Модель 36 міс'!AH67</x:f>
        <x:v>2322172.5400000005</x:v>
      </x:c>
      <x:c r="AK71" s="153" t="n">
        <x:f>'Модель 36 міс'!AI67</x:f>
        <x:v>2416324.8800000004</x:v>
      </x:c>
      <x:c r="AL71" s="153" t="n">
        <x:f>'Модель 36 міс'!AJ67</x:f>
        <x:v>2510477.22</x:v>
      </x:c>
      <x:c r="AM71" s="153" t="n">
        <x:f>'Модель 36 міс'!AK67</x:f>
        <x:v>2606879.56</x:v>
      </x:c>
      <x:c r="AN71" s="153" t="n">
        <x:f>'Модель 36 міс'!AL67</x:f>
        <x:v>2703281.9</x:v>
      </x:c>
      <x:c r="AO71" s="153" t="n">
        <x:v>0</x:v>
      </x:c>
      <x:c r="AP71" s="153" t="n">
        <x:v>0</x:v>
      </x:c>
      <x:c r="AQ71" s="153" t="n">
        <x:v>0</x:v>
      </x:c>
      <x:c r="AR71" s="153" t="n">
        <x:v>0</x:v>
      </x:c>
      <x:c r="AS71" s="153" t="n">
        <x:v>0</x:v>
      </x:c>
      <x:c r="AT71" s="153" t="n">
        <x:v>0</x:v>
      </x:c>
      <x:c r="AU71" s="153" t="n">
        <x:v>0</x:v>
      </x:c>
      <x:c r="AV71" s="153" t="n">
        <x:v>0</x:v>
      </x:c>
      <x:c r="AW71" s="153" t="n">
        <x:v>0</x:v>
      </x:c>
      <x:c r="AX71" s="153" t="n">
        <x:v>0</x:v>
      </x:c>
      <x:c r="AY71" s="153" t="n">
        <x:v>0</x:v>
      </x:c>
      <x:c r="AZ71" s="153" t="n">
        <x:v>0</x:v>
      </x:c>
      <x:c r="BA71" s="153" t="n">
        <x:v>0</x:v>
      </x:c>
      <x:c r="BB71" s="153" t="n">
        <x:v>0</x:v>
      </x:c>
      <x:c r="BC71" s="153" t="n">
        <x:v>0</x:v>
      </x:c>
      <x:c r="BD71" s="153" t="n">
        <x:v>0</x:v>
      </x:c>
      <x:c r="BE71" s="153" t="n">
        <x:v>0</x:v>
      </x:c>
      <x:c r="BF71" s="153" t="n">
        <x:v>0</x:v>
      </x:c>
      <x:c r="BG71" s="153" t="n">
        <x:v>0</x:v>
      </x:c>
      <x:c r="BH71" s="153" t="n">
        <x:v>0</x:v>
      </x:c>
      <x:c r="BI71" s="153" t="n">
        <x:v>0</x:v>
      </x:c>
      <x:c r="BJ71" s="153" t="n">
        <x:v>0</x:v>
      </x:c>
      <x:c r="BK71" s="153" t="n">
        <x:v>0</x:v>
      </x:c>
      <x:c r="BL71" s="153" t="n">
        <x:v>0</x:v>
      </x:c>
      <x:c r="BM71" s="92" t="n">
        <x:f>AN71</x:f>
        <x:v>2703281.9</x:v>
      </x:c>
    </x:row>
    <x:row r="72" s="131" customFormat="1" ht="12" customHeight="1">
      <x:c r="A72" s="129"/>
      <x:c r="B72" s="369" t="s">
        <x:v>216</x:v>
      </x:c>
      <x:c r="C72" s="369"/>
      <x:c r="D72" s="130" t="n">
        <x:f>SUM(D32:D69)</x:f>
        <x:v>0</x:v>
      </x:c>
      <x:c r="E72" s="92" t="n">
        <x:f t="shared" ref="E72:AJ72" si="22">'Модель 36 міс'!C58</x:f>
        <x:v>2020450.34</x:v>
      </x:c>
      <x:c r="F72" s="92" t="n">
        <x:f t="shared" si="22">'Модель 36 міс'!D58</x:f>
        <x:v>109552.34</x:v>
      </x:c>
      <x:c r="G72" s="92" t="n">
        <x:f t="shared" si="22">'Модель 36 міс'!E58</x:f>
        <x:v>109552.34</x:v>
      </x:c>
      <x:c r="H72" s="92" t="n">
        <x:f t="shared" si="22">'Модель 36 міс'!F58</x:f>
        <x:v>114852.34</x:v>
      </x:c>
      <x:c r="I72" s="92" t="n">
        <x:f t="shared" si="22">'Модель 36 міс'!G58</x:f>
        <x:v>115052.34</x:v>
      </x:c>
      <x:c r="J72" s="92" t="n">
        <x:f t="shared" si="22">'Модель 36 міс'!H58</x:f>
        <x:v>116252.34</x:v>
      </x:c>
      <x:c r="K72" s="92" t="n">
        <x:f t="shared" si="22">'Модель 36 міс'!I58</x:f>
        <x:v>116052.34</x:v>
      </x:c>
      <x:c r="L72" s="92" t="n">
        <x:f t="shared" si="22">'Модель 36 міс'!J58</x:f>
        <x:v>119052.34</x:v>
      </x:c>
      <x:c r="M72" s="92" t="n">
        <x:f t="shared" si="22">'Модель 36 міс'!K58</x:f>
        <x:v>127302.34</x:v>
      </x:c>
      <x:c r="N72" s="92" t="n">
        <x:f t="shared" si="22">'Модель 36 міс'!L58</x:f>
        <x:v>127302.34</x:v>
      </x:c>
      <x:c r="O72" s="92" t="n">
        <x:f t="shared" si="22">'Модель 36 міс'!M58</x:f>
        <x:v>133302.34</x:v>
      </x:c>
      <x:c r="P72" s="92" t="n">
        <x:f t="shared" si="22">'Модель 36 міс'!N58</x:f>
        <x:v>133302.34</x:v>
      </x:c>
      <x:c r="Q72" s="92" t="n">
        <x:f t="shared" si="22">'Модель 36 міс'!O58</x:f>
        <x:v>415262.34</x:v>
      </x:c>
      <x:c r="R72" s="92" t="n">
        <x:f t="shared" si="22">'Модель 36 міс'!P58</x:f>
        <x:v>144302.34</x:v>
      </x:c>
      <x:c r="S72" s="92" t="n">
        <x:f t="shared" si="22">'Модель 36 міс'!Q58</x:f>
        <x:v>144852.34</x:v>
      </x:c>
      <x:c r="T72" s="92" t="n">
        <x:f t="shared" si="22">'Модель 36 міс'!R58</x:f>
        <x:v>144852.34</x:v>
      </x:c>
      <x:c r="U72" s="92" t="n">
        <x:f t="shared" si="22">'Модель 36 міс'!S58</x:f>
        <x:v>153952.34</x:v>
      </x:c>
      <x:c r="V72" s="92" t="n">
        <x:f t="shared" si="22">'Модель 36 міс'!T58</x:f>
        <x:v>153952.34</x:v>
      </x:c>
      <x:c r="W72" s="92" t="n">
        <x:f t="shared" si="22">'Модель 36 міс'!U58</x:f>
        <x:v>153652.34</x:v>
      </x:c>
      <x:c r="X72" s="92" t="n">
        <x:f t="shared" si="22">'Модель 36 міс'!V58</x:f>
        <x:v>155452.34</x:v>
      </x:c>
      <x:c r="Y72" s="92" t="n">
        <x:f t="shared" si="22">'Модель 36 міс'!W58</x:f>
        <x:v>158752.34</x:v>
      </x:c>
      <x:c r="Z72" s="92" t="n">
        <x:f t="shared" si="22">'Модель 36 міс'!X58</x:f>
        <x:v>172152.34</x:v>
      </x:c>
      <x:c r="AA72" s="92" t="n">
        <x:f t="shared" si="22">'Модель 36 міс'!Y58</x:f>
        <x:v>172152.34</x:v>
      </x:c>
      <x:c r="AB72" s="92" t="n">
        <x:f t="shared" si="22">'Модель 36 міс'!Z58</x:f>
        <x:v>175152.34</x:v>
      </x:c>
      <x:c r="AC72" s="92" t="n">
        <x:f t="shared" si="22">'Модель 36 міс'!AA58</x:f>
        <x:v>190352.34</x:v>
      </x:c>
      <x:c r="AD72" s="92" t="n">
        <x:f t="shared" si="22">'Модель 36 міс'!AB58</x:f>
        <x:v>190352.34</x:v>
      </x:c>
      <x:c r="AE72" s="92" t="n">
        <x:f t="shared" si="22">'Модель 36 міс'!AC58</x:f>
        <x:v>190652.34</x:v>
      </x:c>
      <x:c r="AF72" s="92" t="n">
        <x:f t="shared" si="22">'Модель 36 міс'!AD58</x:f>
        <x:v>196752.34</x:v>
      </x:c>
      <x:c r="AG72" s="92" t="n">
        <x:f t="shared" si="22">'Модель 36 міс'!AE58</x:f>
        <x:v>196752.34</x:v>
      </x:c>
      <x:c r="AH72" s="92" t="n">
        <x:f t="shared" si="22">'Модель 36 міс'!AF58</x:f>
        <x:v>196752.34</x:v>
      </x:c>
      <x:c r="AI72" s="92" t="n">
        <x:f t="shared" si="22">'Модель 36 міс'!AG58</x:f>
        <x:v>196752.34</x:v>
      </x:c>
      <x:c r="AJ72" s="92" t="n">
        <x:f t="shared" si="22">'Модель 36 міс'!AH58</x:f>
        <x:v>196752.34</x:v>
      </x:c>
      <x:c r="AK72" s="92" t="n">
        <x:f t="shared" ref="AK72:BL72" si="23">'Модель 36 міс'!AI58</x:f>
        <x:v>196752.34</x:v>
      </x:c>
      <x:c r="AL72" s="92" t="n">
        <x:f t="shared" si="23">'Модель 36 міс'!AJ58</x:f>
        <x:v>196752.34</x:v>
      </x:c>
      <x:c r="AM72" s="92" t="n">
        <x:f t="shared" si="23">'Модель 36 міс'!AK58</x:f>
        <x:v>202852.34</x:v>
      </x:c>
      <x:c r="AN72" s="92" t="n">
        <x:f t="shared" si="23">'Модель 36 міс'!AL58</x:f>
        <x:v>202852.34</x:v>
      </x:c>
      <x:c r="AO72" s="92" t="n">
        <x:f t="shared" si="23"/>
        <x:v>0</x:v>
      </x:c>
      <x:c r="AP72" s="92" t="n">
        <x:f t="shared" si="23"/>
        <x:v>0</x:v>
      </x:c>
      <x:c r="AQ72" s="92" t="n">
        <x:f t="shared" si="23"/>
        <x:v>0</x:v>
      </x:c>
      <x:c r="AR72" s="92" t="n">
        <x:f t="shared" si="23"/>
        <x:v>0</x:v>
      </x:c>
      <x:c r="AS72" s="92" t="n">
        <x:f t="shared" si="23"/>
        <x:v>0</x:v>
      </x:c>
      <x:c r="AT72" s="92" t="n">
        <x:f t="shared" si="23"/>
        <x:v>0</x:v>
      </x:c>
      <x:c r="AU72" s="92" t="n">
        <x:f t="shared" si="23"/>
        <x:v>0</x:v>
      </x:c>
      <x:c r="AV72" s="92" t="n">
        <x:f t="shared" si="23"/>
        <x:v>0</x:v>
      </x:c>
      <x:c r="AW72" s="92" t="n">
        <x:f t="shared" si="23"/>
        <x:v>0</x:v>
      </x:c>
      <x:c r="AX72" s="92" t="n">
        <x:f t="shared" si="23"/>
        <x:v>0</x:v>
      </x:c>
      <x:c r="AY72" s="92" t="n">
        <x:f t="shared" si="23"/>
        <x:v>0</x:v>
      </x:c>
      <x:c r="AZ72" s="92" t="n">
        <x:f t="shared" si="23"/>
        <x:v>0</x:v>
      </x:c>
      <x:c r="BA72" s="92" t="n">
        <x:f t="shared" si="23"/>
        <x:v>0</x:v>
      </x:c>
      <x:c r="BB72" s="92" t="n">
        <x:f t="shared" si="23"/>
        <x:v>0</x:v>
      </x:c>
      <x:c r="BC72" s="92" t="n">
        <x:f t="shared" si="23"/>
        <x:v>0</x:v>
      </x:c>
      <x:c r="BD72" s="92" t="n">
        <x:f t="shared" si="23"/>
        <x:v>0</x:v>
      </x:c>
      <x:c r="BE72" s="92" t="n">
        <x:f t="shared" si="23"/>
        <x:v>0</x:v>
      </x:c>
      <x:c r="BF72" s="92" t="n">
        <x:f t="shared" si="23"/>
        <x:v>0</x:v>
      </x:c>
      <x:c r="BG72" s="92" t="n">
        <x:f t="shared" si="23"/>
        <x:v>0</x:v>
      </x:c>
      <x:c r="BH72" s="92" t="n">
        <x:f t="shared" si="23"/>
        <x:v>0</x:v>
      </x:c>
      <x:c r="BI72" s="92" t="n">
        <x:f t="shared" si="23"/>
        <x:v>0</x:v>
      </x:c>
      <x:c r="BJ72" s="92" t="n">
        <x:f t="shared" si="23"/>
        <x:v>0</x:v>
      </x:c>
      <x:c r="BK72" s="92" t="n">
        <x:f t="shared" si="23"/>
        <x:v>0</x:v>
      </x:c>
      <x:c r="BL72" s="92" t="n">
        <x:f t="shared" si="23"/>
        <x:v>0</x:v>
      </x:c>
      <x:c r="BM72" s="154" t="n">
        <x:f>SUM(E72:AN72)</x:f>
        <x:v>7840842.239999996</x:v>
      </x:c>
    </x:row>
    <x:row r="73" s="129" customFormat="1" ht="12.949999809265137" customHeight="1">
      <x:c r="A73" s="15"/>
      <x:c r="B73" s="132" t="s">
        <x:v>62</x:v>
      </x:c>
      <x:c r="C73" s="132"/>
      <x:c r="D73" s="132" t="s">
        <x:v>62</x:v>
      </x:c>
      <x:c r="E73" s="132" t="s">
        <x:v>62</x:v>
      </x:c>
      <x:c r="F73" s="132" t="s">
        <x:v>62</x:v>
      </x:c>
      <x:c r="G73" s="132" t="s">
        <x:v>62</x:v>
      </x:c>
      <x:c r="H73" s="132" t="s">
        <x:v>62</x:v>
      </x:c>
      <x:c r="I73" s="132" t="s">
        <x:v>62</x:v>
      </x:c>
      <x:c r="J73" s="132" t="s">
        <x:v>62</x:v>
      </x:c>
      <x:c r="K73" s="132" t="s">
        <x:v>62</x:v>
      </x:c>
      <x:c r="L73" s="132" t="s">
        <x:v>62</x:v>
      </x:c>
      <x:c r="M73" s="132" t="s">
        <x:v>62</x:v>
      </x:c>
      <x:c r="N73" s="132" t="s">
        <x:v>62</x:v>
      </x:c>
      <x:c r="O73" s="132" t="s">
        <x:v>62</x:v>
      </x:c>
      <x:c r="P73" s="132" t="s">
        <x:v>62</x:v>
      </x:c>
      <x:c r="Q73" s="132" t="s">
        <x:v>62</x:v>
      </x:c>
      <x:c r="R73" s="132" t="s">
        <x:v>62</x:v>
      </x:c>
      <x:c r="S73" s="132" t="s">
        <x:v>62</x:v>
      </x:c>
      <x:c r="T73" s="132" t="s">
        <x:v>62</x:v>
      </x:c>
      <x:c r="U73" s="132" t="s">
        <x:v>62</x:v>
      </x:c>
      <x:c r="V73" s="132" t="s">
        <x:v>62</x:v>
      </x:c>
      <x:c r="W73" s="132" t="s">
        <x:v>62</x:v>
      </x:c>
      <x:c r="X73" s="132" t="s">
        <x:v>62</x:v>
      </x:c>
      <x:c r="Y73" s="132" t="s">
        <x:v>62</x:v>
      </x:c>
      <x:c r="Z73" s="132" t="s">
        <x:v>62</x:v>
      </x:c>
      <x:c r="AA73" s="132" t="s">
        <x:v>62</x:v>
      </x:c>
      <x:c r="AB73" s="132" t="s">
        <x:v>62</x:v>
      </x:c>
      <x:c r="AC73" s="132" t="s">
        <x:v>62</x:v>
      </x:c>
      <x:c r="AD73" s="132" t="s">
        <x:v>62</x:v>
      </x:c>
      <x:c r="AE73" s="132" t="s">
        <x:v>62</x:v>
      </x:c>
      <x:c r="AF73" s="132" t="s">
        <x:v>62</x:v>
      </x:c>
      <x:c r="AG73" s="132" t="s">
        <x:v>62</x:v>
      </x:c>
      <x:c r="AH73" s="132" t="s">
        <x:v>62</x:v>
      </x:c>
      <x:c r="AI73" s="132" t="s">
        <x:v>62</x:v>
      </x:c>
      <x:c r="AJ73" s="132" t="s">
        <x:v>62</x:v>
      </x:c>
      <x:c r="AK73" s="132" t="s">
        <x:v>62</x:v>
      </x:c>
      <x:c r="AL73" s="132" t="s">
        <x:v>62</x:v>
      </x:c>
      <x:c r="AM73" s="132" t="s">
        <x:v>62</x:v>
      </x:c>
      <x:c r="AN73" s="132" t="s">
        <x:v>62</x:v>
      </x:c>
      <x:c r="AO73" s="132" t="s">
        <x:v>62</x:v>
      </x:c>
      <x:c r="AP73" s="132" t="s">
        <x:v>62</x:v>
      </x:c>
      <x:c r="AQ73" s="132" t="s">
        <x:v>62</x:v>
      </x:c>
      <x:c r="AR73" s="132" t="s">
        <x:v>62</x:v>
      </x:c>
      <x:c r="AS73" s="132" t="s">
        <x:v>62</x:v>
      </x:c>
      <x:c r="AT73" s="132" t="s">
        <x:v>62</x:v>
      </x:c>
      <x:c r="AU73" s="132" t="s">
        <x:v>62</x:v>
      </x:c>
      <x:c r="AV73" s="132" t="s">
        <x:v>62</x:v>
      </x:c>
      <x:c r="AW73" s="132" t="s">
        <x:v>62</x:v>
      </x:c>
      <x:c r="AX73" s="132" t="s">
        <x:v>62</x:v>
      </x:c>
      <x:c r="AY73" s="132" t="s">
        <x:v>62</x:v>
      </x:c>
      <x:c r="AZ73" s="132" t="s">
        <x:v>62</x:v>
      </x:c>
      <x:c r="BA73" s="132" t="s">
        <x:v>62</x:v>
      </x:c>
      <x:c r="BB73" s="132" t="s">
        <x:v>62</x:v>
      </x:c>
      <x:c r="BC73" s="132" t="s">
        <x:v>62</x:v>
      </x:c>
      <x:c r="BD73" s="132" t="s">
        <x:v>62</x:v>
      </x:c>
      <x:c r="BE73" s="132" t="s">
        <x:v>62</x:v>
      </x:c>
      <x:c r="BF73" s="132" t="s">
        <x:v>62</x:v>
      </x:c>
      <x:c r="BG73" s="132" t="s">
        <x:v>62</x:v>
      </x:c>
      <x:c r="BH73" s="132" t="s">
        <x:v>62</x:v>
      </x:c>
      <x:c r="BI73" s="132" t="s">
        <x:v>62</x:v>
      </x:c>
      <x:c r="BJ73" s="132" t="s">
        <x:v>62</x:v>
      </x:c>
      <x:c r="BK73" s="132" t="s">
        <x:v>62</x:v>
      </x:c>
      <x:c r="BL73" s="132" t="s">
        <x:v>62</x:v>
      </x:c>
      <x:c r="BM73" s="132" t="s">
        <x:v>62</x:v>
      </x:c>
    </x:row>
    <x:row r="74" s="136" customFormat="1" ht="59.45000076293945" customHeight="1">
      <x:c r="A74" s="133"/>
      <x:c r="B74" s="134"/>
      <x:c r="C74" s="167" t="str">
        <x:v>Чистий грошовий потік за місяць, не прибуток</x:v>
      </x:c>
      <x:c r="D74" s="135" t="n">
        <x:f>D27-D72</x:f>
        <x:v>0</x:v>
      </x:c>
      <x:c r="E74" s="135" t="n">
        <x:f t="shared" ref="E74:AJ74" si="24">'Модель 36 міс'!C59</x:f>
        <x:v>89447.65999999992</x:v>
      </x:c>
      <x:c r="F74" s="135" t="n">
        <x:f t="shared" si="24">'Модель 36 міс'!D59</x:f>
        <x:v>90447.66</x:v>
      </x:c>
      <x:c r="G74" s="135" t="n">
        <x:f t="shared" si="24">'Модель 36 міс'!E59</x:f>
        <x:v>90447.66</x:v>
      </x:c>
      <x:c r="H74" s="135" t="n">
        <x:f t="shared" si="24">'Модель 36 міс'!F59</x:f>
        <x:v>165147.66</x:v>
      </x:c>
      <x:c r="I74" s="135" t="n">
        <x:f t="shared" si="24">'Модель 36 міс'!G59</x:f>
        <x:v>164947.66</x:v>
      </x:c>
      <x:c r="J74" s="135" t="n">
        <x:f t="shared" si="24">'Модель 36 міс'!H59</x:f>
        <x:v>183747.66</x:v>
      </x:c>
      <x:c r="K74" s="135" t="n">
        <x:f t="shared" si="24">'Модель 36 міс'!I59</x:f>
        <x:v>183947.66</x:v>
      </x:c>
      <x:c r="L74" s="135" t="n">
        <x:f t="shared" si="24">'Модель 36 міс'!J59</x:f>
        <x:v>230947.66</x:v>
      </x:c>
      <x:c r="M74" s="135" t="n">
        <x:f t="shared" si="24">'Модель 36 міс'!K59</x:f>
        <x:v>252697.66</x:v>
      </x:c>
      <x:c r="N74" s="135" t="n">
        <x:f t="shared" si="24">'Модель 36 міс'!L59</x:f>
        <x:v>252697.66</x:v>
      </x:c>
      <x:c r="O74" s="135" t="n">
        <x:f t="shared" si="24">'Модель 36 міс'!M59</x:f>
        <x:v>346697.66000000003</x:v>
      </x:c>
      <x:c r="P74" s="135" t="n">
        <x:f t="shared" si="24">'Модель 36 міс'!N59</x:f>
        <x:v>346697.66000000003</x:v>
      </x:c>
      <x:c r="Q74" s="135" t="n">
        <x:f t="shared" si="24">'Модель 36 міс'!O59</x:f>
        <x:v>340597.66</x:v>
      </x:c>
      <x:c r="R74" s="135" t="n">
        <x:f t="shared" si="24">'Модель 36 міс'!P59</x:f>
        <x:v>405697.66000000003</x:v>
      </x:c>
      <x:c r="S74" s="135" t="n">
        <x:f t="shared" si="24">'Модель 36 міс'!Q59</x:f>
        <x:v>405147.66000000003</x:v>
      </x:c>
      <x:c r="T74" s="135" t="n">
        <x:f t="shared" si="24">'Модель 36 міс'!R59</x:f>
        <x:v>405147.66000000003</x:v>
      </x:c>
      <x:c r="U74" s="135" t="n">
        <x:f t="shared" si="24">'Модель 36 міс'!S59</x:f>
        <x:v>446047.66000000003</x:v>
      </x:c>
      <x:c r="V74" s="135" t="n">
        <x:f t="shared" si="24">'Модель 36 міс'!T59</x:f>
        <x:v>446047.66000000003</x:v>
      </x:c>
      <x:c r="W74" s="135" t="n">
        <x:f t="shared" si="24">'Модель 36 міс'!U59</x:f>
        <x:v>446347.66000000003</x:v>
      </x:c>
      <x:c r="X74" s="135" t="n">
        <x:f t="shared" si="24">'Модель 36 міс'!V59</x:f>
        <x:v>474547.66000000003</x:v>
      </x:c>
      <x:c r="Y74" s="135" t="n">
        <x:f t="shared" si="24">'Модель 36 міс'!W59</x:f>
        <x:v>521247.66000000003</x:v>
      </x:c>
      <x:c r="Z74" s="135" t="n">
        <x:f t="shared" si="24">'Модель 36 міс'!X59</x:f>
        <x:v>527847.66</x:v>
      </x:c>
      <x:c r="AA74" s="135" t="n">
        <x:f t="shared" si="24">'Модель 36 міс'!Y59</x:f>
        <x:v>527847.66</x:v>
      </x:c>
      <x:c r="AB74" s="135" t="n">
        <x:f t="shared" si="24">'Модель 36 міс'!Z59</x:f>
        <x:v>574847.66</x:v>
      </x:c>
      <x:c r="AC74" s="135" t="n">
        <x:f t="shared" si="24">'Модель 36 міс'!AA59</x:f>
        <x:v>559647.66</x:v>
      </x:c>
      <x:c r="AD74" s="135" t="n">
        <x:f t="shared" si="24">'Модель 36 міс'!AB59</x:f>
        <x:v>559647.66</x:v>
      </x:c>
      <x:c r="AE74" s="135" t="n">
        <x:f t="shared" si="24">'Модель 36 міс'!AC59</x:f>
        <x:v>559347.66</x:v>
      </x:c>
      <x:c r="AF74" s="135" t="n">
        <x:f t="shared" si="24">'Модель 36 міс'!AD59</x:f>
        <x:v>553247.66</x:v>
      </x:c>
      <x:c r="AG74" s="135" t="n">
        <x:f t="shared" si="24">'Модель 36 міс'!AE59</x:f>
        <x:v>553247.66</x:v>
      </x:c>
      <x:c r="AH74" s="135" t="n">
        <x:f t="shared" si="24">'Модель 36 міс'!AF59</x:f>
        <x:v>553247.66</x:v>
      </x:c>
      <x:c r="AI74" s="135" t="n">
        <x:f t="shared" si="24">'Модель 36 міс'!AG59</x:f>
        <x:v>553247.66</x:v>
      </x:c>
      <x:c r="AJ74" s="135" t="n">
        <x:f t="shared" si="24">'Модель 36 міс'!AH59</x:f>
        <x:v>553247.66</x:v>
      </x:c>
      <x:c r="AK74" s="135" t="n">
        <x:f t="shared" ref="AK74:BM74" si="25">'Модель 36 міс'!AI59</x:f>
        <x:v>553247.66</x:v>
      </x:c>
      <x:c r="AL74" s="135" t="n">
        <x:f t="shared" si="25">'Модель 36 міс'!AJ59</x:f>
        <x:v>553247.66</x:v>
      </x:c>
      <x:c r="AM74" s="135" t="n">
        <x:f t="shared" si="25">'Модель 36 міс'!AK59</x:f>
        <x:v>547147.66</x:v>
      </x:c>
      <x:c r="AN74" s="135" t="n">
        <x:f t="shared" si="25">'Модель 36 міс'!AL59</x:f>
        <x:v>547147.66</x:v>
      </x:c>
      <x:c r="AO74" s="135" t="n">
        <x:f t="shared" si="25"/>
        <x:v>0</x:v>
      </x:c>
      <x:c r="AP74" s="135" t="n">
        <x:f t="shared" si="25"/>
        <x:v>0</x:v>
      </x:c>
      <x:c r="AQ74" s="135" t="n">
        <x:f t="shared" si="25"/>
        <x:v>0</x:v>
      </x:c>
      <x:c r="AR74" s="135" t="n">
        <x:f t="shared" si="25"/>
        <x:v>0</x:v>
      </x:c>
      <x:c r="AS74" s="135" t="n">
        <x:f t="shared" si="25"/>
        <x:v>0</x:v>
      </x:c>
      <x:c r="AT74" s="135" t="n">
        <x:f t="shared" si="25"/>
        <x:v>0</x:v>
      </x:c>
      <x:c r="AU74" s="135" t="n">
        <x:f t="shared" si="25"/>
        <x:v>0</x:v>
      </x:c>
      <x:c r="AV74" s="135" t="n">
        <x:f t="shared" si="25"/>
        <x:v>0</x:v>
      </x:c>
      <x:c r="AW74" s="135" t="n">
        <x:f t="shared" si="25"/>
        <x:v>0</x:v>
      </x:c>
      <x:c r="AX74" s="135" t="n">
        <x:f t="shared" si="25"/>
        <x:v>0</x:v>
      </x:c>
      <x:c r="AY74" s="135" t="n">
        <x:f t="shared" si="25"/>
        <x:v>0</x:v>
      </x:c>
      <x:c r="AZ74" s="135" t="n">
        <x:f t="shared" si="25"/>
        <x:v>0</x:v>
      </x:c>
      <x:c r="BA74" s="135" t="n">
        <x:f t="shared" si="25"/>
        <x:v>0</x:v>
      </x:c>
      <x:c r="BB74" s="135" t="n">
        <x:f t="shared" si="25"/>
        <x:v>0</x:v>
      </x:c>
      <x:c r="BC74" s="135" t="n">
        <x:f t="shared" si="25"/>
        <x:v>0</x:v>
      </x:c>
      <x:c r="BD74" s="135" t="n">
        <x:f t="shared" si="25"/>
        <x:v>0</x:v>
      </x:c>
      <x:c r="BE74" s="135" t="n">
        <x:f t="shared" si="25"/>
        <x:v>0</x:v>
      </x:c>
      <x:c r="BF74" s="135" t="n">
        <x:f t="shared" si="25"/>
        <x:v>0</x:v>
      </x:c>
      <x:c r="BG74" s="135" t="n">
        <x:f t="shared" si="25"/>
        <x:v>0</x:v>
      </x:c>
      <x:c r="BH74" s="135" t="n">
        <x:f t="shared" si="25"/>
        <x:v>0</x:v>
      </x:c>
      <x:c r="BI74" s="135" t="n">
        <x:f t="shared" si="25"/>
        <x:v>0</x:v>
      </x:c>
      <x:c r="BJ74" s="135" t="n">
        <x:f t="shared" si="25"/>
        <x:v>0</x:v>
      </x:c>
      <x:c r="BK74" s="135" t="n">
        <x:f t="shared" si="25"/>
        <x:v>0</x:v>
      </x:c>
      <x:c r="BL74" s="135" t="n">
        <x:f t="shared" si="25"/>
        <x:v>0</x:v>
      </x:c>
      <x:c r="BM74" s="135" t="n">
        <x:f t="shared" si="25">SUM(E74:AN74)</x:f>
        <x:v>14564915.760000004</x:v>
      </x:c>
    </x:row>
    <x:row r="75" s="133" customFormat="1" ht="13.350000381469727" customHeight="1">
      <x:c r="A75" s="15"/>
      <x:c r="B75" s="137" t="s">
        <x:v>62</x:v>
      </x:c>
      <x:c r="C75" s="168"/>
      <x:c r="D75" s="138" t="s">
        <x:v>62</x:v>
      </x:c>
      <x:c r="E75" s="138" t="s">
        <x:v>217</x:v>
      </x:c>
      <x:c r="F75" s="138" t="s">
        <x:v>62</x:v>
      </x:c>
      <x:c r="G75" s="138"/>
      <x:c r="H75" s="138"/>
      <x:c r="I75" s="138"/>
      <x:c r="J75" s="138"/>
      <x:c r="K75" s="138"/>
      <x:c r="L75" s="138"/>
      <x:c r="M75" s="138"/>
      <x:c r="N75" s="138"/>
      <x:c r="O75" s="138"/>
      <x:c r="P75" s="138"/>
      <x:c r="Q75" s="138"/>
      <x:c r="R75" s="138"/>
      <x:c r="S75" s="138"/>
      <x:c r="T75" s="138"/>
      <x:c r="U75" s="138"/>
      <x:c r="V75" s="138"/>
      <x:c r="W75" s="138"/>
      <x:c r="X75" s="138"/>
      <x:c r="Y75" s="138"/>
      <x:c r="Z75" s="138"/>
      <x:c r="AA75" s="138"/>
      <x:c r="AB75" s="138"/>
      <x:c r="AC75" s="138"/>
      <x:c r="AD75" s="138"/>
      <x:c r="AE75" s="138"/>
      <x:c r="AF75" s="138"/>
      <x:c r="AG75" s="138"/>
      <x:c r="AH75" s="138"/>
      <x:c r="AI75" s="138"/>
      <x:c r="AJ75" s="138"/>
      <x:c r="AK75" s="138"/>
      <x:c r="AL75" s="138"/>
      <x:c r="AM75" s="138"/>
      <x:c r="AN75" s="138"/>
      <x:c r="AO75" s="138"/>
      <x:c r="AP75" s="138"/>
      <x:c r="AQ75" s="138"/>
      <x:c r="AR75" s="138"/>
      <x:c r="AS75" s="138"/>
      <x:c r="AT75" s="138"/>
      <x:c r="AU75" s="138"/>
      <x:c r="AV75" s="138"/>
      <x:c r="AW75" s="138"/>
      <x:c r="AX75" s="138"/>
      <x:c r="AY75" s="138"/>
      <x:c r="AZ75" s="138"/>
      <x:c r="BA75" s="138"/>
      <x:c r="BB75" s="138"/>
      <x:c r="BC75" s="138"/>
      <x:c r="BD75" s="138"/>
      <x:c r="BE75" s="138"/>
      <x:c r="BF75" s="138"/>
      <x:c r="BG75" s="138"/>
      <x:c r="BH75" s="138"/>
      <x:c r="BI75" s="138"/>
      <x:c r="BJ75" s="138"/>
      <x:c r="BK75" s="138"/>
      <x:c r="BL75" s="138"/>
      <x:c r="BM75" s="138"/>
    </x:row>
    <x:row r="76" s="136" customFormat="1" ht="62.45000076293945" customHeight="1">
      <x:c r="A76" s="133"/>
      <x:c r="B76" s="134"/>
      <x:c r="C76" s="169" t="s">
        <x:v>218</x:v>
      </x:c>
      <x:c r="D76" s="135">
        <x:v>0</x:v>
      </x:c>
      <x:c r="E76" s="92" t="n">
        <x:f>'Модель 36 міс'!C60</x:f>
        <x:v>0</x:v>
      </x:c>
      <x:c r="F76" s="92" t="n">
        <x:f>'Модель 36 міс'!D60</x:f>
        <x:v>89447.65999999992</x:v>
      </x:c>
      <x:c r="G76" s="92" t="n">
        <x:f t="shared" ref="G76:BL76" si="26">'Модель 36 міс'!E60</x:f>
        <x:v>179895.31999999992</x:v>
      </x:c>
      <x:c r="H76" s="92" t="n">
        <x:f t="shared" si="26">'Модель 36 міс'!F60</x:f>
        <x:v>270342.9799999999</x:v>
      </x:c>
      <x:c r="I76" s="92" t="n">
        <x:f t="shared" si="26">'Модель 36 міс'!G60</x:f>
        <x:v>435490.6399999999</x:v>
      </x:c>
      <x:c r="J76" s="92" t="n">
        <x:f t="shared" si="26">'Модель 36 міс'!H60</x:f>
        <x:v>600438.2999999999</x:v>
      </x:c>
      <x:c r="K76" s="92" t="n">
        <x:f t="shared" si="26">'Модель 36 міс'!I60</x:f>
        <x:v>784185.96</x:v>
      </x:c>
      <x:c r="L76" s="92" t="n">
        <x:f t="shared" si="26">'Модель 36 міс'!J60</x:f>
        <x:v>968133.62</x:v>
      </x:c>
      <x:c r="M76" s="92" t="n">
        <x:f t="shared" si="26">'Модель 36 міс'!K60</x:f>
        <x:v>1199081.28</x:v>
      </x:c>
      <x:c r="N76" s="92" t="n">
        <x:f t="shared" si="26">'Модель 36 міс'!L60</x:f>
        <x:v>1451778.94</x:v>
      </x:c>
      <x:c r="O76" s="92" t="n">
        <x:f t="shared" si="26">'Модель 36 міс'!M60</x:f>
        <x:v>1704476.5999999999</x:v>
      </x:c>
      <x:c r="P76" s="92" t="n">
        <x:f t="shared" si="26">'Модель 36 міс'!N60</x:f>
        <x:v>2051174.2599999998</x:v>
      </x:c>
      <x:c r="Q76" s="92" t="n">
        <x:f t="shared" si="26">'Модель 36 міс'!O60</x:f>
        <x:v>2397871.92</x:v>
      </x:c>
      <x:c r="R76" s="92" t="n">
        <x:f t="shared" si="26">'Модель 36 міс'!P60</x:f>
        <x:v>2738469.58</x:v>
      </x:c>
      <x:c r="S76" s="92" t="n">
        <x:f t="shared" si="26">'Модель 36 міс'!Q60</x:f>
        <x:v>3144167.24</x:v>
      </x:c>
      <x:c r="T76" s="92" t="n">
        <x:f t="shared" si="26">'Модель 36 міс'!R60</x:f>
        <x:v>3549314.9000000004</x:v>
      </x:c>
      <x:c r="U76" s="92" t="n">
        <x:f t="shared" si="26">'Модель 36 міс'!S60</x:f>
        <x:v>3954462.5600000005</x:v>
      </x:c>
      <x:c r="V76" s="92" t="n">
        <x:f t="shared" si="26">'Модель 36 міс'!T60</x:f>
        <x:v>4400510.220000001</x:v>
      </x:c>
      <x:c r="W76" s="92" t="n">
        <x:f t="shared" si="26">'Модель 36 міс'!U60</x:f>
        <x:v>4846557.880000001</x:v>
      </x:c>
      <x:c r="X76" s="92" t="n">
        <x:f t="shared" si="26">'Модель 36 міс'!V60</x:f>
        <x:v>5292905.540000001</x:v>
      </x:c>
      <x:c r="Y76" s="92" t="n">
        <x:f t="shared" si="26">'Модель 36 міс'!W60</x:f>
        <x:v>5767453.200000001</x:v>
      </x:c>
      <x:c r="Z76" s="92" t="n">
        <x:f t="shared" si="26">'Модель 36 міс'!X60</x:f>
        <x:v>6288700.860000001</x:v>
      </x:c>
      <x:c r="AA76" s="92" t="n">
        <x:f t="shared" si="26">'Модель 36 міс'!Y60</x:f>
        <x:v>6816548.520000001</x:v>
      </x:c>
      <x:c r="AB76" s="92" t="n">
        <x:f t="shared" si="26">'Модель 36 міс'!Z60</x:f>
        <x:v>7344396.180000002</x:v>
      </x:c>
      <x:c r="AC76" s="92" t="n">
        <x:f t="shared" si="26">'Модель 36 міс'!AA60</x:f>
        <x:v>7919243.840000002</x:v>
      </x:c>
      <x:c r="AD76" s="92" t="n">
        <x:f t="shared" si="26">'Модель 36 міс'!AB60</x:f>
        <x:v>8478891.500000002</x:v>
      </x:c>
      <x:c r="AE76" s="92" t="n">
        <x:f t="shared" si="26">'Модель 36 міс'!AC60</x:f>
        <x:v>9038539.160000002</x:v>
      </x:c>
      <x:c r="AF76" s="92" t="n">
        <x:f t="shared" si="26">'Модель 36 міс'!AD60</x:f>
        <x:v>9597886.820000002</x:v>
      </x:c>
      <x:c r="AG76" s="92" t="n">
        <x:f t="shared" si="26">'Модель 36 міс'!AE60</x:f>
        <x:v>10151134.480000002</x:v>
      </x:c>
      <x:c r="AH76" s="92" t="n">
        <x:f t="shared" si="26">'Модель 36 міс'!AF60</x:f>
        <x:v>10704382.140000002</x:v>
      </x:c>
      <x:c r="AI76" s="92" t="n">
        <x:f t="shared" si="26">'Модель 36 міс'!AG60</x:f>
        <x:v>11257629.800000003</x:v>
      </x:c>
      <x:c r="AJ76" s="92" t="n">
        <x:f t="shared" si="26">'Модель 36 міс'!AH60</x:f>
        <x:v>11810877.460000003</x:v>
      </x:c>
      <x:c r="AK76" s="92" t="n">
        <x:f t="shared" si="26">'Модель 36 міс'!AI60</x:f>
        <x:v>12364125.120000003</x:v>
      </x:c>
      <x:c r="AL76" s="92" t="n">
        <x:f t="shared" si="26">'Модель 36 міс'!AJ60</x:f>
        <x:v>12917372.780000003</x:v>
      </x:c>
      <x:c r="AM76" s="92" t="n">
        <x:f t="shared" si="26">'Модель 36 міс'!AK60</x:f>
        <x:v>13470620.440000003</x:v>
      </x:c>
      <x:c r="AN76" s="92" t="n">
        <x:f t="shared" si="26">'Модель 36 міс'!AL60</x:f>
        <x:v>14017768.100000003</x:v>
      </x:c>
      <x:c r="AO76" s="92" t="n">
        <x:f t="shared" si="26"/>
        <x:v>0</x:v>
      </x:c>
      <x:c r="AP76" s="92" t="n">
        <x:f t="shared" si="26"/>
        <x:v>0</x:v>
      </x:c>
      <x:c r="AQ76" s="92" t="n">
        <x:f t="shared" si="26"/>
        <x:v>0</x:v>
      </x:c>
      <x:c r="AR76" s="92" t="n">
        <x:f t="shared" si="26"/>
        <x:v>0</x:v>
      </x:c>
      <x:c r="AS76" s="92" t="n">
        <x:f t="shared" si="26"/>
        <x:v>0</x:v>
      </x:c>
      <x:c r="AT76" s="92" t="n">
        <x:f t="shared" si="26"/>
        <x:v>0</x:v>
      </x:c>
      <x:c r="AU76" s="92" t="n">
        <x:f t="shared" si="26"/>
        <x:v>0</x:v>
      </x:c>
      <x:c r="AV76" s="92" t="n">
        <x:f t="shared" si="26"/>
        <x:v>0</x:v>
      </x:c>
      <x:c r="AW76" s="92" t="n">
        <x:f t="shared" si="26"/>
        <x:v>0</x:v>
      </x:c>
      <x:c r="AX76" s="92" t="n">
        <x:f t="shared" si="26"/>
        <x:v>0</x:v>
      </x:c>
      <x:c r="AY76" s="92" t="n">
        <x:f t="shared" si="26"/>
        <x:v>0</x:v>
      </x:c>
      <x:c r="AZ76" s="92" t="n">
        <x:f t="shared" si="26"/>
        <x:v>0</x:v>
      </x:c>
      <x:c r="BA76" s="92" t="n">
        <x:f t="shared" si="26"/>
        <x:v>0</x:v>
      </x:c>
      <x:c r="BB76" s="92" t="n">
        <x:f t="shared" si="26"/>
        <x:v>0</x:v>
      </x:c>
      <x:c r="BC76" s="92" t="n">
        <x:f t="shared" si="26"/>
        <x:v>0</x:v>
      </x:c>
      <x:c r="BD76" s="92" t="n">
        <x:f t="shared" si="26"/>
        <x:v>0</x:v>
      </x:c>
      <x:c r="BE76" s="92" t="n">
        <x:f t="shared" si="26"/>
        <x:v>0</x:v>
      </x:c>
      <x:c r="BF76" s="92" t="n">
        <x:f t="shared" si="26"/>
        <x:v>0</x:v>
      </x:c>
      <x:c r="BG76" s="92" t="n">
        <x:f t="shared" si="26"/>
        <x:v>0</x:v>
      </x:c>
      <x:c r="BH76" s="92" t="n">
        <x:f t="shared" si="26"/>
        <x:v>0</x:v>
      </x:c>
      <x:c r="BI76" s="92" t="n">
        <x:f t="shared" si="26"/>
        <x:v>0</x:v>
      </x:c>
      <x:c r="BJ76" s="92" t="n">
        <x:f t="shared" si="26"/>
        <x:v>0</x:v>
      </x:c>
      <x:c r="BK76" s="92" t="n">
        <x:f t="shared" si="26"/>
        <x:v>0</x:v>
      </x:c>
      <x:c r="BL76" s="92" t="n">
        <x:f t="shared" si="26"/>
        <x:v>0</x:v>
      </x:c>
      <x:c r="BM76" s="135" t="n">
        <x:f>E76</x:f>
        <x:v>0</x:v>
      </x:c>
    </x:row>
    <x:row r="77" s="139" customFormat="1">
      <x:c r="B77" s="140"/>
      <x:c r="C77" s="170"/>
      <x:c r="D77" s="138"/>
      <x:c r="E77" s="138"/>
      <x:c r="F77" s="138"/>
      <x:c r="G77" s="138"/>
      <x:c r="H77" s="138"/>
      <x:c r="I77" s="138"/>
      <x:c r="J77" s="138"/>
      <x:c r="K77" s="138"/>
      <x:c r="L77" s="138"/>
      <x:c r="M77" s="138"/>
      <x:c r="N77" s="138"/>
      <x:c r="O77" s="138"/>
      <x:c r="P77" s="138"/>
      <x:c r="Q77" s="138"/>
      <x:c r="R77" s="138"/>
      <x:c r="S77" s="138"/>
      <x:c r="T77" s="138"/>
      <x:c r="U77" s="138"/>
      <x:c r="V77" s="138"/>
      <x:c r="W77" s="138"/>
      <x:c r="X77" s="138"/>
      <x:c r="Y77" s="138"/>
      <x:c r="Z77" s="138"/>
      <x:c r="AA77" s="138"/>
      <x:c r="AB77" s="138"/>
      <x:c r="AC77" s="138"/>
      <x:c r="AD77" s="138"/>
      <x:c r="AE77" s="138"/>
      <x:c r="AF77" s="138"/>
      <x:c r="AG77" s="138"/>
      <x:c r="AH77" s="138"/>
      <x:c r="AI77" s="138"/>
      <x:c r="AJ77" s="138"/>
      <x:c r="AK77" s="138"/>
      <x:c r="AL77" s="138"/>
      <x:c r="AM77" s="138"/>
      <x:c r="AN77" s="138"/>
      <x:c r="AO77" s="138"/>
      <x:c r="AP77" s="138"/>
      <x:c r="AQ77" s="138"/>
      <x:c r="AR77" s="138"/>
      <x:c r="AS77" s="138"/>
      <x:c r="AT77" s="138"/>
      <x:c r="AU77" s="138"/>
      <x:c r="AV77" s="138"/>
      <x:c r="AW77" s="138"/>
      <x:c r="AX77" s="138"/>
      <x:c r="AY77" s="138"/>
      <x:c r="AZ77" s="138"/>
      <x:c r="BA77" s="138"/>
      <x:c r="BB77" s="138"/>
      <x:c r="BC77" s="138"/>
      <x:c r="BD77" s="138"/>
      <x:c r="BE77" s="138"/>
      <x:c r="BF77" s="138"/>
      <x:c r="BG77" s="138"/>
      <x:c r="BH77" s="138"/>
      <x:c r="BI77" s="138"/>
      <x:c r="BJ77" s="138"/>
      <x:c r="BK77" s="138"/>
      <x:c r="BL77" s="138"/>
      <x:c r="BM77" s="138"/>
    </x:row>
    <x:row r="78" s="142" customFormat="1" ht="65.44999694824219" customHeight="1">
      <x:c r="A78" s="139"/>
      <x:c r="B78" s="141"/>
      <x:c r="C78" s="171" t="s">
        <x:v>219</x:v>
      </x:c>
      <x:c r="D78" s="135" t="n">
        <x:f t="shared" ref="D78" si="27">D74+D76</x:f>
        <x:v>0</x:v>
      </x:c>
      <x:c r="E78" s="135" t="n">
        <x:f>'Модель 36 міс'!C61</x:f>
        <x:v>89447.65999999992</x:v>
      </x:c>
      <x:c r="F78" s="92" t="n">
        <x:f>'Модель 36 міс'!D61</x:f>
        <x:v>179895.31999999992</x:v>
      </x:c>
      <x:c r="G78" s="135" t="n">
        <x:f t="shared" ref="G78:BL78" si="28">'Модель 36 міс'!E61</x:f>
        <x:v>270342.9799999999</x:v>
      </x:c>
      <x:c r="H78" s="135" t="n">
        <x:f t="shared" si="28">'Модель 36 міс'!F61</x:f>
        <x:v>435490.6399999999</x:v>
      </x:c>
      <x:c r="I78" s="135" t="n">
        <x:f t="shared" si="28">'Модель 36 міс'!G61</x:f>
        <x:v>600438.2999999999</x:v>
      </x:c>
      <x:c r="J78" s="135" t="n">
        <x:f t="shared" si="28">'Модель 36 міс'!H61</x:f>
        <x:v>784185.96</x:v>
      </x:c>
      <x:c r="K78" s="135" t="n">
        <x:f t="shared" si="28">'Модель 36 міс'!I61</x:f>
        <x:v>968133.62</x:v>
      </x:c>
      <x:c r="L78" s="135" t="n">
        <x:f t="shared" si="28">'Модель 36 міс'!J61</x:f>
        <x:v>1199081.28</x:v>
      </x:c>
      <x:c r="M78" s="135" t="n">
        <x:f t="shared" si="28">'Модель 36 міс'!K61</x:f>
        <x:v>1451778.94</x:v>
      </x:c>
      <x:c r="N78" s="135" t="n">
        <x:f t="shared" si="28">'Модель 36 міс'!L61</x:f>
        <x:v>1704476.5999999999</x:v>
      </x:c>
      <x:c r="O78" s="135" t="n">
        <x:f t="shared" si="28">'Модель 36 міс'!M61</x:f>
        <x:v>2051174.2599999998</x:v>
      </x:c>
      <x:c r="P78" s="135" t="n">
        <x:f t="shared" si="28">'Модель 36 міс'!N61</x:f>
        <x:v>2397871.92</x:v>
      </x:c>
      <x:c r="Q78" s="135" t="n">
        <x:f t="shared" si="28">'Модель 36 міс'!O61</x:f>
        <x:v>2738469.58</x:v>
      </x:c>
      <x:c r="R78" s="135" t="n">
        <x:f t="shared" si="28">'Модель 36 міс'!P61</x:f>
        <x:v>3144167.24</x:v>
      </x:c>
      <x:c r="S78" s="135" t="n">
        <x:f t="shared" si="28">'Модель 36 міс'!Q61</x:f>
        <x:v>3549314.9000000004</x:v>
      </x:c>
      <x:c r="T78" s="135" t="n">
        <x:f t="shared" si="28">'Модель 36 міс'!R61</x:f>
        <x:v>3954462.5600000005</x:v>
      </x:c>
      <x:c r="U78" s="135" t="n">
        <x:f t="shared" si="28">'Модель 36 міс'!S61</x:f>
        <x:v>4400510.220000001</x:v>
      </x:c>
      <x:c r="V78" s="135" t="n">
        <x:f t="shared" si="28">'Модель 36 міс'!T61</x:f>
        <x:v>4846557.880000001</x:v>
      </x:c>
      <x:c r="W78" s="135" t="n">
        <x:f t="shared" si="28">'Модель 36 міс'!U61</x:f>
        <x:v>5292905.540000001</x:v>
      </x:c>
      <x:c r="X78" s="135" t="n">
        <x:f t="shared" si="28">'Модель 36 міс'!V61</x:f>
        <x:v>5767453.200000001</x:v>
      </x:c>
      <x:c r="Y78" s="135" t="n">
        <x:f t="shared" si="28">'Модель 36 міс'!W61</x:f>
        <x:v>6288700.860000001</x:v>
      </x:c>
      <x:c r="Z78" s="135" t="n">
        <x:f t="shared" si="28">'Модель 36 міс'!X61</x:f>
        <x:v>6816548.520000001</x:v>
      </x:c>
      <x:c r="AA78" s="135" t="n">
        <x:f t="shared" si="28">'Модель 36 міс'!Y61</x:f>
        <x:v>7344396.180000002</x:v>
      </x:c>
      <x:c r="AB78" s="135" t="n">
        <x:f t="shared" si="28">'Модель 36 міс'!Z61</x:f>
        <x:v>7919243.840000002</x:v>
      </x:c>
      <x:c r="AC78" s="135" t="n">
        <x:f t="shared" si="28">'Модель 36 міс'!AA61</x:f>
        <x:v>8478891.500000002</x:v>
      </x:c>
      <x:c r="AD78" s="135" t="n">
        <x:f t="shared" si="28">'Модель 36 міс'!AB61</x:f>
        <x:v>9038539.160000002</x:v>
      </x:c>
      <x:c r="AE78" s="135" t="n">
        <x:f t="shared" si="28">'Модель 36 міс'!AC61</x:f>
        <x:v>9597886.820000002</x:v>
      </x:c>
      <x:c r="AF78" s="135" t="n">
        <x:f t="shared" si="28">'Модель 36 міс'!AD61</x:f>
        <x:v>10151134.480000002</x:v>
      </x:c>
      <x:c r="AG78" s="135" t="n">
        <x:f t="shared" si="28">'Модель 36 міс'!AE61</x:f>
        <x:v>10704382.140000002</x:v>
      </x:c>
      <x:c r="AH78" s="135" t="n">
        <x:f t="shared" si="28">'Модель 36 міс'!AF61</x:f>
        <x:v>11257629.800000003</x:v>
      </x:c>
      <x:c r="AI78" s="135" t="n">
        <x:f t="shared" si="28">'Модель 36 міс'!AG61</x:f>
        <x:v>11810877.460000003</x:v>
      </x:c>
      <x:c r="AJ78" s="135" t="n">
        <x:f t="shared" si="28">'Модель 36 міс'!AH61</x:f>
        <x:v>12364125.120000003</x:v>
      </x:c>
      <x:c r="AK78" s="135" t="n">
        <x:f t="shared" si="28">'Модель 36 міс'!AI61</x:f>
        <x:v>12917372.780000003</x:v>
      </x:c>
      <x:c r="AL78" s="135" t="n">
        <x:f t="shared" si="28">'Модель 36 міс'!AJ61</x:f>
        <x:v>13470620.440000003</x:v>
      </x:c>
      <x:c r="AM78" s="135" t="n">
        <x:f t="shared" si="28">'Модель 36 міс'!AK61</x:f>
        <x:v>14017768.100000003</x:v>
      </x:c>
      <x:c r="AN78" s="135" t="n">
        <x:f t="shared" si="28">'Модель 36 міс'!AL61</x:f>
        <x:v>14564915.760000004</x:v>
      </x:c>
      <x:c r="AO78" s="135" t="n">
        <x:f t="shared" si="28"/>
        <x:v>0</x:v>
      </x:c>
      <x:c r="AP78" s="135" t="n">
        <x:f t="shared" si="28"/>
        <x:v>0</x:v>
      </x:c>
      <x:c r="AQ78" s="135" t="n">
        <x:f t="shared" si="28"/>
        <x:v>0</x:v>
      </x:c>
      <x:c r="AR78" s="135" t="n">
        <x:f t="shared" si="28"/>
        <x:v>0</x:v>
      </x:c>
      <x:c r="AS78" s="135" t="n">
        <x:f t="shared" si="28"/>
        <x:v>0</x:v>
      </x:c>
      <x:c r="AT78" s="135" t="n">
        <x:f t="shared" si="28"/>
        <x:v>0</x:v>
      </x:c>
      <x:c r="AU78" s="135" t="n">
        <x:f t="shared" si="28"/>
        <x:v>0</x:v>
      </x:c>
      <x:c r="AV78" s="135" t="n">
        <x:f t="shared" si="28"/>
        <x:v>0</x:v>
      </x:c>
      <x:c r="AW78" s="135" t="n">
        <x:f t="shared" si="28"/>
        <x:v>0</x:v>
      </x:c>
      <x:c r="AX78" s="135" t="n">
        <x:f t="shared" si="28"/>
        <x:v>0</x:v>
      </x:c>
      <x:c r="AY78" s="135" t="n">
        <x:f t="shared" si="28"/>
        <x:v>0</x:v>
      </x:c>
      <x:c r="AZ78" s="135" t="n">
        <x:f t="shared" si="28"/>
        <x:v>0</x:v>
      </x:c>
      <x:c r="BA78" s="135" t="n">
        <x:f t="shared" si="28"/>
        <x:v>0</x:v>
      </x:c>
      <x:c r="BB78" s="135" t="n">
        <x:f t="shared" si="28"/>
        <x:v>0</x:v>
      </x:c>
      <x:c r="BC78" s="135" t="n">
        <x:f t="shared" si="28"/>
        <x:v>0</x:v>
      </x:c>
      <x:c r="BD78" s="135" t="n">
        <x:f t="shared" si="28"/>
        <x:v>0</x:v>
      </x:c>
      <x:c r="BE78" s="135" t="n">
        <x:f t="shared" si="28"/>
        <x:v>0</x:v>
      </x:c>
      <x:c r="BF78" s="135" t="n">
        <x:f t="shared" si="28"/>
        <x:v>0</x:v>
      </x:c>
      <x:c r="BG78" s="135" t="n">
        <x:f t="shared" si="28"/>
        <x:v>0</x:v>
      </x:c>
      <x:c r="BH78" s="135" t="n">
        <x:f t="shared" si="28"/>
        <x:v>0</x:v>
      </x:c>
      <x:c r="BI78" s="135" t="n">
        <x:f t="shared" si="28"/>
        <x:v>0</x:v>
      </x:c>
      <x:c r="BJ78" s="135" t="n">
        <x:f t="shared" si="28"/>
        <x:v>0</x:v>
      </x:c>
      <x:c r="BK78" s="135" t="n">
        <x:f t="shared" si="28"/>
        <x:v>0</x:v>
      </x:c>
      <x:c r="BL78" s="135" t="n">
        <x:f t="shared" si="28"/>
        <x:v>0</x:v>
      </x:c>
      <x:c r="BM78" s="135" t="n">
        <x:f>AN78</x:f>
        <x:v>14564915.760000004</x:v>
      </x:c>
    </x:row>
    <x:row r="79" ht="16.899999618530273" customHeight="1">
      <x:c r="A79" s="57"/>
      <x:c r="D79" s="155"/>
      <x:c r="E79" s="155"/>
      <x:c r="F79" s="155"/>
      <x:c r="G79" s="155"/>
      <x:c r="H79" s="155"/>
      <x:c r="I79" s="155"/>
      <x:c r="J79" s="155"/>
      <x:c r="K79" s="155"/>
      <x:c r="L79" s="155"/>
      <x:c r="M79" s="155"/>
      <x:c r="N79" s="155"/>
      <x:c r="O79" s="155"/>
      <x:c r="P79" s="155"/>
      <x:c r="Q79" s="155"/>
      <x:c r="R79" s="155"/>
      <x:c r="S79" s="155"/>
      <x:c r="T79" s="155"/>
      <x:c r="U79" s="155"/>
      <x:c r="V79" s="155"/>
      <x:c r="W79" s="155"/>
      <x:c r="X79" s="155"/>
      <x:c r="Y79" s="155"/>
      <x:c r="Z79" s="155"/>
      <x:c r="AA79" s="155"/>
      <x:c r="AB79" s="155"/>
      <x:c r="AC79" s="155"/>
      <x:c r="AD79" s="155"/>
      <x:c r="AE79" s="155"/>
      <x:c r="AF79" s="155"/>
      <x:c r="AG79" s="155"/>
      <x:c r="AH79" s="155"/>
      <x:c r="AI79" s="155"/>
      <x:c r="AJ79" s="155"/>
      <x:c r="AK79" s="155"/>
      <x:c r="AL79" s="155"/>
      <x:c r="AM79" s="155"/>
      <x:c r="AN79" s="155"/>
      <x:c r="AO79" s="155"/>
      <x:c r="AP79" s="155"/>
      <x:c r="AQ79" s="155"/>
      <x:c r="AR79" s="155"/>
      <x:c r="AS79" s="155"/>
      <x:c r="AT79" s="155"/>
      <x:c r="AU79" s="155"/>
      <x:c r="AV79" s="155"/>
      <x:c r="AW79" s="155"/>
      <x:c r="AX79" s="155"/>
      <x:c r="AY79" s="155"/>
      <x:c r="AZ79" s="155"/>
      <x:c r="BA79" s="155"/>
      <x:c r="BB79" s="155"/>
      <x:c r="BC79" s="155"/>
      <x:c r="BD79" s="155"/>
      <x:c r="BE79" s="155"/>
      <x:c r="BF79" s="155"/>
      <x:c r="BG79" s="155"/>
      <x:c r="BH79" s="155"/>
      <x:c r="BI79" s="155"/>
      <x:c r="BJ79" s="155"/>
      <x:c r="BK79" s="155"/>
      <x:c r="BL79" s="155"/>
      <x:c r="BM79" s="155"/>
      <x:c r="BN79" s="57"/>
      <x:c r="BO79" s="57"/>
      <x:c r="BP79" s="57"/>
      <x:c r="BQ79" s="57"/>
      <x:c r="BR79" s="57"/>
      <x:c r="BS79" s="57"/>
      <x:c r="BT79" s="57"/>
      <x:c r="BU79" s="57"/>
      <x:c r="BV79" s="57"/>
      <x:c r="BW79" s="57"/>
      <x:c r="BX79" s="57"/>
      <x:c r="BY79" s="57"/>
      <x:c r="BZ79" s="57"/>
      <x:c r="CA79" s="57"/>
      <x:c r="CB79" s="57"/>
      <x:c r="CC79" s="57"/>
      <x:c r="CD79" s="57"/>
      <x:c r="CE79" s="57"/>
      <x:c r="CF79" s="57"/>
      <x:c r="CG79" s="57"/>
    </x:row>
    <x:row r="80" ht="16.899999618530273" customHeight="1">
      <x:c r="A80" s="57"/>
      <x:c r="BN80" s="57"/>
      <x:c r="BO80" s="57"/>
      <x:c r="BP80" s="57"/>
      <x:c r="BQ80" s="57"/>
      <x:c r="BR80" s="57"/>
      <x:c r="BS80" s="57"/>
      <x:c r="BT80" s="57"/>
      <x:c r="BU80" s="57"/>
      <x:c r="BV80" s="57"/>
      <x:c r="BW80" s="57"/>
      <x:c r="BX80" s="57"/>
      <x:c r="BY80" s="57"/>
      <x:c r="BZ80" s="57"/>
      <x:c r="CA80" s="57"/>
      <x:c r="CB80" s="57"/>
      <x:c r="CC80" s="57"/>
      <x:c r="CD80" s="57"/>
      <x:c r="CE80" s="57"/>
      <x:c r="CF80" s="57"/>
      <x:c r="CG80" s="57"/>
    </x:row>
    <x:row r="81" s="57" customFormat="1" ht="18.600000381469727" customHeight="1">
      <x:c r="A81" s="120"/>
      <x:c r="B81" s="144"/>
      <x:c r="C81" s="370" t="s">
        <x:v>220</x:v>
      </x:c>
      <x:c r="D81" s="371"/>
      <x:c r="E81" s="371"/>
      <x:c r="F81" s="371"/>
      <x:c r="G81" s="371"/>
      <x:c r="H81" s="371"/>
      <x:c r="I81" s="371"/>
      <x:c r="J81" s="371"/>
      <x:c r="K81" s="371"/>
      <x:c r="L81" s="371"/>
      <x:c r="M81" s="372"/>
      <x:c r="N81" s="144"/>
      <x:c r="O81" s="144"/>
      <x:c r="P81" s="144"/>
      <x:c r="Q81" s="144"/>
      <x:c r="R81" s="144"/>
      <x:c r="S81" s="144"/>
      <x:c r="T81" s="144"/>
      <x:c r="U81" s="144"/>
      <x:c r="V81" s="144"/>
      <x:c r="W81" s="144"/>
      <x:c r="X81" s="144"/>
      <x:c r="Y81" s="144"/>
      <x:c r="Z81" s="144"/>
      <x:c r="AA81" s="144"/>
      <x:c r="AB81" s="144"/>
      <x:c r="AC81" s="144"/>
      <x:c r="AD81" s="144"/>
      <x:c r="AE81" s="144"/>
      <x:c r="AF81" s="144"/>
      <x:c r="AG81" s="144"/>
      <x:c r="AH81" s="144"/>
      <x:c r="AI81" s="144"/>
      <x:c r="AJ81" s="144"/>
      <x:c r="AK81" s="144"/>
      <x:c r="AL81" s="37"/>
      <x:c r="AM81" s="37"/>
      <x:c r="AN81" s="37"/>
      <x:c r="AO81" s="37"/>
      <x:c r="AP81" s="37"/>
      <x:c r="AQ81" s="37"/>
      <x:c r="AR81" s="37"/>
      <x:c r="AS81" s="37"/>
      <x:c r="AT81" s="37"/>
      <x:c r="AU81" s="37"/>
      <x:c r="AV81" s="37"/>
      <x:c r="AW81" s="37"/>
      <x:c r="AX81" s="37"/>
      <x:c r="AY81" s="37"/>
      <x:c r="AZ81" s="37"/>
      <x:c r="BA81" s="37"/>
      <x:c r="BB81" s="37"/>
      <x:c r="BC81" s="37"/>
      <x:c r="BD81" s="37"/>
      <x:c r="BE81" s="37"/>
      <x:c r="BF81" s="37"/>
      <x:c r="BG81" s="37"/>
      <x:c r="BH81" s="37"/>
      <x:c r="BI81" s="37"/>
      <x:c r="BJ81" s="37"/>
      <x:c r="BK81" s="37"/>
      <x:c r="BL81" s="37"/>
      <x:c r="BM81" s="143"/>
    </x:row>
    <x:row r="82" s="57" customFormat="1" ht="18" customHeight="1">
      <x:c r="A82" s="120"/>
      <x:c r="B82" s="144"/>
      <x:c r="C82" s="373" t="str">
        <x:v>Див. «Модель 36 міс» і «Реєстр перевірки». Період 37–60 не прогнозувався. Навчання М1/М13 — припущення; аванс оренди — умовний. Джерело виручки не підтверджено.</x:v>
      </x:c>
      <x:c r="D82" s="374"/>
      <x:c r="E82" s="374"/>
      <x:c r="F82" s="374"/>
      <x:c r="G82" s="374"/>
      <x:c r="H82" s="374"/>
      <x:c r="I82" s="374"/>
      <x:c r="J82" s="374"/>
      <x:c r="K82" s="374"/>
      <x:c r="L82" s="374"/>
      <x:c r="M82" s="375"/>
      <x:c r="N82" s="144"/>
      <x:c r="O82" s="144"/>
      <x:c r="P82" s="144"/>
      <x:c r="Q82" s="144"/>
      <x:c r="R82" s="144"/>
      <x:c r="S82" s="144"/>
      <x:c r="T82" s="144"/>
      <x:c r="U82" s="144"/>
      <x:c r="V82" s="144"/>
      <x:c r="W82" s="144"/>
      <x:c r="X82" s="144"/>
      <x:c r="Y82" s="144"/>
      <x:c r="Z82" s="144"/>
      <x:c r="AA82" s="144"/>
      <x:c r="AB82" s="144"/>
      <x:c r="AC82" s="144"/>
      <x:c r="AD82" s="144"/>
      <x:c r="AE82" s="144"/>
      <x:c r="AF82" s="144"/>
      <x:c r="AG82" s="144"/>
      <x:c r="AH82" s="144"/>
      <x:c r="AI82" s="144"/>
      <x:c r="AJ82" s="144"/>
      <x:c r="AK82" s="144"/>
      <x:c r="AL82" s="37"/>
      <x:c r="AM82" s="37"/>
      <x:c r="AN82" s="37"/>
      <x:c r="AO82" s="37"/>
      <x:c r="AP82" s="37"/>
      <x:c r="AQ82" s="37"/>
      <x:c r="AR82" s="37"/>
      <x:c r="AS82" s="37"/>
      <x:c r="AT82" s="37"/>
      <x:c r="AU82" s="37"/>
      <x:c r="AV82" s="37"/>
      <x:c r="AW82" s="37"/>
      <x:c r="AX82" s="37"/>
      <x:c r="AY82" s="37"/>
      <x:c r="AZ82" s="37"/>
      <x:c r="BA82" s="37"/>
      <x:c r="BB82" s="37"/>
      <x:c r="BC82" s="37"/>
      <x:c r="BD82" s="37"/>
      <x:c r="BE82" s="37"/>
      <x:c r="BF82" s="37"/>
      <x:c r="BG82" s="37"/>
      <x:c r="BH82" s="37"/>
      <x:c r="BI82" s="37"/>
      <x:c r="BJ82" s="37"/>
      <x:c r="BK82" s="37"/>
      <x:c r="BL82" s="37"/>
      <x:c r="BM82" s="143"/>
    </x:row>
    <x:row r="83" s="57" customFormat="1" ht="26.850000381469727" customHeight="1">
      <x:c r="A83" s="120"/>
      <x:c r="B83" s="144"/>
      <x:c r="C83" s="376"/>
      <x:c r="D83" s="377"/>
      <x:c r="E83" s="377"/>
      <x:c r="F83" s="377"/>
      <x:c r="G83" s="377"/>
      <x:c r="H83" s="377"/>
      <x:c r="I83" s="377"/>
      <x:c r="J83" s="377"/>
      <x:c r="K83" s="377"/>
      <x:c r="L83" s="377"/>
      <x:c r="M83" s="378"/>
      <x:c r="N83" s="144"/>
      <x:c r="O83" s="144"/>
      <x:c r="P83" s="144"/>
      <x:c r="Q83" s="144"/>
      <x:c r="R83" s="144"/>
      <x:c r="S83" s="144"/>
      <x:c r="T83" s="144"/>
      <x:c r="U83" s="144"/>
      <x:c r="V83" s="144"/>
      <x:c r="W83" s="144"/>
      <x:c r="X83" s="144"/>
      <x:c r="Y83" s="144"/>
      <x:c r="Z83" s="144"/>
      <x:c r="AA83" s="144"/>
      <x:c r="AB83" s="144"/>
      <x:c r="AC83" s="144"/>
      <x:c r="AD83" s="144"/>
      <x:c r="AE83" s="144"/>
      <x:c r="AF83" s="144"/>
      <x:c r="AG83" s="144"/>
      <x:c r="AH83" s="144"/>
      <x:c r="AI83" s="144"/>
      <x:c r="AJ83" s="144"/>
      <x:c r="AK83" s="144"/>
      <x:c r="AL83" s="37"/>
      <x:c r="AM83" s="37"/>
      <x:c r="AN83" s="37"/>
      <x:c r="AO83" s="37"/>
      <x:c r="AP83" s="37"/>
      <x:c r="AQ83" s="37"/>
      <x:c r="AR83" s="37"/>
      <x:c r="AS83" s="37"/>
      <x:c r="AT83" s="37"/>
      <x:c r="AU83" s="37"/>
      <x:c r="AV83" s="37"/>
      <x:c r="AW83" s="37"/>
      <x:c r="AX83" s="37"/>
      <x:c r="AY83" s="37"/>
      <x:c r="AZ83" s="37"/>
      <x:c r="BA83" s="37"/>
      <x:c r="BB83" s="37"/>
      <x:c r="BC83" s="37"/>
      <x:c r="BD83" s="37"/>
      <x:c r="BE83" s="37"/>
      <x:c r="BF83" s="37"/>
      <x:c r="BG83" s="37"/>
      <x:c r="BH83" s="37"/>
      <x:c r="BI83" s="37"/>
      <x:c r="BJ83" s="37"/>
      <x:c r="BK83" s="37"/>
      <x:c r="BL83" s="37"/>
      <x:c r="BM83" s="143"/>
    </x:row>
    <x:row r="84" ht="8.649999618530273" customHeight="1">
      <x:c r="A84" s="57"/>
      <x:c r="BN84" s="57"/>
      <x:c r="BO84" s="57"/>
      <x:c r="BP84" s="57"/>
      <x:c r="BQ84" s="57"/>
      <x:c r="BR84" s="57"/>
      <x:c r="BS84" s="57"/>
      <x:c r="BT84" s="57"/>
      <x:c r="BU84" s="57"/>
      <x:c r="BV84" s="57"/>
      <x:c r="BW84" s="57"/>
      <x:c r="BX84" s="57"/>
      <x:c r="BY84" s="57"/>
      <x:c r="BZ84" s="57"/>
      <x:c r="CA84" s="57"/>
      <x:c r="CB84" s="57"/>
      <x:c r="CC84" s="57"/>
      <x:c r="CD84" s="57"/>
      <x:c r="CE84" s="57"/>
      <x:c r="CF84" s="57"/>
      <x:c r="CG84" s="57"/>
    </x:row>
    <x:row r="85" ht="8.649999618530273" customHeight="1">
      <x:c r="A85" s="57"/>
      <x:c r="B85" s="37" t="s">
        <x:v>62</x:v>
      </x:c>
      <x:c r="BN85" s="57"/>
      <x:c r="BO85" s="57"/>
      <x:c r="BP85" s="57"/>
      <x:c r="BQ85" s="57"/>
      <x:c r="BR85" s="57"/>
      <x:c r="BS85" s="57"/>
      <x:c r="BT85" s="57"/>
      <x:c r="BU85" s="57"/>
      <x:c r="BV85" s="57"/>
      <x:c r="BW85" s="57"/>
      <x:c r="BX85" s="57"/>
      <x:c r="BY85" s="57"/>
      <x:c r="BZ85" s="57"/>
      <x:c r="CA85" s="57"/>
      <x:c r="CB85" s="57"/>
      <x:c r="CC85" s="57"/>
      <x:c r="CD85" s="57"/>
      <x:c r="CE85" s="57"/>
      <x:c r="CF85" s="57"/>
      <x:c r="CG85" s="57"/>
    </x:row>
    <x:row r="86" ht="8.649999618530273" customHeight="1">
      <x:c r="A86" s="57"/>
      <x:c r="B86" s="37" t="s">
        <x:v>62</x:v>
      </x:c>
      <x:c r="BN86" s="57"/>
      <x:c r="BO86" s="57"/>
      <x:c r="BP86" s="57"/>
      <x:c r="BQ86" s="57"/>
      <x:c r="BR86" s="57"/>
      <x:c r="BS86" s="57"/>
      <x:c r="BT86" s="57"/>
      <x:c r="BU86" s="57"/>
      <x:c r="BV86" s="57"/>
      <x:c r="BW86" s="57"/>
      <x:c r="BX86" s="57"/>
      <x:c r="BY86" s="57"/>
      <x:c r="BZ86" s="57"/>
      <x:c r="CA86" s="57"/>
      <x:c r="CB86" s="57"/>
      <x:c r="CC86" s="57"/>
      <x:c r="CD86" s="57"/>
      <x:c r="CE86" s="57"/>
      <x:c r="CF86" s="57"/>
      <x:c r="CG86" s="57"/>
    </x:row>
    <x:row r="87" ht="8.649999618530273" customHeight="1">
      <x:c r="A87" s="57"/>
      <x:c r="B87" s="37" t="s">
        <x:v>62</x:v>
      </x:c>
      <x:c r="BN87" s="57"/>
      <x:c r="BO87" s="57"/>
      <x:c r="BP87" s="57"/>
      <x:c r="BQ87" s="57"/>
      <x:c r="BR87" s="57"/>
      <x:c r="BS87" s="57"/>
      <x:c r="BT87" s="57"/>
      <x:c r="BU87" s="57"/>
      <x:c r="BV87" s="57"/>
      <x:c r="BW87" s="57"/>
      <x:c r="BX87" s="57"/>
      <x:c r="BY87" s="57"/>
      <x:c r="BZ87" s="57"/>
      <x:c r="CA87" s="57"/>
      <x:c r="CB87" s="57"/>
      <x:c r="CC87" s="57"/>
      <x:c r="CD87" s="57"/>
      <x:c r="CE87" s="57"/>
      <x:c r="CF87" s="57"/>
      <x:c r="CG87" s="57"/>
    </x:row>
    <x:row r="88" ht="16.899999618530273" customHeight="1">
      <x:c r="A88" s="145" t="s">
        <x:v>4</x:v>
      </x:c>
      <x:c r="B88" s="146" t="str">
        <x:v>Працівники: у прогнозі збережено 3 особи; фактичну базову чисельність і виконання кадрових умов підтвердити окремо.</x:v>
      </x:c>
      <x:c r="C88" s="146"/>
      <x:c r="D88" s="146"/>
      <x:c r="E88" s="146"/>
      <x:c r="F88" s="146"/>
      <x:c r="G88" s="146"/>
      <x:c r="H88" s="146"/>
      <x:c r="I88" s="146"/>
      <x:c r="J88" s="146"/>
      <x:c r="K88" s="146"/>
      <x:c r="BN88" s="57"/>
      <x:c r="BO88" s="57"/>
      <x:c r="BP88" s="57"/>
      <x:c r="BQ88" s="57"/>
      <x:c r="BR88" s="57"/>
      <x:c r="BS88" s="57"/>
      <x:c r="BT88" s="57"/>
      <x:c r="BU88" s="57"/>
      <x:c r="BV88" s="57"/>
      <x:c r="BW88" s="57"/>
      <x:c r="BX88" s="57"/>
      <x:c r="BY88" s="57"/>
      <x:c r="BZ88" s="57"/>
      <x:c r="CA88" s="57"/>
      <x:c r="CB88" s="57"/>
      <x:c r="CC88" s="57"/>
      <x:c r="CD88" s="57"/>
      <x:c r="CE88" s="57"/>
      <x:c r="CF88" s="57"/>
      <x:c r="CG88" s="57"/>
    </x:row>
    <x:row r="89" ht="19.899999618530273" customHeight="1">
      <x:c r="A89" s="145" t="s">
        <x:v>221</x:v>
      </x:c>
      <x:c r="B89" s="146" t="s">
        <x:v>222</x:v>
      </x:c>
      <x:c r="C89" s="146"/>
      <x:c r="D89" s="146"/>
      <x:c r="E89" s="146"/>
      <x:c r="BN89" s="57"/>
      <x:c r="BO89" s="57"/>
      <x:c r="BP89" s="57"/>
      <x:c r="BQ89" s="57"/>
      <x:c r="BR89" s="57"/>
      <x:c r="BS89" s="57"/>
      <x:c r="BT89" s="57"/>
      <x:c r="BU89" s="57"/>
      <x:c r="BV89" s="57"/>
      <x:c r="BW89" s="57"/>
      <x:c r="BX89" s="57"/>
      <x:c r="BY89" s="57"/>
      <x:c r="BZ89" s="57"/>
      <x:c r="CA89" s="57"/>
      <x:c r="CB89" s="57"/>
      <x:c r="CC89" s="57"/>
      <x:c r="CD89" s="57"/>
      <x:c r="CE89" s="57"/>
      <x:c r="CF89" s="57"/>
      <x:c r="CG89" s="57"/>
    </x:row>
    <x:row r="90" ht="19.899999618530273" customHeight="1">
      <x:c r="A90" s="145" t="s">
        <x:v>223</x:v>
      </x:c>
      <x:c r="B90" s="146" t="s">
        <x:v>224</x:v>
      </x:c>
      <x:c r="C90" s="146"/>
      <x:c r="D90" s="146"/>
      <x:c r="E90" s="146"/>
      <x:c r="F90" s="146"/>
      <x:c r="G90" s="146"/>
      <x:c r="H90" s="146"/>
      <x:c r="I90" s="146"/>
      <x:c r="J90" s="146"/>
      <x:c r="K90" s="146"/>
      <x:c r="BN90" s="57"/>
      <x:c r="BO90" s="57"/>
      <x:c r="BP90" s="57"/>
      <x:c r="BQ90" s="57"/>
      <x:c r="BR90" s="57"/>
      <x:c r="BS90" s="57"/>
      <x:c r="BT90" s="57"/>
      <x:c r="BU90" s="57"/>
      <x:c r="BV90" s="57"/>
      <x:c r="BW90" s="57"/>
      <x:c r="BX90" s="57"/>
      <x:c r="BY90" s="57"/>
      <x:c r="BZ90" s="57"/>
      <x:c r="CA90" s="57"/>
      <x:c r="CB90" s="57"/>
      <x:c r="CC90" s="57"/>
      <x:c r="CD90" s="57"/>
      <x:c r="CE90" s="57"/>
      <x:c r="CF90" s="57"/>
      <x:c r="CG90" s="57"/>
    </x:row>
    <x:row r="91" ht="61.5" customHeight="1">
      <x:c r="A91" s="145" t="s">
        <x:v>62</x:v>
      </x:c>
      <x:c r="B91" s="147" t="str">
        <x:v>Порядок надання грантів на започаткування або масштабування власної справи затверджено постановою №738 зі змінами №616. Рядки 50/71 — прогноз за консервативним відліком з М2, а не фактичне виконання. Податковий календар звірити після встановлення дати гранту.</x:v>
      </x:c>
      <x:c r="C91" s="147"/>
      <x:c r="D91" s="147"/>
      <x:c r="E91" s="147"/>
      <x:c r="F91" s="147"/>
      <x:c r="G91" s="147"/>
      <x:c r="H91" s="147"/>
      <x:c r="I91" s="147"/>
      <x:c r="J91" s="147"/>
      <x:c r="K91" s="147"/>
      <x:c r="L91" s="147"/>
      <x:c r="M91" s="147"/>
      <x:c r="N91" s="147"/>
      <x:c r="O91" s="147"/>
      <x:c r="P91" s="147"/>
      <x:c r="Q91" s="147"/>
      <x:c r="R91" s="147"/>
      <x:c r="S91" s="147"/>
      <x:c r="T91" s="156"/>
      <x:c r="U91" s="156"/>
      <x:c r="V91" s="156"/>
      <x:c r="W91" s="156"/>
      <x:c r="X91" s="156"/>
      <x:c r="Y91" s="156"/>
      <x:c r="Z91" s="156"/>
      <x:c r="AA91" s="156"/>
      <x:c r="AB91" s="156"/>
      <x:c r="AC91" s="156"/>
      <x:c r="AD91" s="156"/>
      <x:c r="AE91" s="156"/>
      <x:c r="AF91" s="156"/>
      <x:c r="AG91" s="156"/>
      <x:c r="AH91" s="156"/>
      <x:c r="AI91" s="156"/>
      <x:c r="AJ91" s="156"/>
      <x:c r="AK91" s="156"/>
      <x:c r="AL91" s="156"/>
      <x:c r="AM91" s="156"/>
      <x:c r="AN91" s="156"/>
      <x:c r="AO91" s="156"/>
      <x:c r="AP91" s="156"/>
      <x:c r="AQ91" s="156"/>
      <x:c r="AR91" s="156"/>
      <x:c r="AS91" s="156"/>
      <x:c r="AT91" s="156"/>
      <x:c r="AU91" s="156"/>
      <x:c r="AV91" s="156"/>
      <x:c r="AW91" s="156"/>
      <x:c r="AX91" s="156"/>
      <x:c r="AY91" s="156"/>
      <x:c r="AZ91" s="156"/>
      <x:c r="BA91" s="156"/>
      <x:c r="BB91" s="156"/>
      <x:c r="BC91" s="156"/>
      <x:c r="BD91" s="156"/>
      <x:c r="BE91" s="156"/>
      <x:c r="BF91" s="156"/>
      <x:c r="BG91" s="156"/>
      <x:c r="BH91" s="156"/>
      <x:c r="BI91" s="156"/>
      <x:c r="BJ91" s="156"/>
      <x:c r="BK91" s="156"/>
      <x:c r="BL91" s="156"/>
      <x:c r="BM91" s="156"/>
      <x:c r="BN91" s="57"/>
      <x:c r="BO91" s="57"/>
      <x:c r="BP91" s="57"/>
      <x:c r="BQ91" s="57"/>
      <x:c r="BR91" s="57"/>
      <x:c r="BS91" s="57"/>
      <x:c r="BT91" s="57"/>
      <x:c r="BU91" s="57"/>
      <x:c r="BV91" s="57"/>
      <x:c r="BW91" s="57"/>
      <x:c r="BX91" s="57"/>
      <x:c r="BY91" s="57"/>
      <x:c r="BZ91" s="57"/>
      <x:c r="CA91" s="57"/>
      <x:c r="CB91" s="57"/>
      <x:c r="CC91" s="57"/>
      <x:c r="CD91" s="57"/>
      <x:c r="CE91" s="57"/>
      <x:c r="CF91" s="57"/>
      <x:c r="CG91" s="57"/>
    </x:row>
    <x:row r="92" ht="24" customHeight="1">
      <x:c r="A92" s="57"/>
      <x:c r="B92" s="146" t="s">
        <x:v>225</x:v>
      </x:c>
      <x:c r="C92" s="146"/>
      <x:c r="D92" s="146"/>
      <x:c r="E92" s="146"/>
      <x:c r="F92" s="146"/>
      <x:c r="G92" s="146"/>
      <x:c r="H92" s="146"/>
      <x:c r="BN92" s="57"/>
      <x:c r="BO92" s="57"/>
      <x:c r="BP92" s="57"/>
      <x:c r="BQ92" s="57"/>
      <x:c r="BR92" s="57"/>
      <x:c r="BS92" s="57"/>
      <x:c r="BT92" s="57"/>
      <x:c r="BU92" s="57"/>
      <x:c r="BV92" s="57"/>
      <x:c r="BW92" s="57"/>
      <x:c r="BX92" s="57"/>
      <x:c r="BY92" s="57"/>
      <x:c r="BZ92" s="57"/>
      <x:c r="CA92" s="57"/>
      <x:c r="CB92" s="57"/>
      <x:c r="CC92" s="57"/>
      <x:c r="CD92" s="57"/>
      <x:c r="CE92" s="57"/>
      <x:c r="CF92" s="57"/>
      <x:c r="CG92" s="57"/>
    </x:row>
    <x:row r="93" ht="8.649999618530273" customHeight="1">
      <x:c r="A93" s="57"/>
      <x:c r="BN93" s="57"/>
      <x:c r="BO93" s="57"/>
      <x:c r="BP93" s="57"/>
      <x:c r="BQ93" s="57"/>
      <x:c r="BR93" s="57"/>
      <x:c r="BS93" s="57"/>
      <x:c r="BT93" s="57"/>
      <x:c r="BU93" s="57"/>
      <x:c r="BV93" s="57"/>
      <x:c r="BW93" s="57"/>
      <x:c r="BX93" s="57"/>
      <x:c r="BY93" s="57"/>
      <x:c r="BZ93" s="57"/>
      <x:c r="CA93" s="57"/>
      <x:c r="CB93" s="57"/>
      <x:c r="CC93" s="57"/>
      <x:c r="CD93" s="57"/>
      <x:c r="CE93" s="57"/>
      <x:c r="CF93" s="57"/>
      <x:c r="CG93" s="57"/>
    </x:row>
    <x:row r="94" ht="8.649999618530273" customHeight="1">
      <x:c r="A94" s="57"/>
      <x:c r="BN94" s="57"/>
      <x:c r="BO94" s="57"/>
      <x:c r="BP94" s="57"/>
      <x:c r="BQ94" s="57"/>
      <x:c r="BR94" s="57"/>
      <x:c r="BS94" s="57"/>
      <x:c r="BT94" s="57"/>
      <x:c r="BU94" s="57"/>
      <x:c r="BV94" s="57"/>
      <x:c r="BW94" s="57"/>
      <x:c r="BX94" s="57"/>
      <x:c r="BY94" s="57"/>
      <x:c r="BZ94" s="57"/>
      <x:c r="CA94" s="57"/>
      <x:c r="CB94" s="57"/>
      <x:c r="CC94" s="57"/>
      <x:c r="CD94" s="57"/>
      <x:c r="CE94" s="57"/>
      <x:c r="CF94" s="57"/>
      <x:c r="CG94" s="57"/>
    </x:row>
    <x:row r="95" ht="8.649999618530273" customHeight="1">
      <x:c r="A95" s="57"/>
      <x:c r="BN95" s="57"/>
      <x:c r="BO95" s="57"/>
      <x:c r="BP95" s="57"/>
      <x:c r="BQ95" s="57"/>
      <x:c r="BR95" s="57"/>
      <x:c r="BS95" s="57"/>
      <x:c r="BT95" s="57"/>
      <x:c r="BU95" s="57"/>
      <x:c r="BV95" s="57"/>
      <x:c r="BW95" s="57"/>
      <x:c r="BX95" s="57"/>
      <x:c r="BY95" s="57"/>
      <x:c r="BZ95" s="57"/>
      <x:c r="CA95" s="57"/>
      <x:c r="CB95" s="57"/>
      <x:c r="CC95" s="57"/>
      <x:c r="CD95" s="57"/>
      <x:c r="CE95" s="57"/>
      <x:c r="CF95" s="57"/>
      <x:c r="CG95" s="57"/>
    </x:row>
    <x:row r="96" ht="8.649999618530273" customHeight="1">
      <x:c r="A96" s="57"/>
      <x:c r="BN96" s="57"/>
      <x:c r="BO96" s="57"/>
      <x:c r="BP96" s="57"/>
      <x:c r="BQ96" s="57"/>
      <x:c r="BR96" s="57"/>
      <x:c r="BS96" s="57"/>
      <x:c r="BT96" s="57"/>
      <x:c r="BU96" s="57"/>
      <x:c r="BV96" s="57"/>
      <x:c r="BW96" s="57"/>
      <x:c r="BX96" s="57"/>
      <x:c r="BY96" s="57"/>
      <x:c r="BZ96" s="57"/>
      <x:c r="CA96" s="57"/>
      <x:c r="CB96" s="57"/>
      <x:c r="CC96" s="57"/>
      <x:c r="CD96" s="57"/>
      <x:c r="CE96" s="57"/>
      <x:c r="CF96" s="57"/>
      <x:c r="CG96" s="57"/>
    </x:row>
    <x:row r="97" ht="8.649999618530273" customHeight="1">
      <x:c r="A97" s="57"/>
      <x:c r="BN97" s="57"/>
      <x:c r="BO97" s="57"/>
      <x:c r="BP97" s="57"/>
      <x:c r="BQ97" s="57"/>
      <x:c r="BR97" s="57"/>
      <x:c r="BS97" s="57"/>
      <x:c r="BT97" s="57"/>
      <x:c r="BU97" s="57"/>
      <x:c r="BV97" s="57"/>
      <x:c r="BW97" s="57"/>
      <x:c r="BX97" s="57"/>
      <x:c r="BY97" s="57"/>
      <x:c r="BZ97" s="57"/>
      <x:c r="CA97" s="57"/>
      <x:c r="CB97" s="57"/>
      <x:c r="CC97" s="57"/>
      <x:c r="CD97" s="57"/>
      <x:c r="CE97" s="57"/>
      <x:c r="CF97" s="57"/>
      <x:c r="CG97" s="57"/>
    </x:row>
    <x:row r="98" ht="8.649999618530273" customHeight="1">
      <x:c r="A98" s="57"/>
      <x:c r="BN98" s="57"/>
      <x:c r="BO98" s="57"/>
      <x:c r="BP98" s="57"/>
      <x:c r="BQ98" s="57"/>
      <x:c r="BR98" s="57"/>
      <x:c r="BS98" s="57"/>
      <x:c r="BT98" s="57"/>
      <x:c r="BU98" s="57"/>
      <x:c r="BV98" s="57"/>
      <x:c r="BW98" s="57"/>
      <x:c r="BX98" s="57"/>
      <x:c r="BY98" s="57"/>
      <x:c r="BZ98" s="57"/>
      <x:c r="CA98" s="57"/>
      <x:c r="CB98" s="57"/>
      <x:c r="CC98" s="57"/>
      <x:c r="CD98" s="57"/>
      <x:c r="CE98" s="57"/>
      <x:c r="CF98" s="57"/>
      <x:c r="CG98" s="57"/>
    </x:row>
    <x:row r="99" ht="8.649999618530273" customHeight="1">
      <x:c r="A99" s="57"/>
      <x:c r="BN99" s="57"/>
      <x:c r="BO99" s="57"/>
      <x:c r="BP99" s="57"/>
      <x:c r="BQ99" s="57"/>
      <x:c r="BR99" s="57"/>
      <x:c r="BS99" s="57"/>
      <x:c r="BT99" s="57"/>
      <x:c r="BU99" s="57"/>
      <x:c r="BV99" s="57"/>
      <x:c r="BW99" s="57"/>
      <x:c r="BX99" s="57"/>
      <x:c r="BY99" s="57"/>
      <x:c r="BZ99" s="57"/>
      <x:c r="CA99" s="57"/>
      <x:c r="CB99" s="57"/>
      <x:c r="CC99" s="57"/>
      <x:c r="CD99" s="57"/>
      <x:c r="CE99" s="57"/>
      <x:c r="CF99" s="57"/>
      <x:c r="CG99" s="57"/>
    </x:row>
    <x:row r="100" ht="8.649999618530273" customHeight="1">
      <x:c r="A100" s="57"/>
      <x:c r="BN100" s="57"/>
      <x:c r="BO100" s="57"/>
      <x:c r="BP100" s="57"/>
      <x:c r="BQ100" s="57"/>
      <x:c r="BR100" s="57"/>
      <x:c r="BS100" s="57"/>
      <x:c r="BT100" s="57"/>
      <x:c r="BU100" s="57"/>
      <x:c r="BV100" s="57"/>
      <x:c r="BW100" s="57"/>
      <x:c r="BX100" s="57"/>
      <x:c r="BY100" s="57"/>
      <x:c r="BZ100" s="57"/>
      <x:c r="CA100" s="57"/>
      <x:c r="CB100" s="57"/>
      <x:c r="CC100" s="57"/>
      <x:c r="CD100" s="57"/>
      <x:c r="CE100" s="57"/>
      <x:c r="CF100" s="57"/>
      <x:c r="CG100" s="57"/>
    </x:row>
    <x:row r="101" ht="8.649999618530273" customHeight="1">
      <x:c r="A101" s="57"/>
      <x:c r="BN101" s="57"/>
      <x:c r="BO101" s="57"/>
      <x:c r="BP101" s="57"/>
      <x:c r="BQ101" s="57"/>
      <x:c r="BR101" s="57"/>
      <x:c r="BS101" s="57"/>
      <x:c r="BT101" s="57"/>
      <x:c r="BU101" s="57"/>
      <x:c r="BV101" s="57"/>
      <x:c r="BW101" s="57"/>
      <x:c r="BX101" s="57"/>
      <x:c r="BY101" s="57"/>
      <x:c r="BZ101" s="57"/>
      <x:c r="CA101" s="57"/>
      <x:c r="CB101" s="57"/>
      <x:c r="CC101" s="57"/>
      <x:c r="CD101" s="57"/>
      <x:c r="CE101" s="57"/>
      <x:c r="CF101" s="57"/>
      <x:c r="CG101" s="57"/>
    </x:row>
    <x:row r="102" ht="8.649999618530273" customHeight="1">
      <x:c r="A102" s="57"/>
      <x:c r="BN102" s="57"/>
      <x:c r="BO102" s="57"/>
      <x:c r="BP102" s="57"/>
      <x:c r="BQ102" s="57"/>
      <x:c r="BR102" s="57"/>
      <x:c r="BS102" s="57"/>
      <x:c r="BT102" s="57"/>
      <x:c r="BU102" s="57"/>
      <x:c r="BV102" s="57"/>
      <x:c r="BW102" s="57"/>
      <x:c r="BX102" s="57"/>
      <x:c r="BY102" s="57"/>
      <x:c r="BZ102" s="57"/>
      <x:c r="CA102" s="57"/>
      <x:c r="CB102" s="57"/>
      <x:c r="CC102" s="57"/>
      <x:c r="CD102" s="57"/>
      <x:c r="CE102" s="57"/>
      <x:c r="CF102" s="57"/>
      <x:c r="CG102" s="57"/>
    </x:row>
    <x:row r="103" ht="8.649999618530273" customHeight="1">
      <x:c r="A103" s="57"/>
      <x:c r="BN103" s="57"/>
      <x:c r="BO103" s="57"/>
      <x:c r="BP103" s="57"/>
      <x:c r="BQ103" s="57"/>
      <x:c r="BR103" s="57"/>
      <x:c r="BS103" s="57"/>
      <x:c r="BT103" s="57"/>
      <x:c r="BU103" s="57"/>
      <x:c r="BV103" s="57"/>
      <x:c r="BW103" s="57"/>
      <x:c r="BX103" s="57"/>
      <x:c r="BY103" s="57"/>
      <x:c r="BZ103" s="57"/>
      <x:c r="CA103" s="57"/>
      <x:c r="CB103" s="57"/>
      <x:c r="CC103" s="57"/>
      <x:c r="CD103" s="57"/>
      <x:c r="CE103" s="57"/>
      <x:c r="CF103" s="57"/>
      <x:c r="CG103" s="57"/>
    </x:row>
    <x:row r="104" ht="8.649999618530273" customHeight="1">
      <x:c r="A104" s="57"/>
      <x:c r="BN104" s="57"/>
      <x:c r="BO104" s="57"/>
      <x:c r="BP104" s="57"/>
      <x:c r="BQ104" s="57"/>
      <x:c r="BR104" s="57"/>
      <x:c r="BS104" s="57"/>
      <x:c r="BT104" s="57"/>
      <x:c r="BU104" s="57"/>
      <x:c r="BV104" s="57"/>
      <x:c r="BW104" s="57"/>
      <x:c r="BX104" s="57"/>
      <x:c r="BY104" s="57"/>
      <x:c r="BZ104" s="57"/>
      <x:c r="CA104" s="57"/>
      <x:c r="CB104" s="57"/>
      <x:c r="CC104" s="57"/>
      <x:c r="CD104" s="57"/>
      <x:c r="CE104" s="57"/>
      <x:c r="CF104" s="57"/>
      <x:c r="CG104" s="57"/>
    </x:row>
    <x:row r="105" ht="8.649999618530273" customHeight="1">
      <x:c r="A105" s="57"/>
      <x:c r="BN105" s="57"/>
      <x:c r="BO105" s="57"/>
      <x:c r="BP105" s="57"/>
      <x:c r="BQ105" s="57"/>
      <x:c r="BR105" s="57"/>
      <x:c r="BS105" s="57"/>
      <x:c r="BT105" s="57"/>
      <x:c r="BU105" s="57"/>
      <x:c r="BV105" s="57"/>
      <x:c r="BW105" s="57"/>
      <x:c r="BX105" s="57"/>
      <x:c r="BY105" s="57"/>
      <x:c r="BZ105" s="57"/>
      <x:c r="CA105" s="57"/>
      <x:c r="CB105" s="57"/>
      <x:c r="CC105" s="57"/>
      <x:c r="CD105" s="57"/>
      <x:c r="CE105" s="57"/>
      <x:c r="CF105" s="57"/>
      <x:c r="CG105" s="57"/>
    </x:row>
    <x:row r="106" ht="8.649999618530273" customHeight="1">
      <x:c r="A106" s="57"/>
      <x:c r="BN106" s="57"/>
      <x:c r="BO106" s="57"/>
      <x:c r="BP106" s="57"/>
      <x:c r="BQ106" s="57"/>
      <x:c r="BR106" s="57"/>
      <x:c r="BS106" s="57"/>
      <x:c r="BT106" s="57"/>
      <x:c r="BU106" s="57"/>
      <x:c r="BV106" s="57"/>
      <x:c r="BW106" s="57"/>
      <x:c r="BX106" s="57"/>
      <x:c r="BY106" s="57"/>
      <x:c r="BZ106" s="57"/>
      <x:c r="CA106" s="57"/>
      <x:c r="CB106" s="57"/>
      <x:c r="CC106" s="57"/>
      <x:c r="CD106" s="57"/>
      <x:c r="CE106" s="57"/>
      <x:c r="CF106" s="57"/>
      <x:c r="CG106" s="57"/>
    </x:row>
    <x:row r="107" ht="8.649999618530273" customHeight="1">
      <x:c r="A107" s="57"/>
      <x:c r="BN107" s="57"/>
      <x:c r="BO107" s="57"/>
      <x:c r="BP107" s="57"/>
      <x:c r="BQ107" s="57"/>
      <x:c r="BR107" s="57"/>
      <x:c r="BS107" s="57"/>
      <x:c r="BT107" s="57"/>
      <x:c r="BU107" s="57"/>
      <x:c r="BV107" s="57"/>
      <x:c r="BW107" s="57"/>
      <x:c r="BX107" s="57"/>
      <x:c r="BY107" s="57"/>
      <x:c r="BZ107" s="57"/>
      <x:c r="CA107" s="57"/>
      <x:c r="CB107" s="57"/>
      <x:c r="CC107" s="57"/>
      <x:c r="CD107" s="57"/>
      <x:c r="CE107" s="57"/>
      <x:c r="CF107" s="57"/>
      <x:c r="CG107" s="57"/>
    </x:row>
    <x:row r="108" ht="8.649999618530273" customHeight="1"/>
    <x:row r="109" ht="8.649999618530273" customHeight="1"/>
    <x:row r="110" ht="8.649999618530273" customHeight="1"/>
    <x:row r="111" ht="8.649999618530273" customHeight="1"/>
    <x:row r="112" ht="8.649999618530273" customHeight="1"/>
    <x:row r="113" ht="8.649999618530273" customHeight="1"/>
    <x:row r="114" ht="8.649999618530273" customHeight="1"/>
    <x:row r="115" ht="8.649999618530273" customHeight="1"/>
    <x:row r="116" ht="8.649999618530273" customHeight="1"/>
    <x:row r="117" ht="8.649999618530273" customHeight="1"/>
    <x:row r="118" ht="8.649999618530273" customHeight="1"/>
    <x:row r="119" ht="8.649999618530273" customHeight="1"/>
    <x:row r="120" ht="8.649999618530273" customHeight="1"/>
    <x:row r="121" ht="8.649999618530273" customHeight="1"/>
    <x:row r="122" ht="8.649999618530273" customHeight="1"/>
    <x:row r="123" ht="8.649999618530273" customHeight="1"/>
    <x:row r="124" ht="8.649999618530273" customHeight="1"/>
    <x:row r="125" ht="8.649999618530273" customHeight="1"/>
    <x:row r="126" ht="8.649999618530273" customHeight="1"/>
    <x:row r="127" ht="8.649999618530273" customHeight="1"/>
    <x:row r="128" ht="8.649999618530273" customHeight="1"/>
    <x:row r="129" ht="8.649999618530273" customHeight="1"/>
    <x:row r="130" ht="8.649999618530273" customHeight="1"/>
    <x:row r="131" ht="8.649999618530273" customHeight="1"/>
    <x:row r="132" ht="8.649999618530273" customHeight="1"/>
    <x:row r="133" ht="8.649999618530273" customHeight="1"/>
    <x:row r="134" ht="8.649999618530273" customHeight="1"/>
    <x:row r="135" ht="8.649999618530273" customHeight="1"/>
    <x:row r="136" ht="8.649999618530273" customHeight="1"/>
    <x:row r="137" ht="8.649999618530273" customHeight="1"/>
    <x:row r="138" ht="8.649999618530273" customHeight="1"/>
    <x:row r="139" ht="8.649999618530273" customHeight="1"/>
    <x:row r="140" ht="8.649999618530273" customHeight="1"/>
    <x:row r="141" ht="8.649999618530273" customHeight="1"/>
    <x:row r="142" ht="8.649999618530273" customHeight="1"/>
    <x:row r="143" ht="8.649999618530273" customHeight="1"/>
    <x:row r="144" ht="8.649999618530273" customHeight="1"/>
    <x:row r="145" ht="8.649999618530273" customHeight="1"/>
    <x:row r="146" ht="8.649999618530273" customHeight="1"/>
    <x:row r="147" ht="8.649999618530273" customHeight="1"/>
    <x:row r="148" ht="8.649999618530273" customHeight="1"/>
    <x:row r="149" ht="8.649999618530273" customHeight="1"/>
    <x:row r="150" ht="8.649999618530273" customHeight="1"/>
    <x:row r="151" ht="8.649999618530273" customHeight="1"/>
    <x:row r="152" ht="8.649999618530273" customHeight="1"/>
    <x:row r="153" ht="8.649999618530273" customHeight="1"/>
    <x:row r="154" ht="8.649999618530273" customHeight="1"/>
    <x:row r="155" ht="8.649999618530273" customHeight="1"/>
    <x:row r="156" ht="8.649999618530273" customHeight="1"/>
    <x:row r="157" ht="8.649999618530273" customHeight="1"/>
    <x:row r="158" ht="8.649999618530273" customHeight="1"/>
    <x:row r="159" ht="8.649999618530273" customHeight="1"/>
    <x:row r="160" ht="8.649999618530273" customHeight="1"/>
    <x:row r="161" ht="8.649999618530273" customHeight="1"/>
    <x:row r="162" ht="8.649999618530273" customHeight="1"/>
    <x:row r="163" ht="8.649999618530273" customHeight="1"/>
    <x:row r="164" ht="8.649999618530273" customHeight="1"/>
    <x:row r="165" ht="8.649999618530273" customHeight="1"/>
    <x:row r="166" ht="8.649999618530273" customHeight="1"/>
    <x:row r="167" ht="8.649999618530273" customHeight="1"/>
    <x:row r="168" ht="8.649999618530273" customHeight="1"/>
    <x:row r="169" ht="8.649999618530273" customHeight="1"/>
    <x:row r="170" ht="8.649999618530273" customHeight="1"/>
    <x:row r="171" ht="8.649999618530273" customHeight="1"/>
    <x:row r="172" ht="8.649999618530273" customHeight="1"/>
    <x:row r="173" ht="8.649999618530273" customHeight="1"/>
    <x:row r="174" ht="8.649999618530273" customHeight="1"/>
    <x:row r="175" ht="8.649999618530273" customHeight="1"/>
    <x:row r="176" ht="8.649999618530273" customHeight="1"/>
    <x:row r="177" ht="8.649999618530273" customHeight="1"/>
    <x:row r="178" ht="8.649999618530273" customHeight="1"/>
    <x:row r="179" ht="8.649999618530273" customHeight="1"/>
    <x:row r="180" ht="8.649999618530273" customHeight="1"/>
    <x:row r="181" ht="8.649999618530273" customHeight="1"/>
    <x:row r="182" ht="8.649999618530273" customHeight="1"/>
    <x:row r="183" ht="8.649999618530273" customHeight="1"/>
    <x:row r="184" ht="8.649999618530273" customHeight="1"/>
    <x:row r="185" ht="8.649999618530273" customHeight="1"/>
    <x:row r="186" ht="8.649999618530273" customHeight="1"/>
    <x:row r="187" ht="8.649999618530273" customHeight="1"/>
    <x:row r="188" ht="8.649999618530273" customHeight="1"/>
    <x:row r="189" ht="8.649999618530273" customHeight="1"/>
    <x:row r="190" ht="8.649999618530273" customHeight="1"/>
    <x:row r="191" ht="8.649999618530273" customHeight="1"/>
    <x:row r="192" ht="8.649999618530273" customHeight="1"/>
    <x:row r="193" ht="8.649999618530273" customHeight="1"/>
    <x:row r="194" ht="8.649999618530273" customHeight="1"/>
    <x:row r="195" ht="8.649999618530273" customHeight="1"/>
    <x:row r="196" ht="8.649999618530273" customHeight="1"/>
    <x:row r="197" ht="8.649999618530273" customHeight="1"/>
    <x:row r="198" ht="8.649999618530273" customHeight="1"/>
    <x:row r="199" ht="8.649999618530273" customHeight="1"/>
    <x:row r="200" ht="8.649999618530273" customHeight="1"/>
    <x:row r="201" ht="8.649999618530273" customHeight="1"/>
    <x:row r="202" ht="8.649999618530273" customHeight="1"/>
    <x:row r="203" ht="8.649999618530273" customHeight="1"/>
    <x:row r="204" ht="8.649999618530273" customHeight="1"/>
    <x:row r="205" ht="8.649999618530273" customHeight="1"/>
    <x:row r="206" ht="8.649999618530273" customHeight="1"/>
    <x:row r="207" ht="8.649999618530273" customHeight="1"/>
    <x:row r="208" ht="8.649999618530273" customHeight="1"/>
    <x:row r="209" ht="8.649999618530273" customHeight="1"/>
    <x:row r="210" ht="8.649999618530273" customHeight="1"/>
    <x:row r="211" ht="8.649999618530273" customHeight="1"/>
    <x:row r="212" ht="8.649999618530273" customHeight="1"/>
    <x:row r="213" ht="8.649999618530273" customHeight="1"/>
    <x:row r="214" ht="8.649999618530273" customHeight="1"/>
    <x:row r="215" ht="8.649999618530273" customHeight="1"/>
    <x:row r="216" ht="8.649999618530273" customHeight="1"/>
    <x:row r="217" ht="8.649999618530273" customHeight="1"/>
    <x:row r="218" ht="8.649999618530273" customHeight="1"/>
    <x:row r="219" ht="8.649999618530273" customHeight="1"/>
    <x:row r="220" ht="8.649999618530273" customHeight="1"/>
    <x:row r="221" ht="8.649999618530273" customHeight="1"/>
    <x:row r="222" ht="8.649999618530273" customHeight="1"/>
    <x:row r="223" ht="8.649999618530273" customHeight="1"/>
    <x:row r="224" ht="8.649999618530273" customHeight="1"/>
    <x:row r="225" ht="8.649999618530273" customHeight="1"/>
    <x:row r="226" ht="8.649999618530273" customHeight="1"/>
    <x:row r="227" ht="8.649999618530273" customHeight="1"/>
    <x:row r="228" ht="8.649999618530273" customHeight="1"/>
    <x:row r="229" ht="8.649999618530273" customHeight="1"/>
    <x:row r="230" ht="8.649999618530273" customHeight="1"/>
    <x:row r="231" ht="8.649999618530273" customHeight="1"/>
    <x:row r="232" ht="8.649999618530273" customHeight="1"/>
    <x:row r="233" ht="8.649999618530273" customHeight="1"/>
    <x:row r="234" ht="8.649999618530273" customHeight="1"/>
    <x:row r="235" ht="8.649999618530273" customHeight="1"/>
    <x:row r="236" ht="8.649999618530273" customHeight="1"/>
    <x:row r="237" ht="8.649999618530273" customHeight="1"/>
    <x:row r="238" ht="8.649999618530273" customHeight="1"/>
    <x:row r="239" ht="8.649999618530273" customHeight="1"/>
    <x:row r="240" ht="8.649999618530273" customHeight="1"/>
    <x:row r="241" ht="8.649999618530273" customHeight="1"/>
    <x:row r="242" ht="8.649999618530273" customHeight="1"/>
    <x:row r="243" ht="8.649999618530273" customHeight="1"/>
    <x:row r="244" ht="8.649999618530273" customHeight="1"/>
    <x:row r="245" ht="8.649999618530273" customHeight="1"/>
    <x:row r="246" ht="8.649999618530273" customHeight="1"/>
    <x:row r="247" ht="8.649999618530273" customHeight="1"/>
    <x:row r="248" ht="8.649999618530273" customHeight="1"/>
    <x:row r="249" ht="8.649999618530273" customHeight="1"/>
    <x:row r="250" ht="8.649999618530273" customHeight="1"/>
    <x:row r="251" ht="8.649999618530273" customHeight="1"/>
    <x:row r="252" ht="8.649999618530273" customHeight="1"/>
    <x:row r="253" ht="8.649999618530273" customHeight="1"/>
    <x:row r="254" ht="8.649999618530273" customHeight="1"/>
    <x:row r="255" ht="8.649999618530273" customHeight="1"/>
    <x:row r="256" ht="8.649999618530273" customHeight="1"/>
    <x:row r="257" ht="8.649999618530273" customHeight="1"/>
    <x:row r="258" ht="8.649999618530273" customHeight="1"/>
    <x:row r="259" ht="8.649999618530273" customHeight="1"/>
    <x:row r="260" ht="8.649999618530273" customHeight="1"/>
    <x:row r="261" ht="8.649999618530273" customHeight="1"/>
    <x:row r="262" ht="8.649999618530273" customHeight="1"/>
    <x:row r="263" ht="8.649999618530273" customHeight="1"/>
    <x:row r="264" ht="8.649999618530273" customHeight="1"/>
    <x:row r="265" ht="8.649999618530273" customHeight="1"/>
    <x:row r="266" ht="8.649999618530273" customHeight="1"/>
    <x:row r="267" ht="8.649999618530273" customHeight="1"/>
    <x:row r="268" ht="8.649999618530273" customHeight="1"/>
    <x:row r="269" ht="8.649999618530273" customHeight="1"/>
    <x:row r="270" ht="8.649999618530273" customHeight="1"/>
    <x:row r="271" ht="8.649999618530273" customHeight="1"/>
    <x:row r="272" ht="8.649999618530273" customHeight="1"/>
    <x:row r="273" ht="8.649999618530273" customHeight="1"/>
    <x:row r="274" ht="8.649999618530273" customHeight="1"/>
    <x:row r="275" ht="8.649999618530273" customHeight="1"/>
    <x:row r="276" ht="8.649999618530273" customHeight="1"/>
    <x:row r="277" ht="8.649999618530273" customHeight="1"/>
    <x:row r="278" ht="8.649999618530273" customHeight="1"/>
    <x:row r="279" ht="8.649999618530273" customHeight="1"/>
    <x:row r="280" ht="8.649999618530273" customHeight="1"/>
    <x:row r="281" ht="8.649999618530273" customHeight="1"/>
    <x:row r="282" ht="8.649999618530273" customHeight="1"/>
    <x:row r="283" ht="8.649999618530273" customHeight="1"/>
    <x:row r="284" ht="8.649999618530273" customHeight="1"/>
    <x:row r="285" ht="8.649999618530273" customHeight="1"/>
    <x:row r="286" ht="8.649999618530273" customHeight="1"/>
    <x:row r="287" ht="8.649999618530273" customHeight="1"/>
    <x:row r="288" ht="8.649999618530273" customHeight="1"/>
    <x:row r="289" ht="8.649999618530273" customHeight="1"/>
    <x:row r="290" ht="8.649999618530273" customHeight="1"/>
    <x:row r="291" ht="8.649999618530273" customHeight="1"/>
    <x:row r="292" ht="8.649999618530273" customHeight="1"/>
    <x:row r="293" ht="8.649999618530273" customHeight="1"/>
    <x:row r="294" ht="8.649999618530273" customHeight="1"/>
    <x:row r="295" ht="8.649999618530273" customHeight="1"/>
    <x:row r="296" ht="8.649999618530273" customHeight="1"/>
    <x:row r="297" ht="8.649999618530273" customHeight="1"/>
    <x:row r="298" ht="8.649999618530273" customHeight="1"/>
    <x:row r="299" ht="8.649999618530273" customHeight="1"/>
    <x:row r="300" ht="8.649999618530273" customHeight="1"/>
    <x:row r="301" ht="8.649999618530273" customHeight="1"/>
    <x:row r="302" ht="8.649999618530273" customHeight="1"/>
    <x:row r="303" ht="8.649999618530273" customHeight="1"/>
    <x:row r="304" ht="8.649999618530273" customHeight="1"/>
    <x:row r="305" ht="8.649999618530273" customHeight="1"/>
    <x:row r="306" ht="8.649999618530273" customHeight="1"/>
    <x:row r="307" ht="8.649999618530273" customHeight="1"/>
    <x:row r="308" ht="8.649999618530273" customHeight="1"/>
    <x:row r="309" ht="8.649999618530273" customHeight="1"/>
    <x:row r="310" ht="8.649999618530273" customHeight="1"/>
    <x:row r="311" ht="8.649999618530273" customHeight="1"/>
    <x:row r="312" ht="8.649999618530273" customHeight="1"/>
    <x:row r="313" ht="8.649999618530273" customHeight="1"/>
    <x:row r="314" ht="8.649999618530273" customHeight="1"/>
    <x:row r="315" ht="8.649999618530273" customHeight="1"/>
    <x:row r="316" ht="8.649999618530273" customHeight="1"/>
    <x:row r="317" ht="8.649999618530273" customHeight="1"/>
    <x:row r="318" ht="8.649999618530273" customHeight="1"/>
    <x:row r="319" ht="8.649999618530273" customHeight="1"/>
    <x:row r="320" ht="8.649999618530273" customHeight="1"/>
    <x:row r="321" ht="8.649999618530273" customHeight="1"/>
    <x:row r="322" ht="8.649999618530273" customHeight="1"/>
    <x:row r="323" ht="8.649999618530273" customHeight="1"/>
    <x:row r="324" ht="8.649999618530273" customHeight="1"/>
    <x:row r="325" ht="8.649999618530273" customHeight="1"/>
    <x:row r="326" ht="8.649999618530273" customHeight="1"/>
    <x:row r="327" ht="8.649999618530273" customHeight="1"/>
    <x:row r="328" ht="8.649999618530273" customHeight="1"/>
    <x:row r="329" ht="8.649999618530273" customHeight="1"/>
    <x:row r="330" ht="8.649999618530273" customHeight="1"/>
    <x:row r="331" ht="8.649999618530273" customHeight="1"/>
    <x:row r="332" ht="8.649999618530273" customHeight="1"/>
    <x:row r="333" ht="8.649999618530273" customHeight="1"/>
    <x:row r="334" ht="8.649999618530273" customHeight="1"/>
    <x:row r="335" ht="8.649999618530273" customHeight="1"/>
    <x:row r="336" ht="8.649999618530273" customHeight="1"/>
    <x:row r="337" ht="8.649999618530273" customHeight="1"/>
    <x:row r="338" ht="8.649999618530273" customHeight="1"/>
    <x:row r="339" ht="8.649999618530273" customHeight="1"/>
    <x:row r="340" ht="8.649999618530273" customHeight="1"/>
    <x:row r="341" ht="8.649999618530273" customHeight="1"/>
    <x:row r="342" ht="8.649999618530273" customHeight="1"/>
    <x:row r="343" ht="8.649999618530273" customHeight="1"/>
    <x:row r="344" ht="8.649999618530273" customHeight="1"/>
    <x:row r="345" ht="8.649999618530273" customHeight="1"/>
    <x:row r="346" ht="8.649999618530273" customHeight="1"/>
    <x:row r="347" ht="8.649999618530273" customHeight="1"/>
    <x:row r="348" ht="8.649999618530273" customHeight="1"/>
    <x:row r="349" ht="8.649999618530273" customHeight="1"/>
    <x:row r="350" ht="8.649999618530273" customHeight="1"/>
    <x:row r="351" ht="8.649999618530273" customHeight="1"/>
    <x:row r="352" ht="8.649999618530273" customHeight="1"/>
    <x:row r="353" ht="8.649999618530273" customHeight="1"/>
    <x:row r="354" ht="8.649999618530273" customHeight="1"/>
    <x:row r="355" ht="8.649999618530273" customHeight="1"/>
    <x:row r="356" ht="8.649999618530273" customHeight="1"/>
    <x:row r="357" ht="8.649999618530273" customHeight="1"/>
    <x:row r="358" ht="8.649999618530273" customHeight="1"/>
    <x:row r="359" ht="8.649999618530273" customHeight="1"/>
    <x:row r="360" ht="8.649999618530273" customHeight="1"/>
    <x:row r="361" ht="8.649999618530273" customHeight="1"/>
    <x:row r="362" ht="8.649999618530273" customHeight="1"/>
    <x:row r="363" ht="8.649999618530273" customHeight="1"/>
    <x:row r="364" ht="8.649999618530273" customHeight="1"/>
    <x:row r="365" ht="8.649999618530273" customHeight="1"/>
    <x:row r="366" ht="8.649999618530273" customHeight="1"/>
    <x:row r="367" ht="8.649999618530273" customHeight="1"/>
    <x:row r="368" ht="8.649999618530273" customHeight="1"/>
    <x:row r="369" ht="8.649999618530273" customHeight="1"/>
    <x:row r="370" ht="8.649999618530273" customHeight="1"/>
    <x:row r="371" ht="8.649999618530273" customHeight="1"/>
    <x:row r="372" ht="8.649999618530273" customHeight="1"/>
    <x:row r="373" ht="8.649999618530273" customHeight="1"/>
    <x:row r="374" ht="8.649999618530273" customHeight="1"/>
    <x:row r="375" ht="8.649999618530273" customHeight="1"/>
    <x:row r="376" ht="8.649999618530273" customHeight="1"/>
    <x:row r="377" ht="8.649999618530273" customHeight="1"/>
    <x:row r="378" ht="8.649999618530273" customHeight="1"/>
    <x:row r="379" ht="8.649999618530273" customHeight="1"/>
    <x:row r="380" ht="8.649999618530273" customHeight="1"/>
    <x:row r="381" ht="8.649999618530273" customHeight="1"/>
    <x:row r="382" ht="8.649999618530273" customHeight="1"/>
    <x:row r="383" ht="8.649999618530273" customHeight="1"/>
    <x:row r="384" ht="8.649999618530273" customHeight="1"/>
    <x:row r="385" ht="8.649999618530273" customHeight="1"/>
    <x:row r="386" ht="8.649999618530273" customHeight="1"/>
    <x:row r="387" ht="8.649999618530273" customHeight="1"/>
    <x:row r="388" ht="8.649999618530273" customHeight="1"/>
    <x:row r="389" ht="8.649999618530273" customHeight="1"/>
    <x:row r="390" ht="8.649999618530273" customHeight="1"/>
    <x:row r="391" ht="8.649999618530273" customHeight="1"/>
    <x:row r="392" ht="8.649999618530273" customHeight="1"/>
    <x:row r="393" ht="8.649999618530273" customHeight="1"/>
    <x:row r="394" ht="8.649999618530273" customHeight="1"/>
    <x:row r="395" ht="8.649999618530273" customHeight="1"/>
    <x:row r="396" ht="8.649999618530273" customHeight="1"/>
    <x:row r="397" ht="8.649999618530273" customHeight="1"/>
    <x:row r="398" ht="8.649999618530273" customHeight="1"/>
    <x:row r="399" ht="8.649999618530273" customHeight="1"/>
    <x:row r="400" ht="8.649999618530273" customHeight="1"/>
    <x:row r="401" ht="8.649999618530273" customHeight="1"/>
    <x:row r="402" ht="8.649999618530273" customHeight="1"/>
    <x:row r="403" ht="8.649999618530273" customHeight="1"/>
    <x:row r="404" ht="8.649999618530273" customHeight="1"/>
    <x:row r="405" ht="8.649999618530273" customHeight="1"/>
    <x:row r="406" ht="8.649999618530273" customHeight="1"/>
    <x:row r="407" ht="8.649999618530273" customHeight="1"/>
    <x:row r="408" ht="8.649999618530273" customHeight="1"/>
    <x:row r="409" ht="8.649999618530273" customHeight="1"/>
    <x:row r="410" ht="8.649999618530273" customHeight="1"/>
    <x:row r="411" ht="8.649999618530273" customHeight="1"/>
    <x:row r="412" ht="8.649999618530273" customHeight="1"/>
    <x:row r="413" ht="8.649999618530273" customHeight="1"/>
    <x:row r="414" ht="8.649999618530273" customHeight="1"/>
    <x:row r="415" ht="8.649999618530273" customHeight="1"/>
    <x:row r="416" ht="8.649999618530273" customHeight="1"/>
    <x:row r="417" ht="8.649999618530273" customHeight="1"/>
    <x:row r="418" ht="8.649999618530273" customHeight="1"/>
    <x:row r="419" ht="8.649999618530273" customHeight="1"/>
    <x:row r="420" ht="8.649999618530273" customHeight="1"/>
    <x:row r="421" ht="8.649999618530273" customHeight="1"/>
    <x:row r="422" ht="8.649999618530273" customHeight="1"/>
    <x:row r="423" ht="8.649999618530273" customHeight="1"/>
    <x:row r="424" ht="8.649999618530273" customHeight="1"/>
    <x:row r="425" ht="8.649999618530273" customHeight="1"/>
    <x:row r="426" ht="8.649999618530273" customHeight="1"/>
    <x:row r="427" ht="8.649999618530273" customHeight="1"/>
    <x:row r="428" ht="8.649999618530273" customHeight="1"/>
    <x:row r="429" ht="8.649999618530273" customHeight="1"/>
    <x:row r="430" ht="8.649999618530273" customHeight="1"/>
    <x:row r="431" ht="8.649999618530273" customHeight="1"/>
    <x:row r="432" ht="8.649999618530273" customHeight="1"/>
    <x:row r="433" ht="8.649999618530273" customHeight="1"/>
    <x:row r="434" ht="8.649999618530273" customHeight="1"/>
    <x:row r="435" ht="8.649999618530273" customHeight="1"/>
    <x:row r="436" ht="8.649999618530273" customHeight="1"/>
    <x:row r="437" ht="8.649999618530273" customHeight="1"/>
    <x:row r="438" ht="8.649999618530273" customHeight="1"/>
    <x:row r="439" ht="8.649999618530273" customHeight="1"/>
    <x:row r="440" ht="8.649999618530273" customHeight="1"/>
    <x:row r="441" ht="8.649999618530273" customHeight="1"/>
    <x:row r="442" ht="8.649999618530273" customHeight="1"/>
    <x:row r="443" ht="8.649999618530273" customHeight="1"/>
    <x:row r="444" ht="8.649999618530273" customHeight="1"/>
    <x:row r="445" ht="8.649999618530273" customHeight="1"/>
    <x:row r="446" ht="8.649999618530273" customHeight="1"/>
    <x:row r="447" ht="8.649999618530273" customHeight="1"/>
    <x:row r="448" ht="8.649999618530273" customHeight="1"/>
    <x:row r="449" ht="8.649999618530273" customHeight="1"/>
    <x:row r="450" ht="8.649999618530273" customHeight="1"/>
    <x:row r="451" ht="8.649999618530273" customHeight="1"/>
    <x:row r="452" ht="8.649999618530273" customHeight="1"/>
    <x:row r="453" ht="8.649999618530273" customHeight="1"/>
    <x:row r="454" ht="8.649999618530273" customHeight="1"/>
    <x:row r="455" ht="8.649999618530273" customHeight="1"/>
    <x:row r="456" ht="8.649999618530273" customHeight="1"/>
    <x:row r="457" ht="8.649999618530273" customHeight="1"/>
    <x:row r="458" ht="8.649999618530273" customHeight="1"/>
    <x:row r="459" ht="8.649999618530273" customHeight="1"/>
    <x:row r="460" ht="8.649999618530273" customHeight="1"/>
    <x:row r="461" ht="8.649999618530273" customHeight="1"/>
    <x:row r="462" ht="8.649999618530273" customHeight="1"/>
    <x:row r="463" ht="8.649999618530273" customHeight="1"/>
    <x:row r="464" ht="8.649999618530273" customHeight="1"/>
    <x:row r="465" ht="8.649999618530273" customHeight="1"/>
    <x:row r="466" ht="8.649999618530273" customHeight="1"/>
    <x:row r="467" ht="8.649999618530273" customHeight="1"/>
    <x:row r="468" ht="8.649999618530273" customHeight="1"/>
    <x:row r="469" ht="8.649999618530273" customHeight="1"/>
    <x:row r="470" ht="8.649999618530273" customHeight="1"/>
    <x:row r="471" ht="8.649999618530273" customHeight="1"/>
    <x:row r="472" ht="8.649999618530273" customHeight="1"/>
    <x:row r="473" ht="8.649999618530273" customHeight="1"/>
    <x:row r="474" ht="8.649999618530273" customHeight="1"/>
    <x:row r="475" ht="8.649999618530273" customHeight="1"/>
    <x:row r="476" ht="8.649999618530273" customHeight="1"/>
    <x:row r="477" ht="8.649999618530273" customHeight="1"/>
    <x:row r="478" ht="8.649999618530273" customHeight="1"/>
    <x:row r="479" ht="8.649999618530273" customHeight="1"/>
    <x:row r="480" ht="8.649999618530273" customHeight="1"/>
    <x:row r="481" ht="8.649999618530273" customHeight="1"/>
    <x:row r="482" ht="8.649999618530273" customHeight="1"/>
    <x:row r="483" ht="8.649999618530273" customHeight="1"/>
    <x:row r="484" ht="8.649999618530273" customHeight="1"/>
    <x:row r="485" ht="8.649999618530273" customHeight="1"/>
    <x:row r="486" ht="8.649999618530273" customHeight="1"/>
    <x:row r="487" ht="8.649999618530273" customHeight="1"/>
    <x:row r="488" ht="8.649999618530273" customHeight="1"/>
    <x:row r="489" ht="8.649999618530273" customHeight="1"/>
    <x:row r="490" ht="8.649999618530273" customHeight="1"/>
    <x:row r="491" ht="8.649999618530273" customHeight="1"/>
    <x:row r="492" ht="8.649999618530273" customHeight="1"/>
    <x:row r="493" ht="8.649999618530273" customHeight="1"/>
    <x:row r="494" ht="8.649999618530273" customHeight="1"/>
    <x:row r="495" ht="8.649999618530273" customHeight="1"/>
    <x:row r="496" ht="8.649999618530273" customHeight="1"/>
    <x:row r="497" ht="8.649999618530273" customHeight="1"/>
    <x:row r="498" ht="8.649999618530273" customHeight="1"/>
    <x:row r="499" ht="8.649999618530273" customHeight="1"/>
    <x:row r="500" ht="8.649999618530273" customHeight="1"/>
    <x:row r="501" ht="8.649999618530273" customHeight="1"/>
    <x:row r="502" ht="8.649999618530273" customHeight="1"/>
    <x:row r="503" ht="8.649999618530273" customHeight="1"/>
    <x:row r="504" ht="8.649999618530273" customHeight="1"/>
    <x:row r="505" ht="8.649999618530273" customHeight="1"/>
    <x:row r="506" ht="8.649999618530273" customHeight="1"/>
    <x:row r="507" ht="8.649999618530273" customHeight="1"/>
    <x:row r="508" ht="8.649999618530273" customHeight="1"/>
    <x:row r="509" ht="8.649999618530273" customHeight="1"/>
    <x:row r="510" ht="8.649999618530273" customHeight="1"/>
    <x:row r="511" ht="8.649999618530273" customHeight="1"/>
    <x:row r="512" ht="8.649999618530273" customHeight="1"/>
    <x:row r="513" ht="8.649999618530273" customHeight="1"/>
    <x:row r="514" ht="8.649999618530273" customHeight="1"/>
    <x:row r="515" ht="8.649999618530273" customHeight="1"/>
    <x:row r="516" ht="8.649999618530273" customHeight="1"/>
    <x:row r="517" ht="8.649999618530273" customHeight="1"/>
    <x:row r="518" ht="8.649999618530273" customHeight="1"/>
    <x:row r="519" ht="8.649999618530273" customHeight="1"/>
    <x:row r="520" ht="8.649999618530273" customHeight="1"/>
    <x:row r="521" ht="8.649999618530273" customHeight="1"/>
    <x:row r="522" ht="8.649999618530273" customHeight="1"/>
    <x:row r="523" ht="8.649999618530273" customHeight="1"/>
    <x:row r="524" ht="8.649999618530273" customHeight="1"/>
    <x:row r="525" ht="8.649999618530273" customHeight="1"/>
    <x:row r="526" ht="8.649999618530273" customHeight="1"/>
    <x:row r="527" ht="8.649999618530273" customHeight="1"/>
    <x:row r="528" ht="8.649999618530273" customHeight="1"/>
    <x:row r="529" ht="8.649999618530273" customHeight="1"/>
    <x:row r="530" ht="8.649999618530273" customHeight="1"/>
    <x:row r="531" ht="8.649999618530273" customHeight="1"/>
    <x:row r="532" ht="8.649999618530273" customHeight="1"/>
    <x:row r="533" ht="8.649999618530273" customHeight="1"/>
    <x:row r="534" ht="8.649999618530273" customHeight="1"/>
    <x:row r="535" ht="8.649999618530273" customHeight="1"/>
    <x:row r="536" ht="8.649999618530273" customHeight="1"/>
    <x:row r="537" ht="8.649999618530273" customHeight="1"/>
    <x:row r="538" ht="8.649999618530273" customHeight="1"/>
    <x:row r="539" ht="8.649999618530273" customHeight="1"/>
    <x:row r="540" ht="8.649999618530273" customHeight="1"/>
    <x:row r="541" ht="8.649999618530273" customHeight="1"/>
    <x:row r="542" ht="8.649999618530273" customHeight="1"/>
    <x:row r="543" ht="8.649999618530273" customHeight="1"/>
    <x:row r="544" ht="8.649999618530273" customHeight="1"/>
    <x:row r="545" ht="8.649999618530273" customHeight="1"/>
    <x:row r="546" ht="8.649999618530273" customHeight="1"/>
    <x:row r="547" ht="8.649999618530273" customHeight="1"/>
    <x:row r="548" ht="8.649999618530273" customHeight="1"/>
    <x:row r="549" ht="8.649999618530273" customHeight="1"/>
    <x:row r="550" ht="8.649999618530273" customHeight="1"/>
    <x:row r="551" ht="8.649999618530273" customHeight="1"/>
    <x:row r="552" ht="8.649999618530273" customHeight="1"/>
    <x:row r="553" ht="8.649999618530273" customHeight="1"/>
    <x:row r="554" ht="8.649999618530273" customHeight="1"/>
    <x:row r="555" ht="8.649999618530273" customHeight="1"/>
    <x:row r="556" ht="8.649999618530273" customHeight="1"/>
    <x:row r="557" ht="8.649999618530273" customHeight="1"/>
    <x:row r="558" ht="8.649999618530273" customHeight="1"/>
    <x:row r="559" ht="8.649999618530273" customHeight="1"/>
    <x:row r="560" ht="8.649999618530273" customHeight="1"/>
    <x:row r="561" ht="8.649999618530273" customHeight="1"/>
    <x:row r="562" ht="8.649999618530273" customHeight="1"/>
    <x:row r="563" ht="8.649999618530273" customHeight="1"/>
    <x:row r="564" ht="8.649999618530273" customHeight="1"/>
    <x:row r="565" ht="8.649999618530273" customHeight="1"/>
    <x:row r="566" ht="8.649999618530273" customHeight="1"/>
    <x:row r="567" ht="8.649999618530273" customHeight="1"/>
    <x:row r="568" ht="8.649999618530273" customHeight="1"/>
    <x:row r="569" ht="8.649999618530273" customHeight="1"/>
    <x:row r="570" ht="8.649999618530273" customHeight="1"/>
    <x:row r="571" ht="8.649999618530273" customHeight="1"/>
    <x:row r="572" ht="8.649999618530273" customHeight="1"/>
    <x:row r="573" ht="8.649999618530273" customHeight="1"/>
    <x:row r="574" ht="8.649999618530273" customHeight="1"/>
    <x:row r="575" ht="8.649999618530273" customHeight="1"/>
    <x:row r="576" ht="8.649999618530273" customHeight="1"/>
    <x:row r="577" ht="8.649999618530273" customHeight="1"/>
    <x:row r="578" ht="8.649999618530273" customHeight="1"/>
    <x:row r="579" ht="8.649999618530273" customHeight="1"/>
    <x:row r="580" ht="8.649999618530273" customHeight="1"/>
    <x:row r="581" ht="8.649999618530273" customHeight="1"/>
    <x:row r="582" ht="8.649999618530273" customHeight="1"/>
    <x:row r="583" ht="8.649999618530273" customHeight="1"/>
    <x:row r="584" ht="8.649999618530273" customHeight="1"/>
    <x:row r="585" ht="8.649999618530273" customHeight="1"/>
    <x:row r="586" ht="8.649999618530273" customHeight="1"/>
    <x:row r="587" ht="8.649999618530273" customHeight="1"/>
    <x:row r="588" ht="8.649999618530273" customHeight="1"/>
    <x:row r="589" ht="8.649999618530273" customHeight="1"/>
    <x:row r="590" ht="8.649999618530273" customHeight="1"/>
    <x:row r="591" ht="8.649999618530273" customHeight="1"/>
    <x:row r="592" ht="8.649999618530273" customHeight="1"/>
    <x:row r="593" ht="8.649999618530273" customHeight="1"/>
    <x:row r="594" ht="8.649999618530273" customHeight="1"/>
    <x:row r="595" ht="8.649999618530273" customHeight="1"/>
    <x:row r="596" ht="8.649999618530273" customHeight="1"/>
    <x:row r="597" ht="8.649999618530273" customHeight="1"/>
    <x:row r="598" ht="8.649999618530273" customHeight="1"/>
    <x:row r="599" ht="8.649999618530273" customHeight="1"/>
    <x:row r="600" ht="8.649999618530273" customHeight="1"/>
    <x:row r="601" ht="8.649999618530273" customHeight="1"/>
    <x:row r="602" ht="8.649999618530273" customHeight="1"/>
    <x:row r="603" ht="8.649999618530273" customHeight="1"/>
    <x:row r="604" ht="8.649999618530273" customHeight="1"/>
    <x:row r="605" ht="8.649999618530273" customHeight="1"/>
    <x:row r="606" ht="8.649999618530273" customHeight="1"/>
    <x:row r="607" ht="8.649999618530273" customHeight="1"/>
    <x:row r="608" ht="8.649999618530273" customHeight="1"/>
    <x:row r="609" ht="8.649999618530273" customHeight="1"/>
    <x:row r="610" ht="8.649999618530273" customHeight="1"/>
    <x:row r="611" ht="8.649999618530273" customHeight="1"/>
    <x:row r="612" ht="8.649999618530273" customHeight="1"/>
    <x:row r="613" ht="8.649999618530273" customHeight="1"/>
    <x:row r="614" ht="8.649999618530273" customHeight="1"/>
    <x:row r="615" ht="8.649999618530273" customHeight="1"/>
    <x:row r="616" ht="8.649999618530273" customHeight="1"/>
    <x:row r="617" ht="8.649999618530273" customHeight="1"/>
    <x:row r="618" ht="8.649999618530273" customHeight="1"/>
    <x:row r="619" ht="8.649999618530273" customHeight="1"/>
    <x:row r="620" ht="8.649999618530273" customHeight="1"/>
    <x:row r="621" ht="8.649999618530273" customHeight="1"/>
    <x:row r="622" ht="8.649999618530273" customHeight="1"/>
    <x:row r="623" ht="8.649999618530273" customHeight="1"/>
    <x:row r="624" ht="8.649999618530273" customHeight="1"/>
    <x:row r="625" ht="8.649999618530273" customHeight="1"/>
    <x:row r="626" ht="8.649999618530273" customHeight="1"/>
    <x:row r="627" ht="8.649999618530273" customHeight="1"/>
    <x:row r="628" ht="8.649999618530273" customHeight="1"/>
    <x:row r="629" ht="8.649999618530273" customHeight="1"/>
    <x:row r="630" ht="8.649999618530273" customHeight="1"/>
    <x:row r="631" ht="8.649999618530273" customHeight="1"/>
    <x:row r="632" ht="8.649999618530273" customHeight="1"/>
    <x:row r="633" ht="8.649999618530273" customHeight="1"/>
    <x:row r="634" ht="8.649999618530273" customHeight="1"/>
    <x:row r="635" ht="8.649999618530273" customHeight="1"/>
    <x:row r="636" ht="8.649999618530273" customHeight="1"/>
    <x:row r="637" ht="8.649999618530273" customHeight="1"/>
    <x:row r="638" ht="8.649999618530273" customHeight="1"/>
    <x:row r="639" ht="8.649999618530273" customHeight="1"/>
    <x:row r="640" ht="8.649999618530273" customHeight="1"/>
    <x:row r="641" ht="8.649999618530273" customHeight="1"/>
    <x:row r="642" ht="8.649999618530273" customHeight="1"/>
    <x:row r="643" ht="8.649999618530273" customHeight="1"/>
    <x:row r="644" ht="8.649999618530273" customHeight="1"/>
    <x:row r="645" ht="8.649999618530273" customHeight="1"/>
    <x:row r="646" ht="8.649999618530273" customHeight="1"/>
    <x:row r="647" ht="8.649999618530273" customHeight="1"/>
    <x:row r="648" ht="8.649999618530273" customHeight="1"/>
    <x:row r="649" ht="8.649999618530273" customHeight="1"/>
    <x:row r="650" ht="8.649999618530273" customHeight="1"/>
    <x:row r="651" ht="8.649999618530273" customHeight="1"/>
    <x:row r="652" ht="8.649999618530273" customHeight="1"/>
    <x:row r="653" ht="8.649999618530273" customHeight="1"/>
    <x:row r="654" ht="8.649999618530273" customHeight="1"/>
    <x:row r="655" ht="8.649999618530273" customHeight="1"/>
    <x:row r="656" ht="8.649999618530273" customHeight="1"/>
    <x:row r="657" ht="8.649999618530273" customHeight="1"/>
    <x:row r="658" ht="8.649999618530273" customHeight="1"/>
    <x:row r="659" ht="8.649999618530273" customHeight="1"/>
    <x:row r="660" ht="8.649999618530273" customHeight="1"/>
    <x:row r="661" ht="8.649999618530273" customHeight="1"/>
    <x:row r="662" ht="8.649999618530273" customHeight="1"/>
    <x:row r="663" ht="8.649999618530273" customHeight="1"/>
    <x:row r="664" ht="8.649999618530273" customHeight="1"/>
    <x:row r="665" ht="8.649999618530273" customHeight="1"/>
    <x:row r="666" ht="8.649999618530273" customHeight="1"/>
    <x:row r="667" ht="8.649999618530273" customHeight="1"/>
    <x:row r="668" ht="8.649999618530273" customHeight="1"/>
    <x:row r="669" ht="8.649999618530273" customHeight="1"/>
    <x:row r="670" ht="8.649999618530273" customHeight="1"/>
    <x:row r="671" ht="8.649999618530273" customHeight="1"/>
    <x:row r="672" ht="8.649999618530273" customHeight="1"/>
    <x:row r="673" ht="8.649999618530273" customHeight="1"/>
    <x:row r="674" ht="8.649999618530273" customHeight="1"/>
    <x:row r="675" ht="8.649999618530273" customHeight="1"/>
    <x:row r="676" ht="8.649999618530273" customHeight="1"/>
    <x:row r="677" ht="8.649999618530273" customHeight="1"/>
    <x:row r="678" ht="8.649999618530273" customHeight="1"/>
    <x:row r="679" ht="8.649999618530273" customHeight="1"/>
    <x:row r="680" ht="8.649999618530273" customHeight="1"/>
    <x:row r="681" ht="8.649999618530273" customHeight="1"/>
    <x:row r="682" ht="8.649999618530273" customHeight="1"/>
    <x:row r="683" ht="8.649999618530273" customHeight="1"/>
    <x:row r="684" ht="8.649999618530273" customHeight="1"/>
    <x:row r="685" ht="8.649999618530273" customHeight="1"/>
    <x:row r="686" ht="8.649999618530273" customHeight="1"/>
    <x:row r="687" ht="8.649999618530273" customHeight="1"/>
    <x:row r="688" ht="8.649999618530273" customHeight="1"/>
    <x:row r="689" ht="8.649999618530273" customHeight="1"/>
    <x:row r="690" ht="8.649999618530273" customHeight="1"/>
    <x:row r="691" ht="8.649999618530273" customHeight="1"/>
    <x:row r="692" ht="8.649999618530273" customHeight="1"/>
    <x:row r="693" ht="8.649999618530273" customHeight="1"/>
    <x:row r="694" ht="8.649999618530273" customHeight="1"/>
    <x:row r="695" ht="8.649999618530273" customHeight="1"/>
    <x:row r="696" ht="8.649999618530273" customHeight="1"/>
    <x:row r="697" ht="8.649999618530273" customHeight="1"/>
    <x:row r="698" ht="8.649999618530273" customHeight="1"/>
    <x:row r="699" ht="8.649999618530273" customHeight="1"/>
    <x:row r="700" ht="8.649999618530273" customHeight="1"/>
    <x:row r="701" ht="8.649999618530273" customHeight="1"/>
    <x:row r="702" ht="8.649999618530273" customHeight="1"/>
    <x:row r="703" ht="8.649999618530273" customHeight="1"/>
    <x:row r="704" ht="8.649999618530273" customHeight="1"/>
    <x:row r="705" ht="8.649999618530273" customHeight="1"/>
    <x:row r="706" ht="8.649999618530273" customHeight="1"/>
    <x:row r="707" ht="8.649999618530273" customHeight="1"/>
    <x:row r="708" ht="8.649999618530273" customHeight="1"/>
    <x:row r="709" ht="8.649999618530273" customHeight="1"/>
    <x:row r="710" ht="8.649999618530273" customHeight="1"/>
    <x:row r="711" ht="8.649999618530273" customHeight="1"/>
    <x:row r="712" ht="8.649999618530273" customHeight="1"/>
    <x:row r="713" ht="8.649999618530273" customHeight="1"/>
    <x:row r="714" ht="8.649999618530273" customHeight="1"/>
    <x:row r="715" ht="8.649999618530273" customHeight="1"/>
    <x:row r="716" ht="8.649999618530273" customHeight="1"/>
    <x:row r="717" ht="8.649999618530273" customHeight="1"/>
    <x:row r="718" ht="8.649999618530273" customHeight="1"/>
    <x:row r="719" ht="8.649999618530273" customHeight="1"/>
    <x:row r="720" ht="8.649999618530273" customHeight="1"/>
    <x:row r="721" ht="8.649999618530273" customHeight="1"/>
    <x:row r="722" ht="8.649999618530273" customHeight="1"/>
    <x:row r="723" ht="8.649999618530273" customHeight="1"/>
    <x:row r="724" ht="8.649999618530273" customHeight="1"/>
    <x:row r="725" ht="8.649999618530273" customHeight="1"/>
    <x:row r="726" ht="8.649999618530273" customHeight="1"/>
    <x:row r="727" ht="8.649999618530273" customHeight="1"/>
    <x:row r="728" ht="8.649999618530273" customHeight="1"/>
    <x:row r="729" ht="8.649999618530273" customHeight="1"/>
    <x:row r="730" ht="8.649999618530273" customHeight="1"/>
    <x:row r="731" ht="8.649999618530273" customHeight="1"/>
    <x:row r="732" ht="8.649999618530273" customHeight="1"/>
    <x:row r="733" ht="8.649999618530273" customHeight="1"/>
    <x:row r="734" ht="8.649999618530273" customHeight="1"/>
    <x:row r="735" ht="8.649999618530273" customHeight="1"/>
    <x:row r="736" ht="8.649999618530273" customHeight="1"/>
    <x:row r="737" ht="8.649999618530273" customHeight="1"/>
    <x:row r="738" ht="8.649999618530273" customHeight="1"/>
    <x:row r="739" ht="8.649999618530273" customHeight="1"/>
    <x:row r="740" ht="8.649999618530273" customHeight="1"/>
    <x:row r="741" ht="8.649999618530273" customHeight="1"/>
    <x:row r="742" ht="8.649999618530273" customHeight="1"/>
    <x:row r="743" ht="8.649999618530273" customHeight="1"/>
    <x:row r="744" ht="8.649999618530273" customHeight="1"/>
    <x:row r="745" ht="8.649999618530273" customHeight="1"/>
    <x:row r="746" ht="8.649999618530273" customHeight="1"/>
    <x:row r="747" ht="8.649999618530273" customHeight="1"/>
    <x:row r="748" ht="8.649999618530273" customHeight="1"/>
    <x:row r="749" ht="8.649999618530273" customHeight="1"/>
    <x:row r="750" ht="8.649999618530273" customHeight="1"/>
    <x:row r="751" ht="8.649999618530273" customHeight="1"/>
    <x:row r="752" ht="8.649999618530273" customHeight="1"/>
    <x:row r="753" ht="8.649999618530273" customHeight="1"/>
    <x:row r="754" ht="8.649999618530273" customHeight="1"/>
    <x:row r="755" ht="8.649999618530273" customHeight="1"/>
    <x:row r="756" ht="8.649999618530273" customHeight="1"/>
    <x:row r="757" ht="8.649999618530273" customHeight="1"/>
    <x:row r="758" ht="8.649999618530273" customHeight="1"/>
    <x:row r="759" ht="8.649999618530273" customHeight="1"/>
    <x:row r="760" ht="8.649999618530273" customHeight="1"/>
    <x:row r="761" ht="8.649999618530273" customHeight="1"/>
    <x:row r="762" ht="8.649999618530273" customHeight="1"/>
    <x:row r="763" ht="8.649999618530273" customHeight="1"/>
    <x:row r="764" ht="8.649999618530273" customHeight="1"/>
    <x:row r="765" ht="8.649999618530273" customHeight="1"/>
    <x:row r="766" ht="8.649999618530273" customHeight="1"/>
    <x:row r="767" ht="8.649999618530273" customHeight="1"/>
    <x:row r="768" ht="8.649999618530273" customHeight="1"/>
    <x:row r="769" ht="8.649999618530273" customHeight="1"/>
    <x:row r="770" ht="8.649999618530273" customHeight="1"/>
    <x:row r="771" ht="8.649999618530273" customHeight="1"/>
    <x:row r="772" ht="8.649999618530273" customHeight="1"/>
    <x:row r="773" ht="8.649999618530273" customHeight="1"/>
    <x:row r="774" ht="8.649999618530273" customHeight="1"/>
    <x:row r="775" ht="8.649999618530273" customHeight="1"/>
    <x:row r="776" ht="8.649999618530273" customHeight="1"/>
    <x:row r="777" ht="8.649999618530273" customHeight="1"/>
    <x:row r="778" ht="8.649999618530273" customHeight="1"/>
    <x:row r="779" ht="8.649999618530273" customHeight="1"/>
    <x:row r="780" ht="8.649999618530273" customHeight="1"/>
    <x:row r="781" ht="8.649999618530273" customHeight="1"/>
    <x:row r="782" ht="8.649999618530273" customHeight="1"/>
    <x:row r="783" ht="8.649999618530273" customHeight="1"/>
    <x:row r="784" ht="8.649999618530273" customHeight="1"/>
    <x:row r="785" ht="8.649999618530273" customHeight="1"/>
    <x:row r="786" ht="8.649999618530273" customHeight="1"/>
    <x:row r="787" ht="8.649999618530273" customHeight="1"/>
    <x:row r="788" ht="8.649999618530273" customHeight="1"/>
    <x:row r="789" ht="8.649999618530273" customHeight="1"/>
    <x:row r="790" ht="8.649999618530273" customHeight="1"/>
    <x:row r="791" ht="8.649999618530273" customHeight="1"/>
    <x:row r="792" ht="8.649999618530273" customHeight="1"/>
    <x:row r="793" ht="8.649999618530273" customHeight="1"/>
    <x:row r="794" ht="8.649999618530273" customHeight="1"/>
    <x:row r="795" ht="8.649999618530273" customHeight="1"/>
    <x:row r="796" ht="8.649999618530273" customHeight="1"/>
    <x:row r="797" ht="8.649999618530273" customHeight="1"/>
    <x:row r="798" ht="8.649999618530273" customHeight="1"/>
    <x:row r="799" ht="8.649999618530273" customHeight="1"/>
    <x:row r="800" ht="8.649999618530273" customHeight="1"/>
    <x:row r="801" ht="8.649999618530273" customHeight="1"/>
    <x:row r="802" ht="8.649999618530273" customHeight="1"/>
    <x:row r="803" ht="8.649999618530273" customHeight="1"/>
    <x:row r="804" ht="8.649999618530273" customHeight="1"/>
    <x:row r="805" ht="8.649999618530273" customHeight="1"/>
    <x:row r="806" ht="8.649999618530273" customHeight="1"/>
    <x:row r="807" ht="8.649999618530273" customHeight="1"/>
    <x:row r="808" ht="8.649999618530273" customHeight="1"/>
    <x:row r="809" ht="8.649999618530273" customHeight="1"/>
    <x:row r="810" ht="8.649999618530273" customHeight="1"/>
    <x:row r="811" ht="8.649999618530273" customHeight="1"/>
    <x:row r="812" ht="8.649999618530273" customHeight="1"/>
    <x:row r="813" ht="8.649999618530273" customHeight="1"/>
    <x:row r="814" ht="8.649999618530273" customHeight="1"/>
    <x:row r="815" ht="8.649999618530273" customHeight="1"/>
    <x:row r="816" ht="8.649999618530273" customHeight="1"/>
    <x:row r="817" ht="8.649999618530273" customHeight="1"/>
    <x:row r="818" ht="8.649999618530273" customHeight="1"/>
    <x:row r="819" ht="8.649999618530273" customHeight="1"/>
    <x:row r="820" ht="8.649999618530273" customHeight="1"/>
    <x:row r="821" ht="8.649999618530273" customHeight="1"/>
    <x:row r="822" ht="8.649999618530273" customHeight="1"/>
    <x:row r="823" ht="8.649999618530273" customHeight="1"/>
    <x:row r="824" ht="8.649999618530273" customHeight="1"/>
    <x:row r="825" ht="8.649999618530273" customHeight="1"/>
    <x:row r="826" ht="8.649999618530273" customHeight="1"/>
    <x:row r="827" ht="8.649999618530273" customHeight="1"/>
    <x:row r="828" ht="8.649999618530273" customHeight="1"/>
    <x:row r="829" ht="8.649999618530273" customHeight="1"/>
    <x:row r="830" ht="8.649999618530273" customHeight="1"/>
    <x:row r="831" ht="8.649999618530273" customHeight="1"/>
    <x:row r="832" ht="8.649999618530273" customHeight="1"/>
    <x:row r="833" ht="8.649999618530273" customHeight="1"/>
    <x:row r="834" ht="8.649999618530273" customHeight="1"/>
    <x:row r="835" ht="8.649999618530273" customHeight="1"/>
    <x:row r="836" ht="8.649999618530273" customHeight="1"/>
    <x:row r="837" ht="8.649999618530273" customHeight="1"/>
    <x:row r="838" ht="8.649999618530273" customHeight="1"/>
    <x:row r="839" ht="8.649999618530273" customHeight="1"/>
    <x:row r="840" ht="8.649999618530273" customHeight="1"/>
    <x:row r="841" ht="8.649999618530273" customHeight="1"/>
    <x:row r="842" ht="8.649999618530273" customHeight="1"/>
    <x:row r="843" ht="8.649999618530273" customHeight="1"/>
    <x:row r="844" ht="8.649999618530273" customHeight="1"/>
    <x:row r="845" ht="8.649999618530273" customHeight="1"/>
    <x:row r="846" ht="8.649999618530273" customHeight="1"/>
    <x:row r="847" ht="8.649999618530273" customHeight="1"/>
    <x:row r="848" ht="8.649999618530273" customHeight="1"/>
    <x:row r="849" ht="8.649999618530273" customHeight="1"/>
    <x:row r="850" ht="8.649999618530273" customHeight="1"/>
    <x:row r="851" ht="8.649999618530273" customHeight="1"/>
    <x:row r="852" ht="8.649999618530273" customHeight="1"/>
    <x:row r="853" ht="8.649999618530273" customHeight="1"/>
    <x:row r="854" ht="8.649999618530273" customHeight="1"/>
    <x:row r="855" ht="8.649999618530273" customHeight="1"/>
    <x:row r="856" ht="8.649999618530273" customHeight="1"/>
    <x:row r="857" ht="8.649999618530273" customHeight="1"/>
    <x:row r="858" ht="8.649999618530273" customHeight="1"/>
    <x:row r="859" ht="8.649999618530273" customHeight="1"/>
    <x:row r="860" ht="8.649999618530273" customHeight="1"/>
    <x:row r="861" ht="8.649999618530273" customHeight="1"/>
    <x:row r="862" ht="8.649999618530273" customHeight="1"/>
    <x:row r="863" ht="8.649999618530273" customHeight="1"/>
    <x:row r="864" ht="8.649999618530273" customHeight="1"/>
    <x:row r="865" ht="8.649999618530273" customHeight="1"/>
    <x:row r="866" ht="8.649999618530273" customHeight="1"/>
    <x:row r="867" ht="8.649999618530273" customHeight="1"/>
    <x:row r="868" ht="8.649999618530273" customHeight="1"/>
    <x:row r="869" ht="8.649999618530273" customHeight="1"/>
    <x:row r="870" ht="8.649999618530273" customHeight="1"/>
    <x:row r="871" ht="8.649999618530273" customHeight="1"/>
    <x:row r="872" ht="8.649999618530273" customHeight="1"/>
    <x:row r="873" ht="8.649999618530273" customHeight="1"/>
    <x:row r="874" ht="8.649999618530273" customHeight="1"/>
    <x:row r="875" ht="8.649999618530273" customHeight="1"/>
    <x:row r="876" ht="8.649999618530273" customHeight="1"/>
    <x:row r="877" ht="8.649999618530273" customHeight="1"/>
    <x:row r="878" ht="8.649999618530273" customHeight="1"/>
    <x:row r="879" ht="8.649999618530273" customHeight="1"/>
    <x:row r="880" ht="8.649999618530273" customHeight="1"/>
    <x:row r="881" ht="8.649999618530273" customHeight="1"/>
    <x:row r="882" ht="8.649999618530273" customHeight="1"/>
    <x:row r="883" ht="8.649999618530273" customHeight="1"/>
    <x:row r="884" ht="8.649999618530273" customHeight="1"/>
    <x:row r="885" ht="8.649999618530273" customHeight="1"/>
    <x:row r="886" ht="8.649999618530273" customHeight="1"/>
    <x:row r="887" ht="8.649999618530273" customHeight="1"/>
    <x:row r="888" ht="8.649999618530273" customHeight="1"/>
    <x:row r="889" ht="8.649999618530273" customHeight="1"/>
    <x:row r="890" ht="8.649999618530273" customHeight="1"/>
    <x:row r="891" ht="8.649999618530273" customHeight="1"/>
    <x:row r="892" ht="8.649999618530273" customHeight="1"/>
    <x:row r="893" ht="8.649999618530273" customHeight="1"/>
    <x:row r="894" ht="8.649999618530273" customHeight="1"/>
    <x:row r="895" ht="8.649999618530273" customHeight="1"/>
    <x:row r="896" ht="8.649999618530273" customHeight="1"/>
    <x:row r="897" ht="8.649999618530273" customHeight="1"/>
    <x:row r="898" ht="8.649999618530273" customHeight="1"/>
    <x:row r="899" ht="8.649999618530273" customHeight="1"/>
    <x:row r="900" ht="8.649999618530273" customHeight="1"/>
    <x:row r="901" ht="8.649999618530273" customHeight="1"/>
    <x:row r="902" ht="8.649999618530273" customHeight="1"/>
    <x:row r="903" ht="8.649999618530273" customHeight="1"/>
    <x:row r="904" ht="8.649999618530273" customHeight="1"/>
    <x:row r="905" ht="8.649999618530273" customHeight="1"/>
    <x:row r="906" ht="8.649999618530273" customHeight="1"/>
    <x:row r="907" ht="8.649999618530273" customHeight="1"/>
    <x:row r="908" ht="8.649999618530273" customHeight="1"/>
    <x:row r="909" ht="8.649999618530273" customHeight="1"/>
    <x:row r="910" ht="8.649999618530273" customHeight="1"/>
    <x:row r="911" ht="8.649999618530273" customHeight="1"/>
    <x:row r="912" ht="8.649999618530273" customHeight="1"/>
    <x:row r="913" ht="8.649999618530273" customHeight="1"/>
    <x:row r="914" ht="8.649999618530273" customHeight="1"/>
    <x:row r="915" ht="8.649999618530273" customHeight="1"/>
    <x:row r="916" ht="8.649999618530273" customHeight="1"/>
    <x:row r="917" ht="8.649999618530273" customHeight="1"/>
    <x:row r="918" ht="8.649999618530273" customHeight="1"/>
    <x:row r="919" ht="8.649999618530273" customHeight="1"/>
    <x:row r="920" ht="8.649999618530273" customHeight="1"/>
    <x:row r="921" ht="8.649999618530273" customHeight="1"/>
    <x:row r="922" ht="8.649999618530273" customHeight="1"/>
    <x:row r="923" ht="8.649999618530273" customHeight="1"/>
    <x:row r="924" ht="8.649999618530273" customHeight="1"/>
    <x:row r="925" ht="8.649999618530273" customHeight="1"/>
    <x:row r="926" ht="8.649999618530273" customHeight="1"/>
    <x:row r="927" ht="8.649999618530273" customHeight="1"/>
    <x:row r="928" ht="8.649999618530273" customHeight="1"/>
    <x:row r="929" ht="8.649999618530273" customHeight="1"/>
    <x:row r="930" ht="8.649999618530273" customHeight="1"/>
    <x:row r="931" ht="8.649999618530273" customHeight="1"/>
    <x:row r="932" ht="8.649999618530273" customHeight="1"/>
    <x:row r="933" ht="8.649999618530273" customHeight="1"/>
    <x:row r="934" ht="8.649999618530273" customHeight="1"/>
    <x:row r="935" ht="8.649999618530273" customHeight="1"/>
    <x:row r="936" ht="8.649999618530273" customHeight="1"/>
    <x:row r="937" ht="8.649999618530273" customHeight="1"/>
    <x:row r="938" ht="8.649999618530273" customHeight="1"/>
    <x:row r="939" ht="8.649999618530273" customHeight="1"/>
    <x:row r="940" ht="8.649999618530273" customHeight="1"/>
    <x:row r="941" ht="8.649999618530273" customHeight="1"/>
    <x:row r="942" ht="8.649999618530273" customHeight="1"/>
    <x:row r="943" ht="8.649999618530273" customHeight="1"/>
    <x:row r="944" ht="8.649999618530273" customHeight="1"/>
    <x:row r="945" ht="8.649999618530273" customHeight="1"/>
    <x:row r="946" ht="8.649999618530273" customHeight="1"/>
    <x:row r="947" ht="8.649999618530273" customHeight="1"/>
    <x:row r="948" ht="8.649999618530273" customHeight="1"/>
    <x:row r="949" ht="8.649999618530273" customHeight="1"/>
    <x:row r="950" ht="8.649999618530273" customHeight="1"/>
    <x:row r="951" ht="8.649999618530273" customHeight="1"/>
    <x:row r="952" ht="8.649999618530273" customHeight="1"/>
    <x:row r="953" ht="8.649999618530273" customHeight="1"/>
    <x:row r="954" ht="8.649999618530273" customHeight="1"/>
    <x:row r="955" ht="8.649999618530273" customHeight="1"/>
    <x:row r="956" ht="8.649999618530273" customHeight="1"/>
    <x:row r="957" ht="8.649999618530273" customHeight="1"/>
    <x:row r="958" ht="8.649999618530273" customHeight="1"/>
    <x:row r="959" ht="8.649999618530273" customHeight="1"/>
    <x:row r="960" ht="8.649999618530273" customHeight="1"/>
    <x:row r="961" ht="8.649999618530273" customHeight="1"/>
    <x:row r="962" ht="8.649999618530273" customHeight="1"/>
    <x:row r="963" ht="8.649999618530273" customHeight="1"/>
    <x:row r="964" ht="8.649999618530273" customHeight="1"/>
    <x:row r="965" ht="8.649999618530273" customHeight="1"/>
    <x:row r="966" ht="8.649999618530273" customHeight="1"/>
    <x:row r="967" ht="8.649999618530273" customHeight="1"/>
    <x:row r="968" ht="8.649999618530273" customHeight="1"/>
    <x:row r="969" ht="8.649999618530273" customHeight="1"/>
    <x:row r="970" ht="8.649999618530273" customHeight="1"/>
    <x:row r="971" ht="8.649999618530273" customHeight="1"/>
    <x:row r="972" ht="8.649999618530273" customHeight="1"/>
    <x:row r="973" ht="8.649999618530273" customHeight="1"/>
    <x:row r="974" ht="8.649999618530273" customHeight="1"/>
  </x:sheetData>
  <x:mergeCells>
    <x:mergeCell ref="E12:BM12"/>
    <x:mergeCell ref="B2:D2"/>
    <x:mergeCell ref="B4:C4"/>
    <x:mergeCell ref="B6:M8"/>
    <x:mergeCell ref="D4:I4"/>
    <x:mergeCell ref="B12:D12"/>
    <x:mergeCell ref="B72:C72"/>
    <x:mergeCell ref="C81:M81"/>
    <x:mergeCell ref="C82:M82"/>
    <x:mergeCell ref="C83:M83"/>
    <x:mergeCell ref="E30:BM30"/>
    <x:mergeCell ref="B30:D30"/>
    <x:mergeCell ref="C59:K59"/>
  </x:mergeCells>
  <x:conditionalFormatting sqref="E13:BL13">
    <x:cfRule type="expression" dxfId="0" priority="1">
      <x:formula>COLUMN()-COLUMN($E$13)+1&gt;VALUE(LEFT($C$11,2))</x:formula>
    </x:cfRule>
  </x:conditionalFormatting>
  <x:pageMargins left="0.7" right="0.7" top="0.75" bottom="0.75" header="0.3" footer="0.3"/>
</x:worksheet>
</file>

<file path=xl/worksheets/sheet4.xml><?xml version="1.0" encoding="utf-8"?>
<x:worksheet xmlns:x="http://schemas.openxmlformats.org/spreadsheetml/2006/main">
  <x:sheetFormatPr defaultColWidth="4.375" defaultRowHeight="15.75"/>
  <x:cols>
    <x:col min="1" max="1" width="4.375" style="173" customWidth="0"/>
    <x:col min="2" max="2" width="152.5" style="179" customWidth="1"/>
    <x:col min="3" max="16384" width="4.375" style="173" customWidth="0"/>
  </x:cols>
  <x:sheetData>
    <x:row r="1">
      <x:c r="B1" s="172" t="s">
        <x:v>226</x:v>
      </x:c>
    </x:row>
    <x:row r="2">
      <x:c r="B2" s="172" t="s">
        <x:v>227</x:v>
      </x:c>
    </x:row>
    <x:row r="3">
      <x:c r="B3" s="174" t="s">
        <x:v>228</x:v>
      </x:c>
    </x:row>
    <x:row r="4">
      <x:c r="B4" s="174" t="s">
        <x:v>229</x:v>
      </x:c>
    </x:row>
    <x:row r="5">
      <x:c r="B5" s="172" t="s">
        <x:v>230</x:v>
      </x:c>
    </x:row>
    <x:row r="6">
      <x:c r="B6" s="173"/>
    </x:row>
    <x:row r="7">
      <x:c r="B7" s="179" t="s">
        <x:v>231</x:v>
      </x:c>
    </x:row>
    <x:row r="8">
      <x:c r="B8" s="174"/>
    </x:row>
    <x:row r="9">
      <x:c r="B9" s="174" t="s">
        <x:v>232</x:v>
      </x:c>
    </x:row>
    <x:row r="10">
      <x:c r="B10" s="174" t="s">
        <x:v>233</x:v>
      </x:c>
    </x:row>
    <x:row r="11">
      <x:c r="B11" s="174" t="s">
        <x:v>234</x:v>
      </x:c>
    </x:row>
    <x:row r="12">
      <x:c r="B12" s="174" t="s">
        <x:v>235</x:v>
      </x:c>
    </x:row>
    <x:row r="13">
      <x:c r="B13" s="174"/>
    </x:row>
    <x:row r="14" ht="31.5">
      <x:c r="B14" s="174" t="s">
        <x:v>236</x:v>
      </x:c>
    </x:row>
    <x:row r="15">
      <x:c r="B15" s="173"/>
    </x:row>
    <x:row r="16" ht="31.5">
      <x:c r="B16" s="179" t="s">
        <x:v>237</x:v>
      </x:c>
    </x:row>
    <x:row r="17">
      <x:c r="B17" s="174"/>
    </x:row>
    <x:row r="18">
      <x:c r="B18" s="172" t="s">
        <x:v>238</x:v>
      </x:c>
    </x:row>
    <x:row r="19">
      <x:c r="B19" s="174"/>
    </x:row>
    <x:row r="20">
      <x:c r="B20" s="174" t="s">
        <x:v>239</x:v>
      </x:c>
    </x:row>
    <x:row r="21">
      <x:c r="B21" s="174"/>
    </x:row>
    <x:row r="22">
      <x:c r="B22" s="174" t="s">
        <x:v>240</x:v>
      </x:c>
    </x:row>
    <x:row r="23">
      <x:c r="B23" s="174"/>
    </x:row>
    <x:row r="24">
      <x:c r="B24" s="172" t="s">
        <x:v>241</x:v>
      </x:c>
    </x:row>
    <x:row r="25">
      <x:c r="B25" s="174"/>
    </x:row>
    <x:row r="26">
      <x:c r="B26" s="174" t="s">
        <x:v>242</x:v>
      </x:c>
    </x:row>
    <x:row r="27">
      <x:c r="B27" s="174"/>
    </x:row>
    <x:row r="28">
      <x:c r="B28" s="174" t="s">
        <x:v>243</x:v>
      </x:c>
    </x:row>
    <x:row r="29">
      <x:c r="B29" s="174" t="s">
        <x:v>244</x:v>
      </x:c>
    </x:row>
    <x:row r="30">
      <x:c r="B30" s="174" t="s">
        <x:v>245</x:v>
      </x:c>
    </x:row>
    <x:row r="31">
      <x:c r="B31" s="174" t="s">
        <x:v>246</x:v>
      </x:c>
    </x:row>
    <x:row r="32">
      <x:c r="B32" s="174" t="s">
        <x:v>247</x:v>
      </x:c>
    </x:row>
    <x:row r="33">
      <x:c r="B33" s="174" t="s">
        <x:v>248</x:v>
      </x:c>
    </x:row>
    <x:row r="34">
      <x:c r="B34" s="174"/>
    </x:row>
    <x:row r="35">
      <x:c r="B35" s="174" t="s">
        <x:v>249</x:v>
      </x:c>
    </x:row>
    <x:row r="36" ht="31.5">
      <x:c r="B36" s="174" t="s">
        <x:v>250</x:v>
      </x:c>
    </x:row>
    <x:row r="37">
      <x:c r="B37" s="174" t="s">
        <x:v>251</x:v>
      </x:c>
    </x:row>
    <x:row r="38">
      <x:c r="B38" s="174"/>
    </x:row>
    <x:row r="39">
      <x:c r="B39" s="174" t="s">
        <x:v>252</x:v>
      </x:c>
    </x:row>
    <x:row r="40">
      <x:c r="B40" s="174"/>
    </x:row>
    <x:row r="41">
      <x:c r="B41" s="174" t="s">
        <x:v>253</x:v>
      </x:c>
    </x:row>
    <x:row r="42">
      <x:c r="B42" s="174"/>
    </x:row>
    <x:row r="43">
      <x:c r="B43" s="174" t="s">
        <x:v>254</x:v>
      </x:c>
    </x:row>
    <x:row r="44">
      <x:c r="B44" s="174"/>
    </x:row>
    <x:row r="45">
      <x:c r="B45" s="172" t="s">
        <x:v>255</x:v>
      </x:c>
    </x:row>
    <x:row r="46">
      <x:c r="B46" s="174"/>
    </x:row>
    <x:row r="47" ht="31.5">
      <x:c r="B47" s="174" t="s">
        <x:v>256</x:v>
      </x:c>
    </x:row>
    <x:row r="48">
      <x:c r="B48" s="174"/>
    </x:row>
    <x:row r="49">
      <x:c r="B49" s="172" t="s">
        <x:v>257</x:v>
      </x:c>
    </x:row>
    <x:row r="50">
      <x:c r="B50" s="174"/>
    </x:row>
    <x:row r="51">
      <x:c r="B51" s="174" t="s">
        <x:v>258</x:v>
      </x:c>
    </x:row>
    <x:row r="52" ht="31.5">
      <x:c r="B52" s="174" t="s">
        <x:v>259</x:v>
      </x:c>
    </x:row>
    <x:row r="53">
      <x:c r="B53" s="174" t="s">
        <x:v>260</x:v>
      </x:c>
    </x:row>
    <x:row r="54">
      <x:c r="B54" s="174" t="s">
        <x:v>261</x:v>
      </x:c>
    </x:row>
    <x:row r="55">
      <x:c r="B55" s="174" t="s">
        <x:v>262</x:v>
      </x:c>
    </x:row>
    <x:row r="56">
      <x:c r="B56" s="174" t="s">
        <x:v>263</x:v>
      </x:c>
    </x:row>
    <x:row r="57">
      <x:c r="B57" s="174" t="s">
        <x:v>264</x:v>
      </x:c>
    </x:row>
    <x:row r="58">
      <x:c r="B58" s="174" t="s">
        <x:v>265</x:v>
      </x:c>
    </x:row>
    <x:row r="59">
      <x:c r="B59" s="174" t="s">
        <x:v>266</x:v>
      </x:c>
    </x:row>
    <x:row r="60">
      <x:c r="B60" s="174" t="s">
        <x:v>267</x:v>
      </x:c>
    </x:row>
    <x:row r="61">
      <x:c r="B61" s="174" t="s">
        <x:v>268</x:v>
      </x:c>
    </x:row>
    <x:row r="62">
      <x:c r="B62" s="174" t="s">
        <x:v>269</x:v>
      </x:c>
    </x:row>
    <x:row r="63">
      <x:c r="B63" s="174" t="s">
        <x:v>270</x:v>
      </x:c>
    </x:row>
    <x:row r="64">
      <x:c r="B64" s="174" t="s">
        <x:v>271</x:v>
      </x:c>
    </x:row>
    <x:row r="65">
      <x:c r="B65" s="174"/>
    </x:row>
    <x:row r="66">
      <x:c r="B66" s="172" t="s">
        <x:v>272</x:v>
      </x:c>
    </x:row>
    <x:row r="67">
      <x:c r="B67" s="174"/>
    </x:row>
    <x:row r="68">
      <x:c r="B68" s="174" t="s">
        <x:v>273</x:v>
      </x:c>
    </x:row>
    <x:row r="69">
      <x:c r="B69" s="174" t="s">
        <x:v>274</x:v>
      </x:c>
    </x:row>
    <x:row r="70">
      <x:c r="B70" s="174" t="s">
        <x:v>275</x:v>
      </x:c>
    </x:row>
    <x:row r="71">
      <x:c r="B71" s="174"/>
    </x:row>
    <x:row r="72">
      <x:c r="B72" s="172" t="s">
        <x:v>276</x:v>
      </x:c>
    </x:row>
    <x:row r="73">
      <x:c r="B73" s="174"/>
    </x:row>
    <x:row r="74">
      <x:c r="B74" s="174" t="s">
        <x:v>277</x:v>
      </x:c>
    </x:row>
    <x:row r="75">
      <x:c r="B75" s="174"/>
    </x:row>
    <x:row r="76">
      <x:c r="B76" s="174" t="s">
        <x:v>278</x:v>
      </x:c>
    </x:row>
    <x:row r="77">
      <x:c r="B77" s="174"/>
    </x:row>
    <x:row r="78">
      <x:c r="B78" s="174" t="s">
        <x:v>279</x:v>
      </x:c>
    </x:row>
    <x:row r="79">
      <x:c r="B79" s="174"/>
    </x:row>
    <x:row r="80" ht="31.5">
      <x:c r="B80" s="174" t="s">
        <x:v>280</x:v>
      </x:c>
    </x:row>
    <x:row r="81">
      <x:c r="B81" s="174"/>
    </x:row>
    <x:row r="82" ht="31.5">
      <x:c r="B82" s="174" t="s">
        <x:v>281</x:v>
      </x:c>
    </x:row>
    <x:row r="83">
      <x:c r="B83" s="174"/>
    </x:row>
    <x:row r="84" ht="31.5">
      <x:c r="B84" s="174" t="s">
        <x:v>282</x:v>
      </x:c>
    </x:row>
    <x:row r="85">
      <x:c r="B85" s="174"/>
    </x:row>
    <x:row r="86">
      <x:c r="B86" s="172" t="s">
        <x:v>283</x:v>
      </x:c>
    </x:row>
    <x:row r="87">
      <x:c r="B87" s="174"/>
    </x:row>
    <x:row r="88">
      <x:c r="B88" s="174" t="s">
        <x:v>284</x:v>
      </x:c>
    </x:row>
    <x:row r="89">
      <x:c r="B89" s="174"/>
    </x:row>
    <x:row r="90">
      <x:c r="B90" s="172" t="s">
        <x:v>285</x:v>
      </x:c>
    </x:row>
    <x:row r="91">
      <x:c r="B91" s="174"/>
    </x:row>
    <x:row r="92" ht="31.5">
      <x:c r="B92" s="174" t="s">
        <x:v>286</x:v>
      </x:c>
    </x:row>
    <x:row r="93">
      <x:c r="B93" s="174" t="s">
        <x:v>287</x:v>
      </x:c>
    </x:row>
  </x:sheetData>
  <x:pageMargins left="0.7" right="0.7" top="0.75" bottom="0.75" header="0.3" footer="0.3"/>
</x:worksheet>
</file>

<file path=xl/worksheets/sheet5.xml><?xml version="1.0" encoding="utf-8"?>
<x:worksheet xmlns:x="http://schemas.openxmlformats.org/spreadsheetml/2006/main">
  <x:sheetFormatPr defaultColWidth="8.75" defaultRowHeight="15.75"/>
  <x:cols>
    <x:col min="1" max="1" width="8.75" style="173" customWidth="0"/>
    <x:col min="2" max="2" width="135.375" style="174" customWidth="1"/>
    <x:col min="3" max="16384" width="8.75" style="173" customWidth="0"/>
  </x:cols>
  <x:sheetData>
    <x:row r="1">
      <x:c r="B1" s="172" t="s">
        <x:v>226</x:v>
      </x:c>
    </x:row>
    <x:row r="2">
      <x:c r="B2" s="172" t="s">
        <x:v>288</x:v>
      </x:c>
    </x:row>
    <x:row r="3">
      <x:c r="B3" s="174" t="s">
        <x:v>228</x:v>
      </x:c>
    </x:row>
    <x:row r="4">
      <x:c r="B4" s="173" t="s">
        <x:v>229</x:v>
      </x:c>
    </x:row>
    <x:row r="5">
      <x:c r="B5" s="172" t="s">
        <x:v>230</x:v>
      </x:c>
    </x:row>
    <x:row r="6">
      <x:c r="B6" s="173"/>
    </x:row>
    <x:row r="7">
      <x:c r="B7" s="174" t="s">
        <x:v>289</x:v>
      </x:c>
    </x:row>
    <x:row r="8">
      <x:c r="B8" s="174" t="s">
        <x:v>290</x:v>
      </x:c>
    </x:row>
    <x:row r="9">
      <x:c r="B9" s="174" t="s">
        <x:v>291</x:v>
      </x:c>
    </x:row>
    <x:row r="10">
      <x:c r="B10" s="174" t="s">
        <x:v>292</x:v>
      </x:c>
    </x:row>
    <x:row r="11">
      <x:c r="B11" s="173"/>
    </x:row>
    <x:row r="12">
      <x:c r="B12" s="174" t="s">
        <x:v>293</x:v>
      </x:c>
    </x:row>
    <x:row r="13">
      <x:c r="B13" s="174" t="s">
        <x:v>294</x:v>
      </x:c>
    </x:row>
    <x:row r="14">
      <x:c r="B14" s="174" t="s">
        <x:v>295</x:v>
      </x:c>
    </x:row>
    <x:row r="15">
      <x:c r="B15" s="173"/>
    </x:row>
    <x:row r="16">
      <x:c r="B16" s="172" t="s">
        <x:v>238</x:v>
      </x:c>
    </x:row>
    <x:row r="17">
      <x:c r="B17" s="173"/>
    </x:row>
    <x:row r="18">
      <x:c r="B18" s="174" t="s">
        <x:v>296</x:v>
      </x:c>
    </x:row>
    <x:row r="19">
      <x:c r="B19" s="173"/>
    </x:row>
    <x:row r="20">
      <x:c r="B20" s="174" t="s">
        <x:v>297</x:v>
      </x:c>
    </x:row>
    <x:row r="21">
      <x:c r="B21" s="173"/>
    </x:row>
    <x:row r="22">
      <x:c r="B22" s="174" t="s">
        <x:v>298</x:v>
      </x:c>
    </x:row>
    <x:row r="23">
      <x:c r="B23" s="173"/>
    </x:row>
    <x:row r="24">
      <x:c r="B24" s="172" t="s">
        <x:v>241</x:v>
      </x:c>
    </x:row>
    <x:row r="25">
      <x:c r="B25" s="173"/>
    </x:row>
    <x:row r="26">
      <x:c r="B26" s="174" t="s">
        <x:v>242</x:v>
      </x:c>
    </x:row>
    <x:row r="27">
      <x:c r="B27" s="173"/>
    </x:row>
    <x:row r="28">
      <x:c r="B28" s="174" t="s">
        <x:v>243</x:v>
      </x:c>
    </x:row>
    <x:row r="29">
      <x:c r="B29" s="174" t="s">
        <x:v>244</x:v>
      </x:c>
    </x:row>
    <x:row r="30">
      <x:c r="B30" s="174" t="s">
        <x:v>245</x:v>
      </x:c>
    </x:row>
    <x:row r="31">
      <x:c r="B31" s="174" t="s">
        <x:v>246</x:v>
      </x:c>
    </x:row>
    <x:row r="32">
      <x:c r="B32" s="174" t="s">
        <x:v>247</x:v>
      </x:c>
    </x:row>
    <x:row r="33">
      <x:c r="B33" s="174" t="s">
        <x:v>248</x:v>
      </x:c>
    </x:row>
    <x:row r="35">
      <x:c r="B35" s="173" t="s">
        <x:v>249</x:v>
      </x:c>
    </x:row>
    <x:row r="36" ht="31.5">
      <x:c r="B36" s="174" t="s">
        <x:v>250</x:v>
      </x:c>
    </x:row>
    <x:row r="37" ht="31.5">
      <x:c r="B37" s="174" t="s">
        <x:v>251</x:v>
      </x:c>
    </x:row>
    <x:row r="39">
      <x:c r="B39" s="173" t="s">
        <x:v>252</x:v>
      </x:c>
    </x:row>
    <x:row r="41">
      <x:c r="B41" s="173" t="s">
        <x:v>253</x:v>
      </x:c>
    </x:row>
    <x:row r="43">
      <x:c r="B43" s="173" t="s">
        <x:v>299</x:v>
      </x:c>
    </x:row>
    <x:row r="45">
      <x:c r="B45" s="175" t="s">
        <x:v>255</x:v>
      </x:c>
    </x:row>
    <x:row r="47">
      <x:c r="B47" s="173" t="s">
        <x:v>300</x:v>
      </x:c>
    </x:row>
    <x:row r="49">
      <x:c r="B49" s="175" t="s">
        <x:v>257</x:v>
      </x:c>
    </x:row>
    <x:row r="51">
      <x:c r="B51" s="173" t="s">
        <x:v>258</x:v>
      </x:c>
    </x:row>
    <x:row r="52" ht="31.5">
      <x:c r="B52" s="174" t="s">
        <x:v>259</x:v>
      </x:c>
    </x:row>
    <x:row r="53">
      <x:c r="B53" s="174" t="s">
        <x:v>260</x:v>
      </x:c>
    </x:row>
    <x:row r="54">
      <x:c r="B54" s="174" t="s">
        <x:v>261</x:v>
      </x:c>
    </x:row>
    <x:row r="55">
      <x:c r="B55" s="174" t="s">
        <x:v>262</x:v>
      </x:c>
    </x:row>
    <x:row r="56">
      <x:c r="B56" s="174" t="s">
        <x:v>263</x:v>
      </x:c>
    </x:row>
    <x:row r="57">
      <x:c r="B57" s="174" t="s">
        <x:v>264</x:v>
      </x:c>
    </x:row>
    <x:row r="58">
      <x:c r="B58" s="174" t="s">
        <x:v>265</x:v>
      </x:c>
    </x:row>
    <x:row r="59">
      <x:c r="B59" s="174" t="s">
        <x:v>266</x:v>
      </x:c>
    </x:row>
    <x:row r="60">
      <x:c r="B60" s="174" t="s">
        <x:v>267</x:v>
      </x:c>
    </x:row>
    <x:row r="61">
      <x:c r="B61" s="174" t="s">
        <x:v>268</x:v>
      </x:c>
    </x:row>
    <x:row r="62">
      <x:c r="B62" s="174" t="s">
        <x:v>269</x:v>
      </x:c>
    </x:row>
    <x:row r="63">
      <x:c r="B63" s="174" t="s">
        <x:v>270</x:v>
      </x:c>
    </x:row>
    <x:row r="64">
      <x:c r="B64" s="174" t="s">
        <x:v>271</x:v>
      </x:c>
    </x:row>
    <x:row r="66">
      <x:c r="B66" s="175" t="s">
        <x:v>272</x:v>
      </x:c>
    </x:row>
    <x:row r="68">
      <x:c r="B68" s="173" t="s">
        <x:v>273</x:v>
      </x:c>
    </x:row>
    <x:row r="69">
      <x:c r="B69" s="174" t="s">
        <x:v>274</x:v>
      </x:c>
    </x:row>
    <x:row r="70">
      <x:c r="B70" s="174" t="s">
        <x:v>275</x:v>
      </x:c>
    </x:row>
    <x:row r="72">
      <x:c r="B72" s="172" t="s">
        <x:v>276</x:v>
      </x:c>
    </x:row>
    <x:row r="74">
      <x:c r="B74" s="174" t="s">
        <x:v>301</x:v>
      </x:c>
    </x:row>
    <x:row r="76">
      <x:c r="B76" s="173" t="s">
        <x:v>302</x:v>
      </x:c>
    </x:row>
    <x:row r="78">
      <x:c r="B78" s="173" t="s">
        <x:v>303</x:v>
      </x:c>
    </x:row>
    <x:row r="80">
      <x:c r="B80" s="173" t="s">
        <x:v>304</x:v>
      </x:c>
    </x:row>
    <x:row r="82">
      <x:c r="B82" s="173" t="s">
        <x:v>281</x:v>
      </x:c>
    </x:row>
    <x:row r="84">
      <x:c r="B84" s="173" t="s">
        <x:v>282</x:v>
      </x:c>
    </x:row>
    <x:row r="86">
      <x:c r="B86" s="175" t="s">
        <x:v>283</x:v>
      </x:c>
    </x:row>
    <x:row r="88">
      <x:c r="B88" s="173" t="s">
        <x:v>284</x:v>
      </x:c>
    </x:row>
    <x:row r="90">
      <x:c r="B90" s="175" t="s">
        <x:v>285</x:v>
      </x:c>
    </x:row>
    <x:row r="92" ht="24.600000381469727" customHeight="1">
      <x:c r="B92" s="173" t="s">
        <x:v>305</x:v>
      </x:c>
    </x:row>
    <x:row r="93" ht="36" customHeight="1">
      <x:c r="B93" s="174" t="s">
        <x:v>287</x:v>
      </x:c>
    </x:row>
  </x:sheetData>
  <x:pageMargins left="0.7" right="0.7" top="0.75" bottom="0.75" header="0.3" footer="0.3"/>
</x:worksheet>
</file>

<file path=xl/worksheets/sheet6.xml><?xml version="1.0" encoding="utf-8"?>
<x:worksheet xmlns:x="http://schemas.openxmlformats.org/spreadsheetml/2006/main">
  <x:sheetFormatPr defaultColWidth="8.75" defaultRowHeight="15.75"/>
  <x:cols>
    <x:col min="1" max="1" width="24" style="173" customWidth="1"/>
    <x:col min="2" max="2" width="34" style="173" customWidth="1"/>
    <x:col min="3" max="3" width="18" style="173" customWidth="1"/>
    <x:col min="4" max="4" width="76" style="173" customWidth="1"/>
    <x:col min="5" max="16384" width="8.75" style="173" customWidth="0"/>
  </x:cols>
  <x:sheetData>
    <x:row r="1" ht="20.450000762939453" customHeight="1">
      <x:c r="A1" s="396" t="s">
        <x:v>306</x:v>
      </x:c>
      <x:c r="B1" s="396"/>
      <x:c r="C1" s="396"/>
      <x:c r="D1" s="396"/>
    </x:row>
    <x:row r="2" ht="28.899999618530273" customHeight="1">
      <x:c r="A2" s="397" t="s">
        <x:v>307</x:v>
      </x:c>
      <x:c r="B2" s="397"/>
      <x:c r="C2" s="397"/>
      <x:c r="D2" s="397"/>
    </x:row>
    <x:row r="3" ht="9.600000381469727" customHeight="1">
      <x:c r="A3" s="398" t="s">
        <x:v>308</x:v>
      </x:c>
      <x:c r="B3" s="398"/>
      <x:c r="C3" s="398"/>
      <x:c r="D3" s="398"/>
    </x:row>
    <x:row r="5" ht="31.5">
      <x:c r="A5" s="176" t="s">
        <x:v>309</x:v>
      </x:c>
      <x:c r="B5" s="176" t="s">
        <x:v>310</x:v>
      </x:c>
      <x:c r="C5" s="176" t="s">
        <x:v>311</x:v>
      </x:c>
      <x:c r="D5" s="176" t="s">
        <x:v>16</x:v>
      </x:c>
    </x:row>
    <x:row r="6" ht="31.5">
      <x:c r="A6" s="177" t="s">
        <x:v>312</x:v>
      </x:c>
      <x:c r="B6" s="177" t="s">
        <x:v>313</x:v>
      </x:c>
      <x:c r="C6" s="178">
        <x:v>1</x:v>
      </x:c>
      <x:c r="D6" s="177" t="s">
        <x:v>314</x:v>
      </x:c>
    </x:row>
    <x:row r="7" ht="31.5">
      <x:c r="A7" s="177" t="s">
        <x:v>315</x:v>
      </x:c>
      <x:c r="B7" s="177" t="s">
        <x:v>313</x:v>
      </x:c>
      <x:c r="C7" s="178">
        <x:v>1</x:v>
      </x:c>
      <x:c r="D7" s="177" t="s">
        <x:v>316</x:v>
      </x:c>
    </x:row>
    <x:row r="8" ht="31.5">
      <x:c r="A8" s="177" t="s">
        <x:v>317</x:v>
      </x:c>
      <x:c r="B8" s="177" t="s">
        <x:v>313</x:v>
      </x:c>
      <x:c r="C8" s="178">
        <x:v>0.5</x:v>
      </x:c>
      <x:c r="D8" s="177" t="s">
        <x:v>318</x:v>
      </x:c>
    </x:row>
    <x:row r="9" ht="31.5">
      <x:c r="A9" s="177" t="s">
        <x:v>319</x:v>
      </x:c>
      <x:c r="B9" s="177" t="s">
        <x:v>313</x:v>
      </x:c>
      <x:c r="C9" s="178">
        <x:v>0.5</x:v>
      </x:c>
      <x:c r="D9" s="177" t="s">
        <x:v>320</x:v>
      </x:c>
    </x:row>
    <x:row r="10" ht="31.5">
      <x:c r="A10" s="177" t="s">
        <x:v>321</x:v>
      </x:c>
      <x:c r="B10" s="177" t="s">
        <x:v>313</x:v>
      </x:c>
      <x:c r="C10" s="178">
        <x:v>0.5</x:v>
      </x:c>
      <x:c r="D10" s="177" t="s">
        <x:v>322</x:v>
      </x:c>
    </x:row>
    <x:row r="11" ht="31.5">
      <x:c r="A11" s="177" t="s">
        <x:v>323</x:v>
      </x:c>
      <x:c r="B11" s="177" t="s">
        <x:v>324</x:v>
      </x:c>
      <x:c r="C11" s="178">
        <x:v>0.25</x:v>
      </x:c>
      <x:c r="D11" s="177" t="s">
        <x:v>325</x:v>
      </x:c>
    </x:row>
    <x:row r="12" ht="31.5">
      <x:c r="A12" s="177" t="s">
        <x:v>174</x:v>
      </x:c>
      <x:c r="B12" s="177" t="s">
        <x:v>324</x:v>
      </x:c>
      <x:c r="C12" s="178">
        <x:v>0.1</x:v>
      </x:c>
      <x:c r="D12" s="177" t="s">
        <x:v>326</x:v>
      </x:c>
    </x:row>
    <x:row r="13">
      <x:c r="A13" s="177" t="s">
        <x:v>327</x:v>
      </x:c>
      <x:c r="B13" s="177" t="s">
        <x:v>328</x:v>
      </x:c>
      <x:c r="C13" s="178">
        <x:v>0.25</x:v>
      </x:c>
      <x:c r="D13" s="177" t="s">
        <x:v>329</x:v>
      </x:c>
    </x:row>
    <x:row r="14">
      <x:c r="A14" s="177" t="s">
        <x:v>330</x:v>
      </x:c>
      <x:c r="B14" s="177" t="s">
        <x:v>328</x:v>
      </x:c>
      <x:c r="C14" s="178">
        <x:v>0.1</x:v>
      </x:c>
      <x:c r="D14" s="177" t="s">
        <x:v>331</x:v>
      </x:c>
    </x:row>
    <x:row r="15">
      <x:c r="A15" s="177" t="s">
        <x:v>332</x:v>
      </x:c>
      <x:c r="B15" s="177" t="s">
        <x:v>328</x:v>
      </x:c>
      <x:c r="C15" s="178">
        <x:v>0.2</x:v>
      </x:c>
      <x:c r="D15" s="177" t="s">
        <x:v>333</x:v>
      </x:c>
    </x:row>
    <x:row r="16">
      <x:c r="A16" s="177" t="s">
        <x:v>334</x:v>
      </x:c>
      <x:c r="B16" s="177" t="s">
        <x:v>335</x:v>
      </x:c>
      <x:c r="C16" s="178">
        <x:v>0.1</x:v>
      </x:c>
      <x:c r="D16" s="177" t="s">
        <x:v>336</x:v>
      </x:c>
    </x:row>
    <x:row r="17" ht="31.5">
      <x:c r="A17" s="177" t="s">
        <x:v>337</x:v>
      </x:c>
      <x:c r="B17" s="177" t="s">
        <x:v>335</x:v>
      </x:c>
      <x:c r="C17" s="178">
        <x:v>0.5</x:v>
      </x:c>
      <x:c r="D17" s="177" t="s">
        <x:v>338</x:v>
      </x:c>
    </x:row>
    <x:row r="18" ht="31.5">
      <x:c r="A18" s="177" t="s">
        <x:v>339</x:v>
      </x:c>
      <x:c r="B18" s="177" t="s">
        <x:v>335</x:v>
      </x:c>
      <x:c r="C18" s="178">
        <x:v>0.2</x:v>
      </x:c>
      <x:c r="D18" s="177" t="s">
        <x:v>340</x:v>
      </x:c>
    </x:row>
    <x:row r="19">
      <x:c r="A19" s="177" t="s">
        <x:v>341</x:v>
      </x:c>
      <x:c r="B19" s="177" t="s">
        <x:v>335</x:v>
      </x:c>
      <x:c r="C19" s="178">
        <x:v>0.2</x:v>
      </x:c>
      <x:c r="D19" s="177" t="s">
        <x:v>342</x:v>
      </x:c>
    </x:row>
    <x:row r="20" ht="31.5">
      <x:c r="A20" s="177" t="s">
        <x:v>343</x:v>
      </x:c>
      <x:c r="B20" s="177" t="s">
        <x:v>335</x:v>
      </x:c>
      <x:c r="C20" s="178">
        <x:v>0.5</x:v>
      </x:c>
      <x:c r="D20" s="177" t="s">
        <x:v>344</x:v>
      </x:c>
    </x:row>
    <x:row r="21" ht="31.5">
      <x:c r="A21" s="177" t="s">
        <x:v>345</x:v>
      </x:c>
      <x:c r="B21" s="177" t="s">
        <x:v>346</x:v>
      </x:c>
      <x:c r="C21" s="178">
        <x:v>1</x:v>
      </x:c>
      <x:c r="D21" s="177" t="s">
        <x:v>347</x:v>
      </x:c>
    </x:row>
    <x:row r="22" ht="31.5">
      <x:c r="A22" s="177" t="s">
        <x:v>348</x:v>
      </x:c>
      <x:c r="B22" s="177" t="s">
        <x:v>349</x:v>
      </x:c>
      <x:c r="C22" s="178">
        <x:v>0.2</x:v>
      </x:c>
      <x:c r="D22" s="177" t="s">
        <x:v>350</x:v>
      </x:c>
    </x:row>
  </x:sheetData>
  <x:mergeCells>
    <x:mergeCell ref="A1:D1"/>
    <x:mergeCell ref="A2:D2"/>
    <x:mergeCell ref="A3:D3"/>
  </x:mergeCells>
  <x:pageMargins left="0.7" right="0.7" top="0.75" bottom="0.75" header="0.3" footer="0.3"/>
</x:worksheet>
</file>

<file path=xl/worksheets/sheet7.xml><?xml version="1.0" encoding="utf-8"?>
<x:worksheet xmlns:x="http://schemas.openxmlformats.org/spreadsheetml/2006/main">
  <x:sheetPr>
    <x:tabColor rgb="FF087F8C"/>
  </x:sheetPr>
  <x:sheetViews>
    <x:sheetView showGridLines="0" workbookViewId="0">
      <x:pane xSplit="2" ySplit="28" topLeftCell="C29" activePane="bottomRight" state="frozen"/>
    </x:sheetView>
  </x:sheetViews>
  <x:sheetFormatPr defaultRowHeight="15"/>
  <x:cols>
    <x:col min="1" max="1" width="2" hidden="0" customWidth="1"/>
    <x:col min="2" max="2" width="49"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s>
  <x:sheetData>
    <x:row r="1" ht="30" customHeight="1">
      <x:c r="A1" s="399"/>
      <x:c r="B1" s="402" t="str">
        <x:v>ФОП ФЕДОРЕНКО Т. А. • ВИПРАВЛЕНА УМОВНА МОДЕЛЬ НА 36 МІСЯЦІВ</x:v>
      </x:c>
      <x:c r="C1" s="402"/>
      <x:c r="D1" s="402"/>
      <x:c r="E1" s="402"/>
      <x:c r="F1" s="402"/>
      <x:c r="G1" s="402"/>
      <x:c r="H1" s="402"/>
      <x:c r="I1" s="402"/>
      <x:c r="J1" s="402"/>
      <x:c r="K1" s="402"/>
      <x:c r="L1" s="402"/>
      <x:c r="M1" s="402"/>
      <x:c r="N1" s="402"/>
      <x:c r="O1" s="402"/>
      <x:c r="P1" s="402"/>
      <x:c r="Q1" s="402"/>
      <x:c r="R1" s="402"/>
      <x:c r="S1" s="402"/>
      <x:c r="T1" s="402"/>
      <x:c r="U1" s="402"/>
      <x:c r="V1" s="402"/>
      <x:c r="W1" s="402"/>
      <x:c r="X1" s="402"/>
      <x:c r="Y1" s="402"/>
      <x:c r="Z1" s="402"/>
      <x:c r="AA1" s="402"/>
      <x:c r="AB1" s="402"/>
      <x:c r="AC1" s="402"/>
      <x:c r="AD1" s="402"/>
      <x:c r="AE1" s="402"/>
      <x:c r="AF1" s="402"/>
      <x:c r="AG1" s="402"/>
      <x:c r="AH1" s="402"/>
      <x:c r="AI1" s="402"/>
      <x:c r="AJ1" s="402"/>
      <x:c r="AK1" s="402"/>
      <x:c r="AL1" s="402"/>
      <x:c r="AM1" s="399"/>
      <x:c r="AN1" s="399"/>
    </x:row>
    <x:row r="2" ht="34" customHeight="1">
      <x:c r="A2" s="399"/>
      <x:c r="B2" s="405" t="str">
        <x:v>РОБОЧА РЕДАКЦІЯ. Не готова до подання: кошти, оренда, ціни, попит і правовий склад послуг не підтверджені. М1 — місяць зарахування гранту.</x:v>
      </x:c>
      <x:c r="C2" s="405"/>
      <x:c r="D2" s="405"/>
      <x:c r="E2" s="405"/>
      <x:c r="F2" s="405"/>
      <x:c r="G2" s="405"/>
      <x:c r="H2" s="405"/>
      <x:c r="I2" s="405"/>
      <x:c r="J2" s="405"/>
      <x:c r="K2" s="405"/>
      <x:c r="L2" s="405"/>
      <x:c r="M2" s="405"/>
      <x:c r="N2" s="405"/>
      <x:c r="O2" s="405"/>
      <x:c r="P2" s="405"/>
      <x:c r="Q2" s="405"/>
      <x:c r="R2" s="405"/>
      <x:c r="S2" s="405"/>
      <x:c r="T2" s="405"/>
      <x:c r="U2" s="405"/>
      <x:c r="V2" s="405"/>
      <x:c r="W2" s="405"/>
      <x:c r="X2" s="405"/>
      <x:c r="Y2" s="405"/>
      <x:c r="Z2" s="405"/>
      <x:c r="AA2" s="405"/>
      <x:c r="AB2" s="405"/>
      <x:c r="AC2" s="405"/>
      <x:c r="AD2" s="405"/>
      <x:c r="AE2" s="405"/>
      <x:c r="AF2" s="405"/>
      <x:c r="AG2" s="405"/>
      <x:c r="AH2" s="405"/>
      <x:c r="AI2" s="405"/>
      <x:c r="AJ2" s="405"/>
      <x:c r="AK2" s="405"/>
      <x:c r="AL2" s="405"/>
      <x:c r="AM2" s="399"/>
      <x:c r="AN2" s="399"/>
    </x:row>
    <x:row r="3">
      <x:c r="A3" s="399"/>
      <x:c r="B3" s="399"/>
      <x:c r="C3" s="399"/>
      <x:c r="D3" s="399"/>
      <x:c r="E3" s="399"/>
      <x:c r="F3" s="399"/>
      <x:c r="G3" s="399"/>
      <x:c r="H3" s="399"/>
      <x:c r="I3" s="399"/>
      <x:c r="J3" s="399"/>
      <x:c r="K3" s="399"/>
      <x:c r="L3" s="399"/>
      <x:c r="M3" s="399"/>
      <x:c r="N3" s="399"/>
      <x:c r="O3" s="399"/>
      <x:c r="P3" s="399"/>
      <x:c r="Q3" s="399"/>
      <x:c r="R3" s="399"/>
      <x:c r="S3" s="399"/>
      <x:c r="T3" s="399"/>
      <x:c r="U3" s="399"/>
      <x:c r="V3" s="399"/>
      <x:c r="W3" s="399"/>
      <x:c r="X3" s="399"/>
      <x:c r="Y3" s="399"/>
      <x:c r="Z3" s="399"/>
      <x:c r="AA3" s="399"/>
      <x:c r="AB3" s="399"/>
      <x:c r="AC3" s="399"/>
      <x:c r="AD3" s="399"/>
      <x:c r="AE3" s="399"/>
      <x:c r="AF3" s="399"/>
      <x:c r="AG3" s="399"/>
      <x:c r="AH3" s="399"/>
      <x:c r="AI3" s="399"/>
      <x:c r="AJ3" s="399"/>
      <x:c r="AK3" s="399"/>
      <x:c r="AL3" s="399"/>
      <x:c r="AM3" s="399"/>
      <x:c r="AN3" s="399"/>
    </x:row>
    <x:row r="4" ht="30" customHeight="1">
      <x:c r="A4" s="399"/>
      <x:c r="B4" s="410" t="str">
        <x:v>Сценарій (1–6)</x:v>
      </x:c>
      <x:c r="C4" s="412" t="n">
        <x:v>1</x:v>
      </x:c>
      <x:c r="D4" s="410" t="str">
        <x:v>1 базовий; 2 виручка −20%; 3 поточні витрати +15%; 4 оплата +2 міс.; 5 запуск +3 міс.; 6 разом</x:v>
      </x:c>
      <x:c r="E4" s="410"/>
      <x:c r="F4" s="410"/>
      <x:c r="G4" s="410"/>
      <x:c r="H4" s="410"/>
      <x:c r="I4" s="410"/>
      <x:c r="J4" s="410"/>
      <x:c r="K4" s="410"/>
      <x:c r="L4" s="399"/>
      <x:c r="M4" s="419" t="str">
        <x:f>CHOOSE(C4,"Базовий, умовний","Надходження −20%","Поточні витрати +15%","Оплата через 2 місяці","Запуск пізніше на 3 місяці","Комбінований")</x:f>
        <x:v>Базовий, умовний</x:v>
      </x:c>
      <x:c r="N4" s="419"/>
      <x:c r="O4" s="419"/>
      <x:c r="P4" s="419"/>
      <x:c r="Q4" s="419"/>
      <x:c r="R4" s="399"/>
      <x:c r="S4" s="399"/>
      <x:c r="T4" s="399"/>
      <x:c r="U4" s="399"/>
      <x:c r="V4" s="399"/>
      <x:c r="W4" s="399"/>
      <x:c r="X4" s="399"/>
      <x:c r="Y4" s="399"/>
      <x:c r="Z4" s="399"/>
      <x:c r="AA4" s="399"/>
      <x:c r="AB4" s="399"/>
      <x:c r="AC4" s="399"/>
      <x:c r="AD4" s="399"/>
      <x:c r="AE4" s="399"/>
      <x:c r="AF4" s="399"/>
      <x:c r="AG4" s="399"/>
      <x:c r="AH4" s="399"/>
      <x:c r="AI4" s="399"/>
      <x:c r="AJ4" s="399"/>
      <x:c r="AK4" s="399"/>
      <x:c r="AL4" s="399"/>
      <x:c r="AM4" s="399"/>
      <x:c r="AN4" s="399"/>
    </x:row>
    <x:row r="5" ht="30" customHeight="1">
      <x:c r="A5" s="399"/>
      <x:c r="B5" s="410" t="str">
        <x:v>Коефіцієнт продажів</x:v>
      </x:c>
      <x:c r="C5" s="413" t="n">
        <x:f>CHOOSE(C4,1,0.8,1,1,1,0.8)</x:f>
        <x:v>1</x:v>
      </x:c>
      <x:c r="D5" s="410" t="str">
        <x:v>Змінює прогноз нарахованої виручки та надходжень</x:v>
      </x:c>
      <x:c r="E5" s="410"/>
      <x:c r="F5" s="410"/>
      <x:c r="G5" s="410"/>
      <x:c r="H5" s="410"/>
      <x:c r="I5" s="410"/>
      <x:c r="J5" s="410"/>
      <x:c r="K5" s="410"/>
      <x:c r="L5" s="399"/>
      <x:c r="M5" s="399"/>
      <x:c r="N5" s="399"/>
      <x:c r="O5" s="399"/>
      <x:c r="P5" s="399"/>
      <x:c r="Q5" s="399"/>
      <x:c r="R5" s="399"/>
      <x:c r="S5" s="399"/>
      <x:c r="T5" s="399"/>
      <x:c r="U5" s="399"/>
      <x:c r="V5" s="399"/>
      <x:c r="W5" s="399"/>
      <x:c r="X5" s="399"/>
      <x:c r="Y5" s="399"/>
      <x:c r="Z5" s="399"/>
      <x:c r="AA5" s="399"/>
      <x:c r="AB5" s="399"/>
      <x:c r="AC5" s="399"/>
      <x:c r="AD5" s="399"/>
      <x:c r="AE5" s="399"/>
      <x:c r="AF5" s="399"/>
      <x:c r="AG5" s="399"/>
      <x:c r="AH5" s="399"/>
      <x:c r="AI5" s="399"/>
      <x:c r="AJ5" s="399"/>
      <x:c r="AK5" s="399"/>
      <x:c r="AL5" s="399"/>
      <x:c r="AM5" s="399"/>
      <x:c r="AN5" s="399"/>
    </x:row>
    <x:row r="6" ht="30" customHeight="1">
      <x:c r="A6" s="399"/>
      <x:c r="B6" s="410" t="str">
        <x:v>Коефіцієнт поточних витрат</x:v>
      </x:c>
      <x:c r="C6" s="413" t="n">
        <x:f>CHOOSE(C4,1,1,1.15,1,1,1.15)</x:f>
        <x:v>1</x:v>
      </x:c>
      <x:c r="D6" s="410" t="str">
        <x:v>Зарплата й поточні витрати; одноразові закупівлі не збільшуються</x:v>
      </x:c>
      <x:c r="E6" s="410"/>
      <x:c r="F6" s="410"/>
      <x:c r="G6" s="410"/>
      <x:c r="H6" s="410"/>
      <x:c r="I6" s="410"/>
      <x:c r="J6" s="410"/>
      <x:c r="K6" s="410"/>
      <x:c r="L6" s="399"/>
      <x:c r="M6" s="410" t="str">
        <x:v>Надходження від клієнтів</x:v>
      </x:c>
      <x:c r="N6" s="410"/>
      <x:c r="O6" s="410"/>
      <x:c r="P6" s="420" t="n">
        <x:f>SUM(C34:AL34)</x:f>
        <x:v>20220000</x:v>
      </x:c>
      <x:c r="Q6" s="420"/>
      <x:c r="R6" s="399"/>
      <x:c r="S6" s="399"/>
      <x:c r="T6" s="399"/>
      <x:c r="U6" s="399"/>
      <x:c r="V6" s="399"/>
      <x:c r="W6" s="399"/>
      <x:c r="X6" s="399"/>
      <x:c r="Y6" s="399"/>
      <x:c r="Z6" s="399"/>
      <x:c r="AA6" s="399"/>
      <x:c r="AB6" s="399"/>
      <x:c r="AC6" s="399"/>
      <x:c r="AD6" s="399"/>
      <x:c r="AE6" s="399"/>
      <x:c r="AF6" s="399"/>
      <x:c r="AG6" s="399"/>
      <x:c r="AH6" s="399"/>
      <x:c r="AI6" s="399"/>
      <x:c r="AJ6" s="399"/>
      <x:c r="AK6" s="399"/>
      <x:c r="AL6" s="399"/>
      <x:c r="AM6" s="399"/>
      <x:c r="AN6" s="399"/>
    </x:row>
    <x:row r="7" ht="30" customHeight="1">
      <x:c r="A7" s="399"/>
      <x:c r="B7" s="410" t="str">
        <x:v>Затримка надходжень, місяців</x:v>
      </x:c>
      <x:c r="C7" s="413" t="n">
        <x:f>CHOOSE(C4,0,0,0,2,0,2)</x:f>
        <x:v>0</x:v>
      </x:c>
      <x:c r="D7" s="410" t="str">
        <x:v>Виручка і дебіторська заборгованість відокремлені</x:v>
      </x:c>
      <x:c r="E7" s="410"/>
      <x:c r="F7" s="410"/>
      <x:c r="G7" s="410"/>
      <x:c r="H7" s="410"/>
      <x:c r="I7" s="410"/>
      <x:c r="J7" s="410"/>
      <x:c r="K7" s="410"/>
      <x:c r="L7" s="399"/>
      <x:c r="M7" s="410" t="str">
        <x:v>Нарахована виручка</x:v>
      </x:c>
      <x:c r="N7" s="410"/>
      <x:c r="O7" s="410"/>
      <x:c r="P7" s="420" t="n">
        <x:f>SUM(C31:AL31)</x:f>
        <x:v>20220000</x:v>
      </x:c>
      <x:c r="Q7" s="420"/>
      <x:c r="R7" s="399"/>
      <x:c r="S7" s="399"/>
      <x:c r="T7" s="399"/>
      <x:c r="U7" s="399"/>
      <x:c r="V7" s="399"/>
      <x:c r="W7" s="399"/>
      <x:c r="X7" s="399"/>
      <x:c r="Y7" s="399"/>
      <x:c r="Z7" s="399"/>
      <x:c r="AA7" s="399"/>
      <x:c r="AB7" s="399"/>
      <x:c r="AC7" s="399"/>
      <x:c r="AD7" s="399"/>
      <x:c r="AE7" s="399"/>
      <x:c r="AF7" s="399"/>
      <x:c r="AG7" s="399"/>
      <x:c r="AH7" s="399"/>
      <x:c r="AI7" s="399"/>
      <x:c r="AJ7" s="399"/>
      <x:c r="AK7" s="399"/>
      <x:c r="AL7" s="399"/>
      <x:c r="AM7" s="399"/>
      <x:c r="AN7" s="399"/>
    </x:row>
    <x:row r="8" ht="30" customHeight="1">
      <x:c r="A8" s="399"/>
      <x:c r="B8" s="410" t="str">
        <x:v>Затримка початку продажів, міс.</x:v>
      </x:c>
      <x:c r="C8" s="413" t="n">
        <x:f>CHOOSE(C4,0,0,0,0,3,3)</x:f>
        <x:v>0</x:v>
      </x:c>
      <x:c r="D8" s="410" t="str">
        <x:v>Витрати і зайнятість починаються за початковим графіком</x:v>
      </x:c>
      <x:c r="E8" s="410"/>
      <x:c r="F8" s="410"/>
      <x:c r="G8" s="410"/>
      <x:c r="H8" s="410"/>
      <x:c r="I8" s="410"/>
      <x:c r="J8" s="410"/>
      <x:c r="K8" s="410"/>
      <x:c r="L8" s="399"/>
      <x:c r="M8" s="410" t="str">
        <x:v>Витрати / виплати всього</x:v>
      </x:c>
      <x:c r="N8" s="410"/>
      <x:c r="O8" s="410"/>
      <x:c r="P8" s="420" t="n">
        <x:f>SUM(C58:AL58)</x:f>
        <x:v>7840842.239999996</x:v>
      </x:c>
      <x:c r="Q8" s="420"/>
      <x:c r="R8" s="399"/>
      <x:c r="S8" s="399"/>
      <x:c r="T8" s="399"/>
      <x:c r="U8" s="399"/>
      <x:c r="V8" s="399"/>
      <x:c r="W8" s="399"/>
      <x:c r="X8" s="399"/>
      <x:c r="Y8" s="399"/>
      <x:c r="Z8" s="399"/>
      <x:c r="AA8" s="399"/>
      <x:c r="AB8" s="399"/>
      <x:c r="AC8" s="399"/>
      <x:c r="AD8" s="399"/>
      <x:c r="AE8" s="399"/>
      <x:c r="AF8" s="399"/>
      <x:c r="AG8" s="399"/>
      <x:c r="AH8" s="399"/>
      <x:c r="AI8" s="399"/>
      <x:c r="AJ8" s="399"/>
      <x:c r="AK8" s="399"/>
      <x:c r="AL8" s="399"/>
      <x:c r="AM8" s="399"/>
      <x:c r="AN8" s="399"/>
    </x:row>
    <x:row r="9" ht="30" customHeight="1">
      <x:c r="A9" s="399"/>
      <x:c r="B9" s="410" t="str">
        <x:v>Грант, грн</x:v>
      </x:c>
      <x:c r="C9" s="417" t="n">
        <x:f>'Бізнес план'!C26</x:f>
        <x:v>1799898</x:v>
      </x:c>
      <x:c r="D9" s="410" t="str">
        <x:v>Бюджет заявниці; відсутнє рішення про надання</x:v>
      </x:c>
      <x:c r="E9" s="410"/>
      <x:c r="F9" s="410"/>
      <x:c r="G9" s="410"/>
      <x:c r="H9" s="410"/>
      <x:c r="I9" s="410"/>
      <x:c r="J9" s="410"/>
      <x:c r="K9" s="410"/>
      <x:c r="L9" s="399"/>
      <x:c r="M9" s="410" t="str">
        <x:v>Кошти наприкінці М36</x:v>
      </x:c>
      <x:c r="N9" s="410"/>
      <x:c r="O9" s="410"/>
      <x:c r="P9" s="420" t="n">
        <x:f>AL61</x:f>
        <x:v>14564915.760000004</x:v>
      </x:c>
      <x:c r="Q9" s="420"/>
      <x:c r="R9" s="399"/>
      <x:c r="S9" s="399"/>
      <x:c r="T9" s="399"/>
      <x:c r="U9" s="399"/>
      <x:c r="V9" s="399"/>
      <x:c r="W9" s="399"/>
      <x:c r="X9" s="399"/>
      <x:c r="Y9" s="399"/>
      <x:c r="Z9" s="399"/>
      <x:c r="AA9" s="399"/>
      <x:c r="AB9" s="399"/>
      <x:c r="AC9" s="399"/>
      <x:c r="AD9" s="399"/>
      <x:c r="AE9" s="399"/>
      <x:c r="AF9" s="399"/>
      <x:c r="AG9" s="399"/>
      <x:c r="AH9" s="399"/>
      <x:c r="AI9" s="399"/>
      <x:c r="AJ9" s="399"/>
      <x:c r="AK9" s="399"/>
      <x:c r="AL9" s="399"/>
      <x:c r="AM9" s="399"/>
      <x:c r="AN9" s="399"/>
    </x:row>
    <x:row r="10" ht="30" customHeight="1">
      <x:c r="A10" s="399"/>
      <x:c r="B10" s="410" t="str">
        <x:v>Єдиний податок ФОП</x:v>
      </x:c>
      <x:c r="C10" s="415" t="n">
        <x:v>0.05</x:v>
      </x:c>
      <x:c r="D10" s="410" t="str">
        <x:v>5% відповідного грошового доходу; статус групи 3 без ПДВ підтвердити</x:v>
      </x:c>
      <x:c r="E10" s="410"/>
      <x:c r="F10" s="410"/>
      <x:c r="G10" s="410"/>
      <x:c r="H10" s="410"/>
      <x:c r="I10" s="410"/>
      <x:c r="J10" s="410"/>
      <x:c r="K10" s="410"/>
      <x:c r="L10" s="399"/>
      <x:c r="M10" s="410" t="str">
        <x:v>Мінімум вільних коштів</x:v>
      </x:c>
      <x:c r="N10" s="410"/>
      <x:c r="O10" s="410"/>
      <x:c r="P10" s="420" t="n">
        <x:f>MIN(C63:AL63)</x:f>
        <x:v>89447.65999999992</x:v>
      </x:c>
      <x:c r="Q10" s="420"/>
      <x:c r="R10" s="399"/>
      <x:c r="S10" s="399"/>
      <x:c r="T10" s="399"/>
      <x:c r="U10" s="399"/>
      <x:c r="V10" s="399"/>
      <x:c r="W10" s="399"/>
      <x:c r="X10" s="399"/>
      <x:c r="Y10" s="399"/>
      <x:c r="Z10" s="399"/>
      <x:c r="AA10" s="399"/>
      <x:c r="AB10" s="399"/>
      <x:c r="AC10" s="399"/>
      <x:c r="AD10" s="399"/>
      <x:c r="AE10" s="399"/>
      <x:c r="AF10" s="399"/>
      <x:c r="AG10" s="399"/>
      <x:c r="AH10" s="399"/>
      <x:c r="AI10" s="399"/>
      <x:c r="AJ10" s="399"/>
      <x:c r="AK10" s="399"/>
      <x:c r="AL10" s="399"/>
      <x:c r="AM10" s="399"/>
      <x:c r="AN10" s="399"/>
    </x:row>
    <x:row r="11" ht="30" customHeight="1">
      <x:c r="A11" s="399"/>
      <x:c r="B11" s="410" t="str">
        <x:v>Військовий збір ФОП</x:v>
      </x:c>
      <x:c r="C11" s="415" t="n">
        <x:v>0.01</x:v>
      </x:c>
      <x:c r="D11" s="410" t="str">
        <x:v>1% відповідного грошового доходу; перевіряти зміни законодавства</x:v>
      </x:c>
      <x:c r="E11" s="410"/>
      <x:c r="F11" s="410"/>
      <x:c r="G11" s="410"/>
      <x:c r="H11" s="410"/>
      <x:c r="I11" s="410"/>
      <x:c r="J11" s="410"/>
      <x:c r="K11" s="410"/>
      <x:c r="L11" s="399"/>
      <x:c r="M11" s="410" t="str">
        <x:v>Додатковий резерв за сценарієм</x:v>
      </x:c>
      <x:c r="N11" s="410"/>
      <x:c r="O11" s="410"/>
      <x:c r="P11" s="420" t="n">
        <x:f>MAX(0,-MIN(C63:AL63))</x:f>
        <x:v>0</x:v>
      </x:c>
      <x:c r="Q11" s="420"/>
      <x:c r="R11" s="399"/>
      <x:c r="S11" s="399"/>
      <x:c r="T11" s="399"/>
      <x:c r="U11" s="399"/>
      <x:c r="V11" s="399"/>
      <x:c r="W11" s="399"/>
      <x:c r="X11" s="399"/>
      <x:c r="Y11" s="399"/>
      <x:c r="Z11" s="399"/>
      <x:c r="AA11" s="399"/>
      <x:c r="AB11" s="399"/>
      <x:c r="AC11" s="399"/>
      <x:c r="AD11" s="399"/>
      <x:c r="AE11" s="399"/>
      <x:c r="AF11" s="399"/>
      <x:c r="AG11" s="399"/>
      <x:c r="AH11" s="399"/>
      <x:c r="AI11" s="399"/>
      <x:c r="AJ11" s="399"/>
      <x:c r="AK11" s="399"/>
      <x:c r="AL11" s="399"/>
      <x:c r="AM11" s="399"/>
      <x:c r="AN11" s="399"/>
    </x:row>
    <x:row r="12" ht="30" customHeight="1">
      <x:c r="A12" s="399"/>
      <x:c r="B12" s="410" t="str">
        <x:v>ЄСВ роботодавця</x:v>
      </x:c>
      <x:c r="C12" s="415" t="n">
        <x:v>0.22</x:v>
      </x:c>
      <x:c r="D12" s="410" t="str">
        <x:v>Загальна ставка, спеціальні режими не припускалися</x:v>
      </x:c>
      <x:c r="E12" s="410"/>
      <x:c r="F12" s="410"/>
      <x:c r="G12" s="410"/>
      <x:c r="H12" s="410"/>
      <x:c r="I12" s="410"/>
      <x:c r="J12" s="410"/>
      <x:c r="K12" s="410"/>
      <x:c r="L12" s="399"/>
      <x:c r="M12" s="410" t="str">
        <x:v>Податки за М1–М36</x:v>
      </x:c>
      <x:c r="N12" s="410"/>
      <x:c r="O12" s="410"/>
      <x:c r="P12" s="420" t="n">
        <x:f>SUM(C65:AL65)</x:f>
        <x:v>2750934.2399999998</x:v>
      </x:c>
      <x:c r="Q12" s="420"/>
      <x:c r="R12" s="399"/>
      <x:c r="S12" s="399"/>
      <x:c r="T12" s="399"/>
      <x:c r="U12" s="399"/>
      <x:c r="V12" s="399"/>
      <x:c r="W12" s="399"/>
      <x:c r="X12" s="399"/>
      <x:c r="Y12" s="399"/>
      <x:c r="Z12" s="399"/>
      <x:c r="AA12" s="399"/>
      <x:c r="AB12" s="399"/>
      <x:c r="AC12" s="399"/>
      <x:c r="AD12" s="399"/>
      <x:c r="AE12" s="399"/>
      <x:c r="AF12" s="399"/>
      <x:c r="AG12" s="399"/>
      <x:c r="AH12" s="399"/>
      <x:c r="AI12" s="399"/>
      <x:c r="AJ12" s="399"/>
      <x:c r="AK12" s="399"/>
      <x:c r="AL12" s="399"/>
      <x:c r="AM12" s="399"/>
      <x:c r="AN12" s="399"/>
    </x:row>
    <x:row r="13" ht="30" customHeight="1">
      <x:c r="A13" s="399"/>
      <x:c r="B13" s="410" t="str">
        <x:v>ПДФО працівників</x:v>
      </x:c>
      <x:c r="C13" s="415" t="n">
        <x:v>0.18</x:v>
      </x:c>
      <x:c r="D13" s="410" t="str">
        <x:v>Утримання з нарахованої зарплати, не додатково понад неї</x:v>
      </x:c>
      <x:c r="E13" s="410"/>
      <x:c r="F13" s="410"/>
      <x:c r="G13" s="410"/>
      <x:c r="H13" s="410"/>
      <x:c r="I13" s="410"/>
      <x:c r="J13" s="410"/>
      <x:c r="K13" s="410"/>
      <x:c r="L13" s="399"/>
      <x:c r="M13" s="410" t="str">
        <x:v>Прогноз до заліку, з М2</x:v>
      </x:c>
      <x:c r="N13" s="410"/>
      <x:c r="O13" s="410"/>
      <x:c r="P13" s="420" t="n">
        <x:f>SUM(C66:AL66)</x:f>
        <x:v>2703281.9</x:v>
      </x:c>
      <x:c r="Q13" s="420"/>
      <x:c r="R13" s="399"/>
      <x:c r="S13" s="399"/>
      <x:c r="T13" s="399"/>
      <x:c r="U13" s="399"/>
      <x:c r="V13" s="399"/>
      <x:c r="W13" s="399"/>
      <x:c r="X13" s="399"/>
      <x:c r="Y13" s="399"/>
      <x:c r="Z13" s="399"/>
      <x:c r="AA13" s="399"/>
      <x:c r="AB13" s="399"/>
      <x:c r="AC13" s="399"/>
      <x:c r="AD13" s="399"/>
      <x:c r="AE13" s="399"/>
      <x:c r="AF13" s="399"/>
      <x:c r="AG13" s="399"/>
      <x:c r="AH13" s="399"/>
      <x:c r="AI13" s="399"/>
      <x:c r="AJ13" s="399"/>
      <x:c r="AK13" s="399"/>
      <x:c r="AL13" s="399"/>
      <x:c r="AM13" s="399"/>
      <x:c r="AN13" s="399"/>
    </x:row>
    <x:row r="14" ht="30" customHeight="1">
      <x:c r="A14" s="399"/>
      <x:c r="B14" s="410" t="str">
        <x:v>ВЗ працівників</x:v>
      </x:c>
      <x:c r="C14" s="415" t="n">
        <x:v>0.05</x:v>
      </x:c>
      <x:c r="D14" s="410" t="str">
        <x:v>Утримання з нарахованої зарплати, не додатково понад неї</x:v>
      </x:c>
      <x:c r="E14" s="410"/>
      <x:c r="F14" s="410"/>
      <x:c r="G14" s="410"/>
      <x:c r="H14" s="410"/>
      <x:c r="I14" s="410"/>
      <x:c r="J14" s="410"/>
      <x:c r="K14" s="410"/>
      <x:c r="L14" s="399"/>
      <x:c r="M14" s="410" t="str">
        <x:v>Непокрита грантова сума, прогноз</x:v>
      </x:c>
      <x:c r="N14" s="410"/>
      <x:c r="O14" s="410"/>
      <x:c r="P14" s="420" t="n">
        <x:f>AL68</x:f>
        <x:v>0</x:v>
      </x:c>
      <x:c r="Q14" s="420"/>
      <x:c r="R14" s="399"/>
      <x:c r="S14" s="399"/>
      <x:c r="T14" s="399"/>
      <x:c r="U14" s="399"/>
      <x:c r="V14" s="399"/>
      <x:c r="W14" s="399"/>
      <x:c r="X14" s="399"/>
      <x:c r="Y14" s="399"/>
      <x:c r="Z14" s="399"/>
      <x:c r="AA14" s="399"/>
      <x:c r="AB14" s="399"/>
      <x:c r="AC14" s="399"/>
      <x:c r="AD14" s="399"/>
      <x:c r="AE14" s="399"/>
      <x:c r="AF14" s="399"/>
      <x:c r="AG14" s="399"/>
      <x:c r="AH14" s="399"/>
      <x:c r="AI14" s="399"/>
      <x:c r="AJ14" s="399"/>
      <x:c r="AK14" s="399"/>
      <x:c r="AL14" s="399"/>
      <x:c r="AM14" s="399"/>
      <x:c r="AN14" s="399"/>
    </x:row>
    <x:row r="15" ht="30" customHeight="1">
      <x:c r="A15" s="399"/>
      <x:c r="B15" s="410" t="str">
        <x:v>ЄСВ ФОП на місяць, грн</x:v>
      </x:c>
      <x:c r="C15" s="416" t="n">
        <x:v>1902.34</x:v>
      </x:c>
      <x:c r="D15" s="410" t="str">
        <x:v>Лише рівень 2026: 8 647 × 22%; майбутні роки і пільги не підтверджені</x:v>
      </x:c>
      <x:c r="E15" s="410"/>
      <x:c r="F15" s="410"/>
      <x:c r="G15" s="410"/>
      <x:c r="H15" s="410"/>
      <x:c r="I15" s="410"/>
      <x:c r="J15" s="410"/>
      <x:c r="K15" s="410"/>
      <x:c r="L15" s="399"/>
      <x:c r="M15" s="410" t="str">
        <x:v>Дебіторська заборгованість М36</x:v>
      </x:c>
      <x:c r="N15" s="410"/>
      <x:c r="O15" s="410"/>
      <x:c r="P15" s="420" t="n">
        <x:f>SUM(C31:AL31)-SUM(C34:AL34)</x:f>
        <x:v>0</x:v>
      </x:c>
      <x:c r="Q15" s="420"/>
      <x:c r="R15" s="399"/>
      <x:c r="S15" s="399"/>
      <x:c r="T15" s="399"/>
      <x:c r="U15" s="399"/>
      <x:c r="V15" s="399"/>
      <x:c r="W15" s="399"/>
      <x:c r="X15" s="399"/>
      <x:c r="Y15" s="399"/>
      <x:c r="Z15" s="399"/>
      <x:c r="AA15" s="399"/>
      <x:c r="AB15" s="399"/>
      <x:c r="AC15" s="399"/>
      <x:c r="AD15" s="399"/>
      <x:c r="AE15" s="399"/>
      <x:c r="AF15" s="399"/>
      <x:c r="AG15" s="399"/>
      <x:c r="AH15" s="399"/>
      <x:c r="AI15" s="399"/>
      <x:c r="AJ15" s="399"/>
      <x:c r="AK15" s="399"/>
      <x:c r="AL15" s="399"/>
      <x:c r="AM15" s="399"/>
      <x:c r="AN15" s="399"/>
    </x:row>
    <x:row r="16" ht="30" customHeight="1">
      <x:c r="A16" s="399"/>
      <x:c r="B16" s="410" t="str">
        <x:v>Власні кошти / навчання у М1</x:v>
      </x:c>
      <x:c r="C16" s="416" t="n">
        <x:v>110000</x:v>
      </x:c>
      <x:c r="D16" s="410" t="str">
        <x:v>Припущення щодо строку; кошти та рахунок не підтверджені</x:v>
      </x:c>
      <x:c r="E16" s="410"/>
      <x:c r="F16" s="410"/>
      <x:c r="G16" s="410"/>
      <x:c r="H16" s="410"/>
      <x:c r="I16" s="410"/>
      <x:c r="J16" s="410"/>
      <x:c r="K16" s="410"/>
      <x:c r="L16" s="399"/>
      <x:c r="M16" s="410" t="str">
        <x:v>Невитрачений грант на кінець М3</x:v>
      </x:c>
      <x:c r="N16" s="410"/>
      <x:c r="O16" s="410"/>
      <x:c r="P16" s="420" t="n">
        <x:f>E62</x:f>
        <x:v>0</x:v>
      </x:c>
      <x:c r="Q16" s="420"/>
      <x:c r="R16" s="399"/>
      <x:c r="S16" s="399"/>
      <x:c r="T16" s="399"/>
      <x:c r="U16" s="399"/>
      <x:c r="V16" s="399"/>
      <x:c r="W16" s="399"/>
      <x:c r="X16" s="399"/>
      <x:c r="Y16" s="399"/>
      <x:c r="Z16" s="399"/>
      <x:c r="AA16" s="399"/>
      <x:c r="AB16" s="399"/>
      <x:c r="AC16" s="399"/>
      <x:c r="AD16" s="399"/>
      <x:c r="AE16" s="399"/>
      <x:c r="AF16" s="399"/>
      <x:c r="AG16" s="399"/>
      <x:c r="AH16" s="399"/>
      <x:c r="AI16" s="399"/>
      <x:c r="AJ16" s="399"/>
      <x:c r="AK16" s="399"/>
      <x:c r="AL16" s="399"/>
      <x:c r="AM16" s="399"/>
      <x:c r="AN16" s="399"/>
    </x:row>
    <x:row r="17" ht="30" customHeight="1">
      <x:c r="A17" s="399"/>
      <x:c r="B17" s="410" t="str">
        <x:v>Власні кошти / друге навчання</x:v>
      </x:c>
      <x:c r="C17" s="416" t="n">
        <x:v>275860</x:v>
      </x:c>
      <x:c r="D17" s="410" t="str">
        <x:v>Припущення щодо строку; кошти та рахунок не підтверджені</x:v>
      </x:c>
      <x:c r="E17" s="410"/>
      <x:c r="F17" s="410"/>
      <x:c r="G17" s="410"/>
      <x:c r="H17" s="410"/>
      <x:c r="I17" s="410"/>
      <x:c r="J17" s="410"/>
      <x:c r="K17" s="410"/>
      <x:c r="L17" s="399"/>
      <x:c r="M17" s="410" t="str">
        <x:v>Місяць покриття гранту податками</x:v>
      </x:c>
      <x:c r="N17" s="410"/>
      <x:c r="O17" s="410"/>
      <x:c r="P17" s="420" t="n">
        <x:f>IF(SUM(C71:AL71)=0,"Не покрито",MATCH(1,C71:AL71,0))</x:f>
        <x:v>27</x:v>
      </x:c>
      <x:c r="Q17" s="420"/>
      <x:c r="R17" s="399"/>
      <x:c r="S17" s="399"/>
      <x:c r="T17" s="399"/>
      <x:c r="U17" s="399"/>
      <x:c r="V17" s="399"/>
      <x:c r="W17" s="399"/>
      <x:c r="X17" s="399"/>
      <x:c r="Y17" s="399"/>
      <x:c r="Z17" s="399"/>
      <x:c r="AA17" s="399"/>
      <x:c r="AB17" s="399"/>
      <x:c r="AC17" s="399"/>
      <x:c r="AD17" s="399"/>
      <x:c r="AE17" s="399"/>
      <x:c r="AF17" s="399"/>
      <x:c r="AG17" s="399"/>
      <x:c r="AH17" s="399"/>
      <x:c r="AI17" s="399"/>
      <x:c r="AJ17" s="399"/>
      <x:c r="AK17" s="399"/>
      <x:c r="AL17" s="399"/>
      <x:c r="AM17" s="399"/>
      <x:c r="AN17" s="399"/>
    </x:row>
    <x:row r="18" ht="30" customHeight="1">
      <x:c r="A18" s="399"/>
      <x:c r="B18" s="410" t="str">
        <x:v>Місяць другого навчання</x:v>
      </x:c>
      <x:c r="C18" s="412" t="n">
        <x:v>13</x:v>
      </x:c>
      <x:c r="D18" s="410" t="str">
        <x:v>Замінити строком з підтвердженого рахунка ICA</x:v>
      </x:c>
      <x:c r="E18" s="410"/>
      <x:c r="F18" s="410"/>
      <x:c r="G18" s="410"/>
      <x:c r="H18" s="410"/>
      <x:c r="I18" s="410"/>
      <x:c r="J18" s="410"/>
      <x:c r="K18" s="410"/>
      <x:c r="L18" s="399"/>
      <x:c r="M18" s="399"/>
      <x:c r="N18" s="399"/>
      <x:c r="O18" s="399"/>
      <x:c r="P18" s="399"/>
      <x:c r="Q18" s="399"/>
      <x:c r="R18" s="399"/>
      <x:c r="S18" s="399"/>
      <x:c r="T18" s="399"/>
      <x:c r="U18" s="399"/>
      <x:c r="V18" s="399"/>
      <x:c r="W18" s="399"/>
      <x:c r="X18" s="399"/>
      <x:c r="Y18" s="399"/>
      <x:c r="Z18" s="399"/>
      <x:c r="AA18" s="399"/>
      <x:c r="AB18" s="399"/>
      <x:c r="AC18" s="399"/>
      <x:c r="AD18" s="399"/>
      <x:c r="AE18" s="399"/>
      <x:c r="AF18" s="399"/>
      <x:c r="AG18" s="399"/>
      <x:c r="AH18" s="399"/>
      <x:c r="AI18" s="399"/>
      <x:c r="AJ18" s="399"/>
      <x:c r="AK18" s="399"/>
      <x:c r="AL18" s="399"/>
      <x:c r="AM18" s="399"/>
      <x:c r="AN18" s="399"/>
    </x:row>
    <x:row r="19" ht="30" customHeight="1">
      <x:c r="A19" s="399"/>
      <x:c r="B19" s="410" t="str">
        <x:v>Орендний аванс (1 — так, 0 — ні)</x:v>
      </x:c>
      <x:c r="C19" s="412" t="n">
        <x:v>1</x:v>
      </x:c>
      <x:c r="D19" s="410" t="str">
        <x:v>1 — умовний аванс за 24 місяці; 0 — первісний місячний графік із порушенням строку витрат гранту</x:v>
      </x:c>
      <x:c r="E19" s="410"/>
      <x:c r="F19" s="410"/>
      <x:c r="G19" s="410"/>
      <x:c r="H19" s="410"/>
      <x:c r="I19" s="410"/>
      <x:c r="J19" s="410"/>
      <x:c r="K19" s="410"/>
      <x:c r="L19" s="399"/>
      <x:c r="M19" s="421" t="str">
        <x:v>Перевірка: інвестиції й зарплата включені повністю. Податки працівників не дублюються у витратах. Модель резервує/умовно сплачує податки щомісяця; фактичний податковий календар треба скласти після визначення дати гранту. Показники не засвідчують виконання договору.</x:v>
      </x:c>
      <x:c r="N19" s="421"/>
      <x:c r="O19" s="421"/>
      <x:c r="P19" s="421"/>
      <x:c r="Q19" s="421"/>
      <x:c r="R19" s="399"/>
      <x:c r="S19" s="399"/>
      <x:c r="T19" s="399"/>
      <x:c r="U19" s="399"/>
      <x:c r="V19" s="399"/>
      <x:c r="W19" s="399"/>
      <x:c r="X19" s="399"/>
      <x:c r="Y19" s="399"/>
      <x:c r="Z19" s="399"/>
      <x:c r="AA19" s="399"/>
      <x:c r="AB19" s="399"/>
      <x:c r="AC19" s="399"/>
      <x:c r="AD19" s="399"/>
      <x:c r="AE19" s="399"/>
      <x:c r="AF19" s="399"/>
      <x:c r="AG19" s="399"/>
      <x:c r="AH19" s="399"/>
      <x:c r="AI19" s="399"/>
      <x:c r="AJ19" s="399"/>
      <x:c r="AK19" s="399"/>
      <x:c r="AL19" s="399"/>
      <x:c r="AM19" s="399"/>
      <x:c r="AN19" s="399"/>
    </x:row>
    <x:row r="20" ht="30" customHeight="1">
      <x:c r="A20" s="399"/>
      <x:c r="B20" s="410" t="str">
        <x:v>Аванс оренди підтверджено (0/1)</x:v>
      </x:c>
      <x:c r="C20" s="412" t="n">
        <x:v>0</x:v>
      </x:c>
      <x:c r="D20" s="410" t="str">
        <x:v>Контрольний прапорець не підтверджує схвалення банку</x:v>
      </x:c>
      <x:c r="E20" s="410"/>
      <x:c r="F20" s="410"/>
      <x:c r="G20" s="410"/>
      <x:c r="H20" s="410"/>
      <x:c r="I20" s="410"/>
      <x:c r="J20" s="410"/>
      <x:c r="K20" s="410"/>
      <x:c r="L20" s="399"/>
      <x:c r="M20" s="421"/>
      <x:c r="N20" s="421"/>
      <x:c r="O20" s="421"/>
      <x:c r="P20" s="421"/>
      <x:c r="Q20" s="421"/>
      <x:c r="R20" s="399"/>
      <x:c r="S20" s="399"/>
      <x:c r="T20" s="399"/>
      <x:c r="U20" s="399"/>
      <x:c r="V20" s="399"/>
      <x:c r="W20" s="399"/>
      <x:c r="X20" s="399"/>
      <x:c r="Y20" s="399"/>
      <x:c r="Z20" s="399"/>
      <x:c r="AA20" s="399"/>
      <x:c r="AB20" s="399"/>
      <x:c r="AC20" s="399"/>
      <x:c r="AD20" s="399"/>
      <x:c r="AE20" s="399"/>
      <x:c r="AF20" s="399"/>
      <x:c r="AG20" s="399"/>
      <x:c r="AH20" s="399"/>
      <x:c r="AI20" s="399"/>
      <x:c r="AJ20" s="399"/>
      <x:c r="AK20" s="399"/>
      <x:c r="AL20" s="399"/>
      <x:c r="AM20" s="399"/>
      <x:c r="AN20" s="399"/>
    </x:row>
    <x:row r="21" ht="30" customHeight="1">
      <x:c r="A21" s="399"/>
      <x:c r="B21" s="410" t="str">
        <x:v>Власні кошти підтверджено (0/1)</x:v>
      </x:c>
      <x:c r="C21" s="412" t="n">
        <x:v>0</x:v>
      </x:c>
      <x:c r="D21" s="410" t="str">
        <x:v>До виписок і підтвердження походження залишити 0</x:v>
      </x:c>
      <x:c r="E21" s="410"/>
      <x:c r="F21" s="410"/>
      <x:c r="G21" s="410"/>
      <x:c r="H21" s="410"/>
      <x:c r="I21" s="410"/>
      <x:c r="J21" s="410"/>
      <x:c r="K21" s="410"/>
      <x:c r="L21" s="399"/>
      <x:c r="M21" s="421"/>
      <x:c r="N21" s="421"/>
      <x:c r="O21" s="421"/>
      <x:c r="P21" s="421"/>
      <x:c r="Q21" s="421"/>
      <x:c r="R21" s="399"/>
      <x:c r="S21" s="399"/>
      <x:c r="T21" s="399"/>
      <x:c r="U21" s="399"/>
      <x:c r="V21" s="399"/>
      <x:c r="W21" s="399"/>
      <x:c r="X21" s="399"/>
      <x:c r="Y21" s="399"/>
      <x:c r="Z21" s="399"/>
      <x:c r="AA21" s="399"/>
      <x:c r="AB21" s="399"/>
      <x:c r="AC21" s="399"/>
      <x:c r="AD21" s="399"/>
      <x:c r="AE21" s="399"/>
      <x:c r="AF21" s="399"/>
      <x:c r="AG21" s="399"/>
      <x:c r="AH21" s="399"/>
      <x:c r="AI21" s="399"/>
      <x:c r="AJ21" s="399"/>
      <x:c r="AK21" s="399"/>
      <x:c r="AL21" s="399"/>
      <x:c r="AM21" s="399"/>
      <x:c r="AN21" s="399"/>
    </x:row>
    <x:row r="22" ht="30" customHeight="1">
      <x:c r="A22" s="399"/>
      <x:c r="B22" s="410" t="str">
        <x:v>Дата гранту / календар</x:v>
      </x:c>
      <x:c r="C22" s="412" t="str">
        <x:v>ПІДТВЕРДИТИ</x:v>
      </x:c>
      <x:c r="D22" s="410" t="str">
        <x:v>Розрахунок відносний; не визначає календарні квартали або роки</x:v>
      </x:c>
      <x:c r="E22" s="410"/>
      <x:c r="F22" s="410"/>
      <x:c r="G22" s="410"/>
      <x:c r="H22" s="410"/>
      <x:c r="I22" s="410"/>
      <x:c r="J22" s="410"/>
      <x:c r="K22" s="410"/>
      <x:c r="L22" s="399"/>
      <x:c r="M22" s="421"/>
      <x:c r="N22" s="421"/>
      <x:c r="O22" s="421"/>
      <x:c r="P22" s="421"/>
      <x:c r="Q22" s="421"/>
      <x:c r="R22" s="399"/>
      <x:c r="S22" s="399"/>
      <x:c r="T22" s="399"/>
      <x:c r="U22" s="399"/>
      <x:c r="V22" s="399"/>
      <x:c r="W22" s="399"/>
      <x:c r="X22" s="399"/>
      <x:c r="Y22" s="399"/>
      <x:c r="Z22" s="399"/>
      <x:c r="AA22" s="399"/>
      <x:c r="AB22" s="399"/>
      <x:c r="AC22" s="399"/>
      <x:c r="AD22" s="399"/>
      <x:c r="AE22" s="399"/>
      <x:c r="AF22" s="399"/>
      <x:c r="AG22" s="399"/>
      <x:c r="AH22" s="399"/>
      <x:c r="AI22" s="399"/>
      <x:c r="AJ22" s="399"/>
      <x:c r="AK22" s="399"/>
      <x:c r="AL22" s="399"/>
      <x:c r="AM22" s="399"/>
      <x:c r="AN22" s="399"/>
    </x:row>
    <x:row r="23" ht="30" customHeight="1">
      <x:c r="A23" s="399"/>
      <x:c r="B23" s="410" t="str">
        <x:v>Кошториси / ціни підтверджено (0/1)</x:v>
      </x:c>
      <x:c r="C23" s="412" t="n">
        <x:v>0</x:v>
      </x:c>
      <x:c r="D23" s="410" t="str">
        <x:v>Усі первинні документи перевірити окремо</x:v>
      </x:c>
      <x:c r="E23" s="410"/>
      <x:c r="F23" s="410"/>
      <x:c r="G23" s="410"/>
      <x:c r="H23" s="410"/>
      <x:c r="I23" s="410"/>
      <x:c r="J23" s="410"/>
      <x:c r="K23" s="410"/>
      <x:c r="L23" s="399"/>
      <x:c r="M23" s="421"/>
      <x:c r="N23" s="421"/>
      <x:c r="O23" s="421"/>
      <x:c r="P23" s="421"/>
      <x:c r="Q23" s="421"/>
      <x:c r="R23" s="399"/>
      <x:c r="S23" s="399"/>
      <x:c r="T23" s="399"/>
      <x:c r="U23" s="399"/>
      <x:c r="V23" s="399"/>
      <x:c r="W23" s="399"/>
      <x:c r="X23" s="399"/>
      <x:c r="Y23" s="399"/>
      <x:c r="Z23" s="399"/>
      <x:c r="AA23" s="399"/>
      <x:c r="AB23" s="399"/>
      <x:c r="AC23" s="399"/>
      <x:c r="AD23" s="399"/>
      <x:c r="AE23" s="399"/>
      <x:c r="AF23" s="399"/>
      <x:c r="AG23" s="399"/>
      <x:c r="AH23" s="399"/>
      <x:c r="AI23" s="399"/>
      <x:c r="AJ23" s="399"/>
      <x:c r="AK23" s="399"/>
      <x:c r="AL23" s="399"/>
      <x:c r="AM23" s="399"/>
      <x:c r="AN23" s="399"/>
    </x:row>
    <x:row r="24" ht="30" customHeight="1">
      <x:c r="A24" s="399"/>
      <x:c r="B24" s="410" t="str">
        <x:v>Юридична виручка включена (0/1)</x:v>
      </x:c>
      <x:c r="C24" s="412" t="n">
        <x:v>1</x:v>
      </x:c>
      <x:c r="D24" s="410" t="str">
        <x:v>1 — умовний прогноз джерела; 0 — сценарій лише управлінського консалтингу</x:v>
      </x:c>
      <x:c r="E24" s="410"/>
      <x:c r="F24" s="410"/>
      <x:c r="G24" s="410"/>
      <x:c r="H24" s="410"/>
      <x:c r="I24" s="410"/>
      <x:c r="J24" s="410"/>
      <x:c r="K24" s="410"/>
      <x:c r="L24" s="399"/>
      <x:c r="M24" s="421"/>
      <x:c r="N24" s="421"/>
      <x:c r="O24" s="421"/>
      <x:c r="P24" s="421"/>
      <x:c r="Q24" s="421"/>
      <x:c r="R24" s="399"/>
      <x:c r="S24" s="399"/>
      <x:c r="T24" s="399"/>
      <x:c r="U24" s="399"/>
      <x:c r="V24" s="399"/>
      <x:c r="W24" s="399"/>
      <x:c r="X24" s="399"/>
      <x:c r="Y24" s="399"/>
      <x:c r="Z24" s="399"/>
      <x:c r="AA24" s="399"/>
      <x:c r="AB24" s="399"/>
      <x:c r="AC24" s="399"/>
      <x:c r="AD24" s="399"/>
      <x:c r="AE24" s="399"/>
      <x:c r="AF24" s="399"/>
      <x:c r="AG24" s="399"/>
      <x:c r="AH24" s="399"/>
      <x:c r="AI24" s="399"/>
      <x:c r="AJ24" s="399"/>
      <x:c r="AK24" s="399"/>
      <x:c r="AL24" s="399"/>
      <x:c r="AM24" s="399"/>
      <x:c r="AN24" s="399"/>
    </x:row>
    <x:row r="25" ht="30" customHeight="1">
      <x:c r="A25" s="399"/>
      <x:c r="B25" s="410" t="str">
        <x:v>Попит підтверджено (0/1)</x:v>
      </x:c>
      <x:c r="C25" s="412" t="n">
        <x:v>0</x:v>
      </x:c>
      <x:c r="D25" s="410" t="str">
        <x:v>Листи намірів, договори, тарифна і кількісна модель відсутні</x:v>
      </x:c>
      <x:c r="E25" s="410"/>
      <x:c r="F25" s="410"/>
      <x:c r="G25" s="410"/>
      <x:c r="H25" s="410"/>
      <x:c r="I25" s="410"/>
      <x:c r="J25" s="410"/>
      <x:c r="K25" s="410"/>
      <x:c r="L25" s="399"/>
      <x:c r="M25" s="421"/>
      <x:c r="N25" s="421"/>
      <x:c r="O25" s="421"/>
      <x:c r="P25" s="421"/>
      <x:c r="Q25" s="421"/>
      <x:c r="R25" s="399"/>
      <x:c r="S25" s="399"/>
      <x:c r="T25" s="399"/>
      <x:c r="U25" s="399"/>
      <x:c r="V25" s="399"/>
      <x:c r="W25" s="399"/>
      <x:c r="X25" s="399"/>
      <x:c r="Y25" s="399"/>
      <x:c r="Z25" s="399"/>
      <x:c r="AA25" s="399"/>
      <x:c r="AB25" s="399"/>
      <x:c r="AC25" s="399"/>
      <x:c r="AD25" s="399"/>
      <x:c r="AE25" s="399"/>
      <x:c r="AF25" s="399"/>
      <x:c r="AG25" s="399"/>
      <x:c r="AH25" s="399"/>
      <x:c r="AI25" s="399"/>
      <x:c r="AJ25" s="399"/>
      <x:c r="AK25" s="399"/>
      <x:c r="AL25" s="399"/>
      <x:c r="AM25" s="399"/>
      <x:c r="AN25" s="399"/>
    </x:row>
    <x:row r="26" ht="34" customHeight="1">
      <x:c r="A26" s="399"/>
      <x:c r="B26" s="405" t="str">
        <x:v>Збережено оптимістичні продажі джерела. Аванс оренди — лише умовне припущення; без підтвердження його не можна подавати як узгоджений платіж.</x:v>
      </x:c>
      <x:c r="C26" s="405"/>
      <x:c r="D26" s="405"/>
      <x:c r="E26" s="405"/>
      <x:c r="F26" s="405"/>
      <x:c r="G26" s="405"/>
      <x:c r="H26" s="405"/>
      <x:c r="I26" s="405"/>
      <x:c r="J26" s="405"/>
      <x:c r="K26" s="405"/>
      <x:c r="L26" s="405"/>
      <x:c r="M26" s="405"/>
      <x:c r="N26" s="405"/>
      <x:c r="O26" s="405"/>
      <x:c r="P26" s="405"/>
      <x:c r="Q26" s="405"/>
      <x:c r="R26" s="405"/>
      <x:c r="S26" s="405"/>
      <x:c r="T26" s="405"/>
      <x:c r="U26" s="405"/>
      <x:c r="V26" s="405"/>
      <x:c r="W26" s="405"/>
      <x:c r="X26" s="405"/>
      <x:c r="Y26" s="405"/>
      <x:c r="Z26" s="405"/>
      <x:c r="AA26" s="405"/>
      <x:c r="AB26" s="405"/>
      <x:c r="AC26" s="405"/>
      <x:c r="AD26" s="405"/>
      <x:c r="AE26" s="405"/>
      <x:c r="AF26" s="405"/>
      <x:c r="AG26" s="405"/>
      <x:c r="AH26" s="405"/>
      <x:c r="AI26" s="405"/>
      <x:c r="AJ26" s="405"/>
      <x:c r="AK26" s="405"/>
      <x:c r="AL26" s="405"/>
      <x:c r="AM26" s="399"/>
      <x:c r="AN26" s="399"/>
    </x:row>
    <x:row r="27">
      <x:c r="A27" s="399"/>
      <x:c r="B27" s="399"/>
      <x:c r="C27" s="399"/>
      <x:c r="D27" s="399"/>
      <x:c r="E27" s="399"/>
      <x:c r="F27" s="399"/>
      <x:c r="G27" s="399"/>
      <x:c r="H27" s="399"/>
      <x:c r="I27" s="399"/>
      <x:c r="J27" s="399"/>
      <x:c r="K27" s="399"/>
      <x:c r="L27" s="399"/>
      <x:c r="M27" s="399"/>
      <x:c r="N27" s="399"/>
      <x:c r="O27" s="399"/>
      <x:c r="P27" s="399"/>
      <x:c r="Q27" s="399"/>
      <x:c r="R27" s="399"/>
      <x:c r="S27" s="399"/>
      <x:c r="T27" s="399"/>
      <x:c r="U27" s="399"/>
      <x:c r="V27" s="399"/>
      <x:c r="W27" s="399"/>
      <x:c r="X27" s="399"/>
      <x:c r="Y27" s="399"/>
      <x:c r="Z27" s="399"/>
      <x:c r="AA27" s="399"/>
      <x:c r="AB27" s="399"/>
      <x:c r="AC27" s="399"/>
      <x:c r="AD27" s="399"/>
      <x:c r="AE27" s="399"/>
      <x:c r="AF27" s="399"/>
      <x:c r="AG27" s="399"/>
      <x:c r="AH27" s="399"/>
      <x:c r="AI27" s="399"/>
      <x:c r="AJ27" s="399"/>
      <x:c r="AK27" s="399"/>
      <x:c r="AL27" s="399"/>
      <x:c r="AM27" s="399"/>
      <x:c r="AN27" s="399"/>
    </x:row>
    <x:row r="28">
      <x:c r="A28" s="399"/>
      <x:c r="B28" s="409" t="str">
        <x:v>Грошові потоки, грн / відносний місяць</x:v>
      </x:c>
      <x:c r="C28" s="409" t="n">
        <x:v>1</x:v>
      </x:c>
      <x:c r="D28" s="409" t="n">
        <x:v>2</x:v>
      </x:c>
      <x:c r="E28" s="409" t="n">
        <x:v>3</x:v>
      </x:c>
      <x:c r="F28" s="409" t="n">
        <x:v>4</x:v>
      </x:c>
      <x:c r="G28" s="409" t="n">
        <x:v>5</x:v>
      </x:c>
      <x:c r="H28" s="409" t="n">
        <x:v>6</x:v>
      </x:c>
      <x:c r="I28" s="409" t="n">
        <x:v>7</x:v>
      </x:c>
      <x:c r="J28" s="409" t="n">
        <x:v>8</x:v>
      </x:c>
      <x:c r="K28" s="409" t="n">
        <x:v>9</x:v>
      </x:c>
      <x:c r="L28" s="409" t="n">
        <x:v>10</x:v>
      </x:c>
      <x:c r="M28" s="409" t="n">
        <x:v>11</x:v>
      </x:c>
      <x:c r="N28" s="409" t="n">
        <x:v>12</x:v>
      </x:c>
      <x:c r="O28" s="409" t="n">
        <x:v>13</x:v>
      </x:c>
      <x:c r="P28" s="409" t="n">
        <x:v>14</x:v>
      </x:c>
      <x:c r="Q28" s="409" t="n">
        <x:v>15</x:v>
      </x:c>
      <x:c r="R28" s="409" t="n">
        <x:v>16</x:v>
      </x:c>
      <x:c r="S28" s="409" t="n">
        <x:v>17</x:v>
      </x:c>
      <x:c r="T28" s="409" t="n">
        <x:v>18</x:v>
      </x:c>
      <x:c r="U28" s="409" t="n">
        <x:v>19</x:v>
      </x:c>
      <x:c r="V28" s="409" t="n">
        <x:v>20</x:v>
      </x:c>
      <x:c r="W28" s="409" t="n">
        <x:v>21</x:v>
      </x:c>
      <x:c r="X28" s="409" t="n">
        <x:v>22</x:v>
      </x:c>
      <x:c r="Y28" s="409" t="n">
        <x:v>23</x:v>
      </x:c>
      <x:c r="Z28" s="409" t="n">
        <x:v>24</x:v>
      </x:c>
      <x:c r="AA28" s="409" t="n">
        <x:v>25</x:v>
      </x:c>
      <x:c r="AB28" s="409" t="n">
        <x:v>26</x:v>
      </x:c>
      <x:c r="AC28" s="409" t="n">
        <x:v>27</x:v>
      </x:c>
      <x:c r="AD28" s="409" t="n">
        <x:v>28</x:v>
      </x:c>
      <x:c r="AE28" s="409" t="n">
        <x:v>29</x:v>
      </x:c>
      <x:c r="AF28" s="409" t="n">
        <x:v>30</x:v>
      </x:c>
      <x:c r="AG28" s="409" t="n">
        <x:v>31</x:v>
      </x:c>
      <x:c r="AH28" s="409" t="n">
        <x:v>32</x:v>
      </x:c>
      <x:c r="AI28" s="409" t="n">
        <x:v>33</x:v>
      </x:c>
      <x:c r="AJ28" s="409" t="n">
        <x:v>34</x:v>
      </x:c>
      <x:c r="AK28" s="409" t="n">
        <x:v>35</x:v>
      </x:c>
      <x:c r="AL28" s="409" t="n">
        <x:v>36</x:v>
      </x:c>
      <x:c r="AM28" s="399"/>
      <x:c r="AN28" s="399"/>
    </x:row>
    <x:row r="29" ht="29" customHeight="1">
      <x:c r="A29" s="399"/>
      <x:c r="B29" s="410" t="str">
        <x:v>Консалтинг: нарахована виручка</x:v>
      </x:c>
      <x:c r="C29" s="424" t="n">
        <x:f>IF(C$28&lt;=$C$8,0,INDEX('Вхідні дані'!$C$5:$AL$5,1,MAX(1,C$28-$C$8))*$C$5)</x:f>
        <x:v>150000</x:v>
      </x:c>
      <x:c r="D29" s="424" t="n">
        <x:f>IF(D$28&lt;=$C$8,0,INDEX('Вхідні дані'!$C$5:$AL$5,1,MAX(1,D$28-$C$8))*$C$5)</x:f>
        <x:v>150000</x:v>
      </x:c>
      <x:c r="E29" s="424" t="n">
        <x:f>IF(E$28&lt;=$C$8,0,INDEX('Вхідні дані'!$C$5:$AL$5,1,MAX(1,E$28-$C$8))*$C$5)</x:f>
        <x:v>150000</x:v>
      </x:c>
      <x:c r="F29" s="424" t="n">
        <x:f>IF(F$28&lt;=$C$8,0,INDEX('Вхідні дані'!$C$5:$AL$5,1,MAX(1,F$28-$C$8))*$C$5)</x:f>
        <x:v>200000</x:v>
      </x:c>
      <x:c r="G29" s="424" t="n">
        <x:f>IF(G$28&lt;=$C$8,0,INDEX('Вхідні дані'!$C$5:$AL$5,1,MAX(1,G$28-$C$8))*$C$5)</x:f>
        <x:v>200000</x:v>
      </x:c>
      <x:c r="H29" s="424" t="n">
        <x:f>IF(H$28&lt;=$C$8,0,INDEX('Вхідні дані'!$C$5:$AL$5,1,MAX(1,H$28-$C$8))*$C$5)</x:f>
        <x:v>200000</x:v>
      </x:c>
      <x:c r="I29" s="424" t="n">
        <x:f>IF(I$28&lt;=$C$8,0,INDEX('Вхідні дані'!$C$5:$AL$5,1,MAX(1,I$28-$C$8))*$C$5)</x:f>
        <x:v>200000</x:v>
      </x:c>
      <x:c r="J29" s="424" t="n">
        <x:f>IF(J$28&lt;=$C$8,0,INDEX('Вхідні дані'!$C$5:$AL$5,1,MAX(1,J$28-$C$8))*$C$5)</x:f>
        <x:v>200000</x:v>
      </x:c>
      <x:c r="K29" s="424" t="n">
        <x:f>IF(K$28&lt;=$C$8,0,INDEX('Вхідні дані'!$C$5:$AL$5,1,MAX(1,K$28-$C$8))*$C$5)</x:f>
        <x:v>200000</x:v>
      </x:c>
      <x:c r="L29" s="424" t="n">
        <x:f>IF(L$28&lt;=$C$8,0,INDEX('Вхідні дані'!$C$5:$AL$5,1,MAX(1,L$28-$C$8))*$C$5)</x:f>
        <x:v>200000</x:v>
      </x:c>
      <x:c r="M29" s="424" t="n">
        <x:f>IF(M$28&lt;=$C$8,0,INDEX('Вхідні дані'!$C$5:$AL$5,1,MAX(1,M$28-$C$8))*$C$5)</x:f>
        <x:v>280000</x:v>
      </x:c>
      <x:c r="N29" s="424" t="n">
        <x:f>IF(N$28&lt;=$C$8,0,INDEX('Вхідні дані'!$C$5:$AL$5,1,MAX(1,N$28-$C$8))*$C$5)</x:f>
        <x:v>280000</x:v>
      </x:c>
      <x:c r="O29" s="424" t="n">
        <x:f>IF(O$28&lt;=$C$8,0,INDEX('Вхідні дані'!$C$5:$AL$5,1,MAX(1,O$28-$C$8))*$C$5)</x:f>
        <x:v>280000</x:v>
      </x:c>
      <x:c r="P29" s="424" t="n">
        <x:f>IF(P$28&lt;=$C$8,0,INDEX('Вхідні дані'!$C$5:$AL$5,1,MAX(1,P$28-$C$8))*$C$5)</x:f>
        <x:v>300000</x:v>
      </x:c>
      <x:c r="Q29" s="424" t="n">
        <x:f>IF(Q$28&lt;=$C$8,0,INDEX('Вхідні дані'!$C$5:$AL$5,1,MAX(1,Q$28-$C$8))*$C$5)</x:f>
        <x:v>300000</x:v>
      </x:c>
      <x:c r="R29" s="424" t="n">
        <x:f>IF(R$28&lt;=$C$8,0,INDEX('Вхідні дані'!$C$5:$AL$5,1,MAX(1,R$28-$C$8))*$C$5)</x:f>
        <x:v>300000</x:v>
      </x:c>
      <x:c r="S29" s="424" t="n">
        <x:f>IF(S$28&lt;=$C$8,0,INDEX('Вхідні дані'!$C$5:$AL$5,1,MAX(1,S$28-$C$8))*$C$5)</x:f>
        <x:v>350000</x:v>
      </x:c>
      <x:c r="T29" s="424" t="n">
        <x:f>IF(T$28&lt;=$C$8,0,INDEX('Вхідні дані'!$C$5:$AL$5,1,MAX(1,T$28-$C$8))*$C$5)</x:f>
        <x:v>350000</x:v>
      </x:c>
      <x:c r="U29" s="424" t="n">
        <x:f>IF(U$28&lt;=$C$8,0,INDEX('Вхідні дані'!$C$5:$AL$5,1,MAX(1,U$28-$C$8))*$C$5)</x:f>
        <x:v>350000</x:v>
      </x:c>
      <x:c r="V29" s="424" t="n">
        <x:f>IF(V$28&lt;=$C$8,0,INDEX('Вхідні дані'!$C$5:$AL$5,1,MAX(1,V$28-$C$8))*$C$5)</x:f>
        <x:v>350000</x:v>
      </x:c>
      <x:c r="W29" s="424" t="n">
        <x:f>IF(W$28&lt;=$C$8,0,INDEX('Вхідні дані'!$C$5:$AL$5,1,MAX(1,W$28-$C$8))*$C$5)</x:f>
        <x:v>400000</x:v>
      </x:c>
      <x:c r="X29" s="424" t="n">
        <x:f>IF(X$28&lt;=$C$8,0,INDEX('Вхідні дані'!$C$5:$AL$5,1,MAX(1,X$28-$C$8))*$C$5)</x:f>
        <x:v>420000</x:v>
      </x:c>
      <x:c r="Y29" s="424" t="n">
        <x:f>IF(Y$28&lt;=$C$8,0,INDEX('Вхідні дані'!$C$5:$AL$5,1,MAX(1,Y$28-$C$8))*$C$5)</x:f>
        <x:v>420000</x:v>
      </x:c>
      <x:c r="Z29" s="424" t="n">
        <x:f>IF(Z$28&lt;=$C$8,0,INDEX('Вхідні дані'!$C$5:$AL$5,1,MAX(1,Z$28-$C$8))*$C$5)</x:f>
        <x:v>450000</x:v>
      </x:c>
      <x:c r="AA29" s="424" t="n">
        <x:f>IF(AA$28&lt;=$C$8,0,INDEX('Вхідні дані'!$C$5:$AL$5,1,MAX(1,AA$28-$C$8))*$C$5)</x:f>
        <x:v>450000</x:v>
      </x:c>
      <x:c r="AB29" s="424" t="n">
        <x:f>IF(AB$28&lt;=$C$8,0,INDEX('Вхідні дані'!$C$5:$AL$5,1,MAX(1,AB$28-$C$8))*$C$5)</x:f>
        <x:v>450000</x:v>
      </x:c>
      <x:c r="AC29" s="424" t="n">
        <x:f>IF(AC$28&lt;=$C$8,0,INDEX('Вхідні дані'!$C$5:$AL$5,1,MAX(1,AC$28-$C$8))*$C$5)</x:f>
        <x:v>450000</x:v>
      </x:c>
      <x:c r="AD29" s="424" t="n">
        <x:f>IF(AD$28&lt;=$C$8,0,INDEX('Вхідні дані'!$C$5:$AL$5,1,MAX(1,AD$28-$C$8))*$C$5)</x:f>
        <x:v>450000</x:v>
      </x:c>
      <x:c r="AE29" s="424" t="n">
        <x:f>IF(AE$28&lt;=$C$8,0,INDEX('Вхідні дані'!$C$5:$AL$5,1,MAX(1,AE$28-$C$8))*$C$5)</x:f>
        <x:v>450000</x:v>
      </x:c>
      <x:c r="AF29" s="424" t="n">
        <x:f>IF(AF$28&lt;=$C$8,0,INDEX('Вхідні дані'!$C$5:$AL$5,1,MAX(1,AF$28-$C$8))*$C$5)</x:f>
        <x:v>450000</x:v>
      </x:c>
      <x:c r="AG29" s="424" t="n">
        <x:f>IF(AG$28&lt;=$C$8,0,INDEX('Вхідні дані'!$C$5:$AL$5,1,MAX(1,AG$28-$C$8))*$C$5)</x:f>
        <x:v>450000</x:v>
      </x:c>
      <x:c r="AH29" s="424" t="n">
        <x:f>IF(AH$28&lt;=$C$8,0,INDEX('Вхідні дані'!$C$5:$AL$5,1,MAX(1,AH$28-$C$8))*$C$5)</x:f>
        <x:v>450000</x:v>
      </x:c>
      <x:c r="AI29" s="424" t="n">
        <x:f>IF(AI$28&lt;=$C$8,0,INDEX('Вхідні дані'!$C$5:$AL$5,1,MAX(1,AI$28-$C$8))*$C$5)</x:f>
        <x:v>450000</x:v>
      </x:c>
      <x:c r="AJ29" s="424" t="n">
        <x:f>IF(AJ$28&lt;=$C$8,0,INDEX('Вхідні дані'!$C$5:$AL$5,1,MAX(1,AJ$28-$C$8))*$C$5)</x:f>
        <x:v>450000</x:v>
      </x:c>
      <x:c r="AK29" s="424" t="n">
        <x:f>IF(AK$28&lt;=$C$8,0,INDEX('Вхідні дані'!$C$5:$AL$5,1,MAX(1,AK$28-$C$8))*$C$5)</x:f>
        <x:v>450000</x:v>
      </x:c>
      <x:c r="AL29" s="424" t="n">
        <x:f>IF(AL$28&lt;=$C$8,0,INDEX('Вхідні дані'!$C$5:$AL$5,1,MAX(1,AL$28-$C$8))*$C$5)</x:f>
        <x:v>450000</x:v>
      </x:c>
      <x:c r="AM29" s="399"/>
      <x:c r="AN29" s="399"/>
    </x:row>
    <x:row r="30" ht="29" customHeight="1">
      <x:c r="A30" s="399"/>
      <x:c r="B30" s="410" t="str">
        <x:v>Юридичні послуги: нарахована виручка</x:v>
      </x:c>
      <x:c r="C30" s="424" t="n">
        <x:f>IF(C$28&lt;=$C$8,0,INDEX('Вхідні дані'!$C$6:$AL$6,1,MAX(1,C$28-$C$8))*$C$5*$C$24)</x:f>
        <x:v>50000</x:v>
      </x:c>
      <x:c r="D30" s="424" t="n">
        <x:f>IF(D$28&lt;=$C$8,0,INDEX('Вхідні дані'!$C$6:$AL$6,1,MAX(1,D$28-$C$8))*$C$5*$C$24)</x:f>
        <x:v>50000</x:v>
      </x:c>
      <x:c r="E30" s="424" t="n">
        <x:f>IF(E$28&lt;=$C$8,0,INDEX('Вхідні дані'!$C$6:$AL$6,1,MAX(1,E$28-$C$8))*$C$5*$C$24)</x:f>
        <x:v>50000</x:v>
      </x:c>
      <x:c r="F30" s="424" t="n">
        <x:f>IF(F$28&lt;=$C$8,0,INDEX('Вхідні дані'!$C$6:$AL$6,1,MAX(1,F$28-$C$8))*$C$5*$C$24)</x:f>
        <x:v>80000</x:v>
      </x:c>
      <x:c r="G30" s="424" t="n">
        <x:f>IF(G$28&lt;=$C$8,0,INDEX('Вхідні дані'!$C$6:$AL$6,1,MAX(1,G$28-$C$8))*$C$5*$C$24)</x:f>
        <x:v>80000</x:v>
      </x:c>
      <x:c r="H30" s="424" t="n">
        <x:f>IF(H$28&lt;=$C$8,0,INDEX('Вхідні дані'!$C$6:$AL$6,1,MAX(1,H$28-$C$8))*$C$5*$C$24)</x:f>
        <x:v>100000</x:v>
      </x:c>
      <x:c r="I30" s="424" t="n">
        <x:f>IF(I$28&lt;=$C$8,0,INDEX('Вхідні дані'!$C$6:$AL$6,1,MAX(1,I$28-$C$8))*$C$5*$C$24)</x:f>
        <x:v>100000</x:v>
      </x:c>
      <x:c r="J30" s="424" t="n">
        <x:f>IF(J$28&lt;=$C$8,0,INDEX('Вхідні дані'!$C$6:$AL$6,1,MAX(1,J$28-$C$8))*$C$5*$C$24)</x:f>
        <x:v>150000</x:v>
      </x:c>
      <x:c r="K30" s="424" t="n">
        <x:f>IF(K$28&lt;=$C$8,0,INDEX('Вхідні дані'!$C$6:$AL$6,1,MAX(1,K$28-$C$8))*$C$5*$C$24)</x:f>
        <x:v>180000</x:v>
      </x:c>
      <x:c r="L30" s="424" t="n">
        <x:f>IF(L$28&lt;=$C$8,0,INDEX('Вхідні дані'!$C$6:$AL$6,1,MAX(1,L$28-$C$8))*$C$5*$C$24)</x:f>
        <x:v>180000</x:v>
      </x:c>
      <x:c r="M30" s="424" t="n">
        <x:f>IF(M$28&lt;=$C$8,0,INDEX('Вхідні дані'!$C$6:$AL$6,1,MAX(1,M$28-$C$8))*$C$5*$C$24)</x:f>
        <x:v>200000</x:v>
      </x:c>
      <x:c r="N30" s="424" t="n">
        <x:f>IF(N$28&lt;=$C$8,0,INDEX('Вхідні дані'!$C$6:$AL$6,1,MAX(1,N$28-$C$8))*$C$5*$C$24)</x:f>
        <x:v>200000</x:v>
      </x:c>
      <x:c r="O30" s="424" t="n">
        <x:f>IF(O$28&lt;=$C$8,0,INDEX('Вхідні дані'!$C$6:$AL$6,1,MAX(1,O$28-$C$8))*$C$5*$C$24)</x:f>
        <x:v>200000</x:v>
      </x:c>
      <x:c r="P30" s="424" t="n">
        <x:f>IF(P$28&lt;=$C$8,0,INDEX('Вхідні дані'!$C$6:$AL$6,1,MAX(1,P$28-$C$8))*$C$5*$C$24)</x:f>
        <x:v>250000</x:v>
      </x:c>
      <x:c r="Q30" s="424" t="n">
        <x:f>IF(Q$28&lt;=$C$8,0,INDEX('Вхідні дані'!$C$6:$AL$6,1,MAX(1,Q$28-$C$8))*$C$5*$C$24)</x:f>
        <x:v>250000</x:v>
      </x:c>
      <x:c r="R30" s="424" t="n">
        <x:f>IF(R$28&lt;=$C$8,0,INDEX('Вхідні дані'!$C$6:$AL$6,1,MAX(1,R$28-$C$8))*$C$5*$C$24)</x:f>
        <x:v>250000</x:v>
      </x:c>
      <x:c r="S30" s="424" t="n">
        <x:f>IF(S$28&lt;=$C$8,0,INDEX('Вхідні дані'!$C$6:$AL$6,1,MAX(1,S$28-$C$8))*$C$5*$C$24)</x:f>
        <x:v>250000</x:v>
      </x:c>
      <x:c r="T30" s="424" t="n">
        <x:f>IF(T$28&lt;=$C$8,0,INDEX('Вхідні дані'!$C$6:$AL$6,1,MAX(1,T$28-$C$8))*$C$5*$C$24)</x:f>
        <x:v>250000</x:v>
      </x:c>
      <x:c r="U30" s="424" t="n">
        <x:f>IF(U$28&lt;=$C$8,0,INDEX('Вхідні дані'!$C$6:$AL$6,1,MAX(1,U$28-$C$8))*$C$5*$C$24)</x:f>
        <x:v>250000</x:v>
      </x:c>
      <x:c r="V30" s="424" t="n">
        <x:f>IF(V$28&lt;=$C$8,0,INDEX('Вхідні дані'!$C$6:$AL$6,1,MAX(1,V$28-$C$8))*$C$5*$C$24)</x:f>
        <x:v>280000</x:v>
      </x:c>
      <x:c r="W30" s="424" t="n">
        <x:f>IF(W$28&lt;=$C$8,0,INDEX('Вхідні дані'!$C$6:$AL$6,1,MAX(1,W$28-$C$8))*$C$5*$C$24)</x:f>
        <x:v>280000</x:v>
      </x:c>
      <x:c r="X30" s="424" t="n">
        <x:f>IF(X$28&lt;=$C$8,0,INDEX('Вхідні дані'!$C$6:$AL$6,1,MAX(1,X$28-$C$8))*$C$5*$C$24)</x:f>
        <x:v>280000</x:v>
      </x:c>
      <x:c r="Y30" s="424" t="n">
        <x:f>IF(Y$28&lt;=$C$8,0,INDEX('Вхідні дані'!$C$6:$AL$6,1,MAX(1,Y$28-$C$8))*$C$5*$C$24)</x:f>
        <x:v>280000</x:v>
      </x:c>
      <x:c r="Z30" s="424" t="n">
        <x:f>IF(Z$28&lt;=$C$8,0,INDEX('Вхідні дані'!$C$6:$AL$6,1,MAX(1,Z$28-$C$8))*$C$5*$C$24)</x:f>
        <x:v>300000</x:v>
      </x:c>
      <x:c r="AA30" s="424" t="n">
        <x:f>IF(AA$28&lt;=$C$8,0,INDEX('Вхідні дані'!$C$6:$AL$6,1,MAX(1,AA$28-$C$8))*$C$5*$C$24)</x:f>
        <x:v>300000</x:v>
      </x:c>
      <x:c r="AB30" s="424" t="n">
        <x:f>IF(AB$28&lt;=$C$8,0,INDEX('Вхідні дані'!$C$6:$AL$6,1,MAX(1,AB$28-$C$8))*$C$5*$C$24)</x:f>
        <x:v>300000</x:v>
      </x:c>
      <x:c r="AC30" s="424" t="n">
        <x:f>IF(AC$28&lt;=$C$8,0,INDEX('Вхідні дані'!$C$6:$AL$6,1,MAX(1,AC$28-$C$8))*$C$5*$C$24)</x:f>
        <x:v>300000</x:v>
      </x:c>
      <x:c r="AD30" s="424" t="n">
        <x:f>IF(AD$28&lt;=$C$8,0,INDEX('Вхідні дані'!$C$6:$AL$6,1,MAX(1,AD$28-$C$8))*$C$5*$C$24)</x:f>
        <x:v>300000</x:v>
      </x:c>
      <x:c r="AE30" s="424" t="n">
        <x:f>IF(AE$28&lt;=$C$8,0,INDEX('Вхідні дані'!$C$6:$AL$6,1,MAX(1,AE$28-$C$8))*$C$5*$C$24)</x:f>
        <x:v>300000</x:v>
      </x:c>
      <x:c r="AF30" s="424" t="n">
        <x:f>IF(AF$28&lt;=$C$8,0,INDEX('Вхідні дані'!$C$6:$AL$6,1,MAX(1,AF$28-$C$8))*$C$5*$C$24)</x:f>
        <x:v>300000</x:v>
      </x:c>
      <x:c r="AG30" s="424" t="n">
        <x:f>IF(AG$28&lt;=$C$8,0,INDEX('Вхідні дані'!$C$6:$AL$6,1,MAX(1,AG$28-$C$8))*$C$5*$C$24)</x:f>
        <x:v>300000</x:v>
      </x:c>
      <x:c r="AH30" s="424" t="n">
        <x:f>IF(AH$28&lt;=$C$8,0,INDEX('Вхідні дані'!$C$6:$AL$6,1,MAX(1,AH$28-$C$8))*$C$5*$C$24)</x:f>
        <x:v>300000</x:v>
      </x:c>
      <x:c r="AI30" s="424" t="n">
        <x:f>IF(AI$28&lt;=$C$8,0,INDEX('Вхідні дані'!$C$6:$AL$6,1,MAX(1,AI$28-$C$8))*$C$5*$C$24)</x:f>
        <x:v>300000</x:v>
      </x:c>
      <x:c r="AJ30" s="424" t="n">
        <x:f>IF(AJ$28&lt;=$C$8,0,INDEX('Вхідні дані'!$C$6:$AL$6,1,MAX(1,AJ$28-$C$8))*$C$5*$C$24)</x:f>
        <x:v>300000</x:v>
      </x:c>
      <x:c r="AK30" s="424" t="n">
        <x:f>IF(AK$28&lt;=$C$8,0,INDEX('Вхідні дані'!$C$6:$AL$6,1,MAX(1,AK$28-$C$8))*$C$5*$C$24)</x:f>
        <x:v>300000</x:v>
      </x:c>
      <x:c r="AL30" s="424" t="n">
        <x:f>IF(AL$28&lt;=$C$8,0,INDEX('Вхідні дані'!$C$6:$AL$6,1,MAX(1,AL$28-$C$8))*$C$5*$C$24)</x:f>
        <x:v>300000</x:v>
      </x:c>
      <x:c r="AM30" s="399"/>
      <x:c r="AN30" s="399"/>
    </x:row>
    <x:row r="31" ht="29" customHeight="1">
      <x:c r="A31" s="399"/>
      <x:c r="B31" s="430" t="str">
        <x:v>Виручка нарахована всього</x:v>
      </x:c>
      <x:c r="C31" s="431" t="n">
        <x:f>SUM(C29:C30)</x:f>
        <x:v>200000</x:v>
      </x:c>
      <x:c r="D31" s="431" t="n">
        <x:f>SUM(D29:D30)</x:f>
        <x:v>200000</x:v>
      </x:c>
      <x:c r="E31" s="431" t="n">
        <x:f>SUM(E29:E30)</x:f>
        <x:v>200000</x:v>
      </x:c>
      <x:c r="F31" s="431" t="n">
        <x:f>SUM(F29:F30)</x:f>
        <x:v>280000</x:v>
      </x:c>
      <x:c r="G31" s="431" t="n">
        <x:f>SUM(G29:G30)</x:f>
        <x:v>280000</x:v>
      </x:c>
      <x:c r="H31" s="431" t="n">
        <x:f>SUM(H29:H30)</x:f>
        <x:v>300000</x:v>
      </x:c>
      <x:c r="I31" s="431" t="n">
        <x:f>SUM(I29:I30)</x:f>
        <x:v>300000</x:v>
      </x:c>
      <x:c r="J31" s="431" t="n">
        <x:f>SUM(J29:J30)</x:f>
        <x:v>350000</x:v>
      </x:c>
      <x:c r="K31" s="431" t="n">
        <x:f>SUM(K29:K30)</x:f>
        <x:v>380000</x:v>
      </x:c>
      <x:c r="L31" s="431" t="n">
        <x:f>SUM(L29:L30)</x:f>
        <x:v>380000</x:v>
      </x:c>
      <x:c r="M31" s="431" t="n">
        <x:f>SUM(M29:M30)</x:f>
        <x:v>480000</x:v>
      </x:c>
      <x:c r="N31" s="431" t="n">
        <x:f>SUM(N29:N30)</x:f>
        <x:v>480000</x:v>
      </x:c>
      <x:c r="O31" s="431" t="n">
        <x:f>SUM(O29:O30)</x:f>
        <x:v>480000</x:v>
      </x:c>
      <x:c r="P31" s="431" t="n">
        <x:f>SUM(P29:P30)</x:f>
        <x:v>550000</x:v>
      </x:c>
      <x:c r="Q31" s="431" t="n">
        <x:f>SUM(Q29:Q30)</x:f>
        <x:v>550000</x:v>
      </x:c>
      <x:c r="R31" s="431" t="n">
        <x:f>SUM(R29:R30)</x:f>
        <x:v>550000</x:v>
      </x:c>
      <x:c r="S31" s="431" t="n">
        <x:f>SUM(S29:S30)</x:f>
        <x:v>600000</x:v>
      </x:c>
      <x:c r="T31" s="431" t="n">
        <x:f>SUM(T29:T30)</x:f>
        <x:v>600000</x:v>
      </x:c>
      <x:c r="U31" s="431" t="n">
        <x:f>SUM(U29:U30)</x:f>
        <x:v>600000</x:v>
      </x:c>
      <x:c r="V31" s="431" t="n">
        <x:f>SUM(V29:V30)</x:f>
        <x:v>630000</x:v>
      </x:c>
      <x:c r="W31" s="431" t="n">
        <x:f>SUM(W29:W30)</x:f>
        <x:v>680000</x:v>
      </x:c>
      <x:c r="X31" s="431" t="n">
        <x:f>SUM(X29:X30)</x:f>
        <x:v>700000</x:v>
      </x:c>
      <x:c r="Y31" s="431" t="n">
        <x:f>SUM(Y29:Y30)</x:f>
        <x:v>700000</x:v>
      </x:c>
      <x:c r="Z31" s="431" t="n">
        <x:f>SUM(Z29:Z30)</x:f>
        <x:v>750000</x:v>
      </x:c>
      <x:c r="AA31" s="431" t="n">
        <x:f>SUM(AA29:AA30)</x:f>
        <x:v>750000</x:v>
      </x:c>
      <x:c r="AB31" s="431" t="n">
        <x:f>SUM(AB29:AB30)</x:f>
        <x:v>750000</x:v>
      </x:c>
      <x:c r="AC31" s="431" t="n">
        <x:f>SUM(AC29:AC30)</x:f>
        <x:v>750000</x:v>
      </x:c>
      <x:c r="AD31" s="431" t="n">
        <x:f>SUM(AD29:AD30)</x:f>
        <x:v>750000</x:v>
      </x:c>
      <x:c r="AE31" s="431" t="n">
        <x:f>SUM(AE29:AE30)</x:f>
        <x:v>750000</x:v>
      </x:c>
      <x:c r="AF31" s="431" t="n">
        <x:f>SUM(AF29:AF30)</x:f>
        <x:v>750000</x:v>
      </x:c>
      <x:c r="AG31" s="431" t="n">
        <x:f>SUM(AG29:AG30)</x:f>
        <x:v>750000</x:v>
      </x:c>
      <x:c r="AH31" s="431" t="n">
        <x:f>SUM(AH29:AH30)</x:f>
        <x:v>750000</x:v>
      </x:c>
      <x:c r="AI31" s="431" t="n">
        <x:f>SUM(AI29:AI30)</x:f>
        <x:v>750000</x:v>
      </x:c>
      <x:c r="AJ31" s="431" t="n">
        <x:f>SUM(AJ29:AJ30)</x:f>
        <x:v>750000</x:v>
      </x:c>
      <x:c r="AK31" s="431" t="n">
        <x:f>SUM(AK29:AK30)</x:f>
        <x:v>750000</x:v>
      </x:c>
      <x:c r="AL31" s="431" t="n">
        <x:f>SUM(AL29:AL30)</x:f>
        <x:v>750000</x:v>
      </x:c>
      <x:c r="AM31" s="399"/>
      <x:c r="AN31" s="399"/>
    </x:row>
    <x:row r="32" ht="29" customHeight="1">
      <x:c r="A32" s="399"/>
      <x:c r="B32" s="410" t="str">
        <x:v>Консалтинг: грошові надходження</x:v>
      </x:c>
      <x:c r="C32" s="424" t="n">
        <x:f>IF(C$28&lt;=$C$8+$C$7,0,INDEX('Вхідні дані'!$C$5:$AL$5,1,MAX(1,C$28-$C$8-$C$7))*$C$5)</x:f>
        <x:v>150000</x:v>
      </x:c>
      <x:c r="D32" s="424" t="n">
        <x:f>IF(D$28&lt;=$C$8+$C$7,0,INDEX('Вхідні дані'!$C$5:$AL$5,1,MAX(1,D$28-$C$8-$C$7))*$C$5)</x:f>
        <x:v>150000</x:v>
      </x:c>
      <x:c r="E32" s="424" t="n">
        <x:f>IF(E$28&lt;=$C$8+$C$7,0,INDEX('Вхідні дані'!$C$5:$AL$5,1,MAX(1,E$28-$C$8-$C$7))*$C$5)</x:f>
        <x:v>150000</x:v>
      </x:c>
      <x:c r="F32" s="424" t="n">
        <x:f>IF(F$28&lt;=$C$8+$C$7,0,INDEX('Вхідні дані'!$C$5:$AL$5,1,MAX(1,F$28-$C$8-$C$7))*$C$5)</x:f>
        <x:v>200000</x:v>
      </x:c>
      <x:c r="G32" s="424" t="n">
        <x:f>IF(G$28&lt;=$C$8+$C$7,0,INDEX('Вхідні дані'!$C$5:$AL$5,1,MAX(1,G$28-$C$8-$C$7))*$C$5)</x:f>
        <x:v>200000</x:v>
      </x:c>
      <x:c r="H32" s="424" t="n">
        <x:f>IF(H$28&lt;=$C$8+$C$7,0,INDEX('Вхідні дані'!$C$5:$AL$5,1,MAX(1,H$28-$C$8-$C$7))*$C$5)</x:f>
        <x:v>200000</x:v>
      </x:c>
      <x:c r="I32" s="424" t="n">
        <x:f>IF(I$28&lt;=$C$8+$C$7,0,INDEX('Вхідні дані'!$C$5:$AL$5,1,MAX(1,I$28-$C$8-$C$7))*$C$5)</x:f>
        <x:v>200000</x:v>
      </x:c>
      <x:c r="J32" s="424" t="n">
        <x:f>IF(J$28&lt;=$C$8+$C$7,0,INDEX('Вхідні дані'!$C$5:$AL$5,1,MAX(1,J$28-$C$8-$C$7))*$C$5)</x:f>
        <x:v>200000</x:v>
      </x:c>
      <x:c r="K32" s="424" t="n">
        <x:f>IF(K$28&lt;=$C$8+$C$7,0,INDEX('Вхідні дані'!$C$5:$AL$5,1,MAX(1,K$28-$C$8-$C$7))*$C$5)</x:f>
        <x:v>200000</x:v>
      </x:c>
      <x:c r="L32" s="424" t="n">
        <x:f>IF(L$28&lt;=$C$8+$C$7,0,INDEX('Вхідні дані'!$C$5:$AL$5,1,MAX(1,L$28-$C$8-$C$7))*$C$5)</x:f>
        <x:v>200000</x:v>
      </x:c>
      <x:c r="M32" s="424" t="n">
        <x:f>IF(M$28&lt;=$C$8+$C$7,0,INDEX('Вхідні дані'!$C$5:$AL$5,1,MAX(1,M$28-$C$8-$C$7))*$C$5)</x:f>
        <x:v>280000</x:v>
      </x:c>
      <x:c r="N32" s="424" t="n">
        <x:f>IF(N$28&lt;=$C$8+$C$7,0,INDEX('Вхідні дані'!$C$5:$AL$5,1,MAX(1,N$28-$C$8-$C$7))*$C$5)</x:f>
        <x:v>280000</x:v>
      </x:c>
      <x:c r="O32" s="424" t="n">
        <x:f>IF(O$28&lt;=$C$8+$C$7,0,INDEX('Вхідні дані'!$C$5:$AL$5,1,MAX(1,O$28-$C$8-$C$7))*$C$5)</x:f>
        <x:v>280000</x:v>
      </x:c>
      <x:c r="P32" s="424" t="n">
        <x:f>IF(P$28&lt;=$C$8+$C$7,0,INDEX('Вхідні дані'!$C$5:$AL$5,1,MAX(1,P$28-$C$8-$C$7))*$C$5)</x:f>
        <x:v>300000</x:v>
      </x:c>
      <x:c r="Q32" s="424" t="n">
        <x:f>IF(Q$28&lt;=$C$8+$C$7,0,INDEX('Вхідні дані'!$C$5:$AL$5,1,MAX(1,Q$28-$C$8-$C$7))*$C$5)</x:f>
        <x:v>300000</x:v>
      </x:c>
      <x:c r="R32" s="424" t="n">
        <x:f>IF(R$28&lt;=$C$8+$C$7,0,INDEX('Вхідні дані'!$C$5:$AL$5,1,MAX(1,R$28-$C$8-$C$7))*$C$5)</x:f>
        <x:v>300000</x:v>
      </x:c>
      <x:c r="S32" s="424" t="n">
        <x:f>IF(S$28&lt;=$C$8+$C$7,0,INDEX('Вхідні дані'!$C$5:$AL$5,1,MAX(1,S$28-$C$8-$C$7))*$C$5)</x:f>
        <x:v>350000</x:v>
      </x:c>
      <x:c r="T32" s="424" t="n">
        <x:f>IF(T$28&lt;=$C$8+$C$7,0,INDEX('Вхідні дані'!$C$5:$AL$5,1,MAX(1,T$28-$C$8-$C$7))*$C$5)</x:f>
        <x:v>350000</x:v>
      </x:c>
      <x:c r="U32" s="424" t="n">
        <x:f>IF(U$28&lt;=$C$8+$C$7,0,INDEX('Вхідні дані'!$C$5:$AL$5,1,MAX(1,U$28-$C$8-$C$7))*$C$5)</x:f>
        <x:v>350000</x:v>
      </x:c>
      <x:c r="V32" s="424" t="n">
        <x:f>IF(V$28&lt;=$C$8+$C$7,0,INDEX('Вхідні дані'!$C$5:$AL$5,1,MAX(1,V$28-$C$8-$C$7))*$C$5)</x:f>
        <x:v>350000</x:v>
      </x:c>
      <x:c r="W32" s="424" t="n">
        <x:f>IF(W$28&lt;=$C$8+$C$7,0,INDEX('Вхідні дані'!$C$5:$AL$5,1,MAX(1,W$28-$C$8-$C$7))*$C$5)</x:f>
        <x:v>400000</x:v>
      </x:c>
      <x:c r="X32" s="424" t="n">
        <x:f>IF(X$28&lt;=$C$8+$C$7,0,INDEX('Вхідні дані'!$C$5:$AL$5,1,MAX(1,X$28-$C$8-$C$7))*$C$5)</x:f>
        <x:v>420000</x:v>
      </x:c>
      <x:c r="Y32" s="424" t="n">
        <x:f>IF(Y$28&lt;=$C$8+$C$7,0,INDEX('Вхідні дані'!$C$5:$AL$5,1,MAX(1,Y$28-$C$8-$C$7))*$C$5)</x:f>
        <x:v>420000</x:v>
      </x:c>
      <x:c r="Z32" s="424" t="n">
        <x:f>IF(Z$28&lt;=$C$8+$C$7,0,INDEX('Вхідні дані'!$C$5:$AL$5,1,MAX(1,Z$28-$C$8-$C$7))*$C$5)</x:f>
        <x:v>450000</x:v>
      </x:c>
      <x:c r="AA32" s="424" t="n">
        <x:f>IF(AA$28&lt;=$C$8+$C$7,0,INDEX('Вхідні дані'!$C$5:$AL$5,1,MAX(1,AA$28-$C$8-$C$7))*$C$5)</x:f>
        <x:v>450000</x:v>
      </x:c>
      <x:c r="AB32" s="424" t="n">
        <x:f>IF(AB$28&lt;=$C$8+$C$7,0,INDEX('Вхідні дані'!$C$5:$AL$5,1,MAX(1,AB$28-$C$8-$C$7))*$C$5)</x:f>
        <x:v>450000</x:v>
      </x:c>
      <x:c r="AC32" s="424" t="n">
        <x:f>IF(AC$28&lt;=$C$8+$C$7,0,INDEX('Вхідні дані'!$C$5:$AL$5,1,MAX(1,AC$28-$C$8-$C$7))*$C$5)</x:f>
        <x:v>450000</x:v>
      </x:c>
      <x:c r="AD32" s="424" t="n">
        <x:f>IF(AD$28&lt;=$C$8+$C$7,0,INDEX('Вхідні дані'!$C$5:$AL$5,1,MAX(1,AD$28-$C$8-$C$7))*$C$5)</x:f>
        <x:v>450000</x:v>
      </x:c>
      <x:c r="AE32" s="424" t="n">
        <x:f>IF(AE$28&lt;=$C$8+$C$7,0,INDEX('Вхідні дані'!$C$5:$AL$5,1,MAX(1,AE$28-$C$8-$C$7))*$C$5)</x:f>
        <x:v>450000</x:v>
      </x:c>
      <x:c r="AF32" s="424" t="n">
        <x:f>IF(AF$28&lt;=$C$8+$C$7,0,INDEX('Вхідні дані'!$C$5:$AL$5,1,MAX(1,AF$28-$C$8-$C$7))*$C$5)</x:f>
        <x:v>450000</x:v>
      </x:c>
      <x:c r="AG32" s="424" t="n">
        <x:f>IF(AG$28&lt;=$C$8+$C$7,0,INDEX('Вхідні дані'!$C$5:$AL$5,1,MAX(1,AG$28-$C$8-$C$7))*$C$5)</x:f>
        <x:v>450000</x:v>
      </x:c>
      <x:c r="AH32" s="424" t="n">
        <x:f>IF(AH$28&lt;=$C$8+$C$7,0,INDEX('Вхідні дані'!$C$5:$AL$5,1,MAX(1,AH$28-$C$8-$C$7))*$C$5)</x:f>
        <x:v>450000</x:v>
      </x:c>
      <x:c r="AI32" s="424" t="n">
        <x:f>IF(AI$28&lt;=$C$8+$C$7,0,INDEX('Вхідні дані'!$C$5:$AL$5,1,MAX(1,AI$28-$C$8-$C$7))*$C$5)</x:f>
        <x:v>450000</x:v>
      </x:c>
      <x:c r="AJ32" s="424" t="n">
        <x:f>IF(AJ$28&lt;=$C$8+$C$7,0,INDEX('Вхідні дані'!$C$5:$AL$5,1,MAX(1,AJ$28-$C$8-$C$7))*$C$5)</x:f>
        <x:v>450000</x:v>
      </x:c>
      <x:c r="AK32" s="424" t="n">
        <x:f>IF(AK$28&lt;=$C$8+$C$7,0,INDEX('Вхідні дані'!$C$5:$AL$5,1,MAX(1,AK$28-$C$8-$C$7))*$C$5)</x:f>
        <x:v>450000</x:v>
      </x:c>
      <x:c r="AL32" s="424" t="n">
        <x:f>IF(AL$28&lt;=$C$8+$C$7,0,INDEX('Вхідні дані'!$C$5:$AL$5,1,MAX(1,AL$28-$C$8-$C$7))*$C$5)</x:f>
        <x:v>450000</x:v>
      </x:c>
      <x:c r="AM32" s="399"/>
      <x:c r="AN32" s="399"/>
    </x:row>
    <x:row r="33" ht="29" customHeight="1">
      <x:c r="A33" s="399"/>
      <x:c r="B33" s="410" t="str">
        <x:v>Юридичні послуги: надходження</x:v>
      </x:c>
      <x:c r="C33" s="424" t="n">
        <x:f>IF(C$28&lt;=$C$8+$C$7,0,INDEX('Вхідні дані'!$C$6:$AL$6,1,MAX(1,C$28-$C$8-$C$7))*$C$5*$C$24)</x:f>
        <x:v>50000</x:v>
      </x:c>
      <x:c r="D33" s="424" t="n">
        <x:f>IF(D$28&lt;=$C$8+$C$7,0,INDEX('Вхідні дані'!$C$6:$AL$6,1,MAX(1,D$28-$C$8-$C$7))*$C$5*$C$24)</x:f>
        <x:v>50000</x:v>
      </x:c>
      <x:c r="E33" s="424" t="n">
        <x:f>IF(E$28&lt;=$C$8+$C$7,0,INDEX('Вхідні дані'!$C$6:$AL$6,1,MAX(1,E$28-$C$8-$C$7))*$C$5*$C$24)</x:f>
        <x:v>50000</x:v>
      </x:c>
      <x:c r="F33" s="424" t="n">
        <x:f>IF(F$28&lt;=$C$8+$C$7,0,INDEX('Вхідні дані'!$C$6:$AL$6,1,MAX(1,F$28-$C$8-$C$7))*$C$5*$C$24)</x:f>
        <x:v>80000</x:v>
      </x:c>
      <x:c r="G33" s="424" t="n">
        <x:f>IF(G$28&lt;=$C$8+$C$7,0,INDEX('Вхідні дані'!$C$6:$AL$6,1,MAX(1,G$28-$C$8-$C$7))*$C$5*$C$24)</x:f>
        <x:v>80000</x:v>
      </x:c>
      <x:c r="H33" s="424" t="n">
        <x:f>IF(H$28&lt;=$C$8+$C$7,0,INDEX('Вхідні дані'!$C$6:$AL$6,1,MAX(1,H$28-$C$8-$C$7))*$C$5*$C$24)</x:f>
        <x:v>100000</x:v>
      </x:c>
      <x:c r="I33" s="424" t="n">
        <x:f>IF(I$28&lt;=$C$8+$C$7,0,INDEX('Вхідні дані'!$C$6:$AL$6,1,MAX(1,I$28-$C$8-$C$7))*$C$5*$C$24)</x:f>
        <x:v>100000</x:v>
      </x:c>
      <x:c r="J33" s="424" t="n">
        <x:f>IF(J$28&lt;=$C$8+$C$7,0,INDEX('Вхідні дані'!$C$6:$AL$6,1,MAX(1,J$28-$C$8-$C$7))*$C$5*$C$24)</x:f>
        <x:v>150000</x:v>
      </x:c>
      <x:c r="K33" s="424" t="n">
        <x:f>IF(K$28&lt;=$C$8+$C$7,0,INDEX('Вхідні дані'!$C$6:$AL$6,1,MAX(1,K$28-$C$8-$C$7))*$C$5*$C$24)</x:f>
        <x:v>180000</x:v>
      </x:c>
      <x:c r="L33" s="424" t="n">
        <x:f>IF(L$28&lt;=$C$8+$C$7,0,INDEX('Вхідні дані'!$C$6:$AL$6,1,MAX(1,L$28-$C$8-$C$7))*$C$5*$C$24)</x:f>
        <x:v>180000</x:v>
      </x:c>
      <x:c r="M33" s="424" t="n">
        <x:f>IF(M$28&lt;=$C$8+$C$7,0,INDEX('Вхідні дані'!$C$6:$AL$6,1,MAX(1,M$28-$C$8-$C$7))*$C$5*$C$24)</x:f>
        <x:v>200000</x:v>
      </x:c>
      <x:c r="N33" s="424" t="n">
        <x:f>IF(N$28&lt;=$C$8+$C$7,0,INDEX('Вхідні дані'!$C$6:$AL$6,1,MAX(1,N$28-$C$8-$C$7))*$C$5*$C$24)</x:f>
        <x:v>200000</x:v>
      </x:c>
      <x:c r="O33" s="424" t="n">
        <x:f>IF(O$28&lt;=$C$8+$C$7,0,INDEX('Вхідні дані'!$C$6:$AL$6,1,MAX(1,O$28-$C$8-$C$7))*$C$5*$C$24)</x:f>
        <x:v>200000</x:v>
      </x:c>
      <x:c r="P33" s="424" t="n">
        <x:f>IF(P$28&lt;=$C$8+$C$7,0,INDEX('Вхідні дані'!$C$6:$AL$6,1,MAX(1,P$28-$C$8-$C$7))*$C$5*$C$24)</x:f>
        <x:v>250000</x:v>
      </x:c>
      <x:c r="Q33" s="424" t="n">
        <x:f>IF(Q$28&lt;=$C$8+$C$7,0,INDEX('Вхідні дані'!$C$6:$AL$6,1,MAX(1,Q$28-$C$8-$C$7))*$C$5*$C$24)</x:f>
        <x:v>250000</x:v>
      </x:c>
      <x:c r="R33" s="424" t="n">
        <x:f>IF(R$28&lt;=$C$8+$C$7,0,INDEX('Вхідні дані'!$C$6:$AL$6,1,MAX(1,R$28-$C$8-$C$7))*$C$5*$C$24)</x:f>
        <x:v>250000</x:v>
      </x:c>
      <x:c r="S33" s="424" t="n">
        <x:f>IF(S$28&lt;=$C$8+$C$7,0,INDEX('Вхідні дані'!$C$6:$AL$6,1,MAX(1,S$28-$C$8-$C$7))*$C$5*$C$24)</x:f>
        <x:v>250000</x:v>
      </x:c>
      <x:c r="T33" s="424" t="n">
        <x:f>IF(T$28&lt;=$C$8+$C$7,0,INDEX('Вхідні дані'!$C$6:$AL$6,1,MAX(1,T$28-$C$8-$C$7))*$C$5*$C$24)</x:f>
        <x:v>250000</x:v>
      </x:c>
      <x:c r="U33" s="424" t="n">
        <x:f>IF(U$28&lt;=$C$8+$C$7,0,INDEX('Вхідні дані'!$C$6:$AL$6,1,MAX(1,U$28-$C$8-$C$7))*$C$5*$C$24)</x:f>
        <x:v>250000</x:v>
      </x:c>
      <x:c r="V33" s="424" t="n">
        <x:f>IF(V$28&lt;=$C$8+$C$7,0,INDEX('Вхідні дані'!$C$6:$AL$6,1,MAX(1,V$28-$C$8-$C$7))*$C$5*$C$24)</x:f>
        <x:v>280000</x:v>
      </x:c>
      <x:c r="W33" s="424" t="n">
        <x:f>IF(W$28&lt;=$C$8+$C$7,0,INDEX('Вхідні дані'!$C$6:$AL$6,1,MAX(1,W$28-$C$8-$C$7))*$C$5*$C$24)</x:f>
        <x:v>280000</x:v>
      </x:c>
      <x:c r="X33" s="424" t="n">
        <x:f>IF(X$28&lt;=$C$8+$C$7,0,INDEX('Вхідні дані'!$C$6:$AL$6,1,MAX(1,X$28-$C$8-$C$7))*$C$5*$C$24)</x:f>
        <x:v>280000</x:v>
      </x:c>
      <x:c r="Y33" s="424" t="n">
        <x:f>IF(Y$28&lt;=$C$8+$C$7,0,INDEX('Вхідні дані'!$C$6:$AL$6,1,MAX(1,Y$28-$C$8-$C$7))*$C$5*$C$24)</x:f>
        <x:v>280000</x:v>
      </x:c>
      <x:c r="Z33" s="424" t="n">
        <x:f>IF(Z$28&lt;=$C$8+$C$7,0,INDEX('Вхідні дані'!$C$6:$AL$6,1,MAX(1,Z$28-$C$8-$C$7))*$C$5*$C$24)</x:f>
        <x:v>300000</x:v>
      </x:c>
      <x:c r="AA33" s="424" t="n">
        <x:f>IF(AA$28&lt;=$C$8+$C$7,0,INDEX('Вхідні дані'!$C$6:$AL$6,1,MAX(1,AA$28-$C$8-$C$7))*$C$5*$C$24)</x:f>
        <x:v>300000</x:v>
      </x:c>
      <x:c r="AB33" s="424" t="n">
        <x:f>IF(AB$28&lt;=$C$8+$C$7,0,INDEX('Вхідні дані'!$C$6:$AL$6,1,MAX(1,AB$28-$C$8-$C$7))*$C$5*$C$24)</x:f>
        <x:v>300000</x:v>
      </x:c>
      <x:c r="AC33" s="424" t="n">
        <x:f>IF(AC$28&lt;=$C$8+$C$7,0,INDEX('Вхідні дані'!$C$6:$AL$6,1,MAX(1,AC$28-$C$8-$C$7))*$C$5*$C$24)</x:f>
        <x:v>300000</x:v>
      </x:c>
      <x:c r="AD33" s="424" t="n">
        <x:f>IF(AD$28&lt;=$C$8+$C$7,0,INDEX('Вхідні дані'!$C$6:$AL$6,1,MAX(1,AD$28-$C$8-$C$7))*$C$5*$C$24)</x:f>
        <x:v>300000</x:v>
      </x:c>
      <x:c r="AE33" s="424" t="n">
        <x:f>IF(AE$28&lt;=$C$8+$C$7,0,INDEX('Вхідні дані'!$C$6:$AL$6,1,MAX(1,AE$28-$C$8-$C$7))*$C$5*$C$24)</x:f>
        <x:v>300000</x:v>
      </x:c>
      <x:c r="AF33" s="424" t="n">
        <x:f>IF(AF$28&lt;=$C$8+$C$7,0,INDEX('Вхідні дані'!$C$6:$AL$6,1,MAX(1,AF$28-$C$8-$C$7))*$C$5*$C$24)</x:f>
        <x:v>300000</x:v>
      </x:c>
      <x:c r="AG33" s="424" t="n">
        <x:f>IF(AG$28&lt;=$C$8+$C$7,0,INDEX('Вхідні дані'!$C$6:$AL$6,1,MAX(1,AG$28-$C$8-$C$7))*$C$5*$C$24)</x:f>
        <x:v>300000</x:v>
      </x:c>
      <x:c r="AH33" s="424" t="n">
        <x:f>IF(AH$28&lt;=$C$8+$C$7,0,INDEX('Вхідні дані'!$C$6:$AL$6,1,MAX(1,AH$28-$C$8-$C$7))*$C$5*$C$24)</x:f>
        <x:v>300000</x:v>
      </x:c>
      <x:c r="AI33" s="424" t="n">
        <x:f>IF(AI$28&lt;=$C$8+$C$7,0,INDEX('Вхідні дані'!$C$6:$AL$6,1,MAX(1,AI$28-$C$8-$C$7))*$C$5*$C$24)</x:f>
        <x:v>300000</x:v>
      </x:c>
      <x:c r="AJ33" s="424" t="n">
        <x:f>IF(AJ$28&lt;=$C$8+$C$7,0,INDEX('Вхідні дані'!$C$6:$AL$6,1,MAX(1,AJ$28-$C$8-$C$7))*$C$5*$C$24)</x:f>
        <x:v>300000</x:v>
      </x:c>
      <x:c r="AK33" s="424" t="n">
        <x:f>IF(AK$28&lt;=$C$8+$C$7,0,INDEX('Вхідні дані'!$C$6:$AL$6,1,MAX(1,AK$28-$C$8-$C$7))*$C$5*$C$24)</x:f>
        <x:v>300000</x:v>
      </x:c>
      <x:c r="AL33" s="424" t="n">
        <x:f>IF(AL$28&lt;=$C$8+$C$7,0,INDEX('Вхідні дані'!$C$6:$AL$6,1,MAX(1,AL$28-$C$8-$C$7))*$C$5*$C$24)</x:f>
        <x:v>300000</x:v>
      </x:c>
      <x:c r="AM33" s="399"/>
      <x:c r="AN33" s="399"/>
    </x:row>
    <x:row r="34" ht="29" customHeight="1">
      <x:c r="A34" s="399"/>
      <x:c r="B34" s="430" t="str">
        <x:v>Надходження від клієнтів всього</x:v>
      </x:c>
      <x:c r="C34" s="431" t="n">
        <x:f>SUM(C32:C33)</x:f>
        <x:v>200000</x:v>
      </x:c>
      <x:c r="D34" s="431" t="n">
        <x:f>SUM(D32:D33)</x:f>
        <x:v>200000</x:v>
      </x:c>
      <x:c r="E34" s="431" t="n">
        <x:f>SUM(E32:E33)</x:f>
        <x:v>200000</x:v>
      </x:c>
      <x:c r="F34" s="431" t="n">
        <x:f>SUM(F32:F33)</x:f>
        <x:v>280000</x:v>
      </x:c>
      <x:c r="G34" s="431" t="n">
        <x:f>SUM(G32:G33)</x:f>
        <x:v>280000</x:v>
      </x:c>
      <x:c r="H34" s="431" t="n">
        <x:f>SUM(H32:H33)</x:f>
        <x:v>300000</x:v>
      </x:c>
      <x:c r="I34" s="431" t="n">
        <x:f>SUM(I32:I33)</x:f>
        <x:v>300000</x:v>
      </x:c>
      <x:c r="J34" s="431" t="n">
        <x:f>SUM(J32:J33)</x:f>
        <x:v>350000</x:v>
      </x:c>
      <x:c r="K34" s="431" t="n">
        <x:f>SUM(K32:K33)</x:f>
        <x:v>380000</x:v>
      </x:c>
      <x:c r="L34" s="431" t="n">
        <x:f>SUM(L32:L33)</x:f>
        <x:v>380000</x:v>
      </x:c>
      <x:c r="M34" s="431" t="n">
        <x:f>SUM(M32:M33)</x:f>
        <x:v>480000</x:v>
      </x:c>
      <x:c r="N34" s="431" t="n">
        <x:f>SUM(N32:N33)</x:f>
        <x:v>480000</x:v>
      </x:c>
      <x:c r="O34" s="431" t="n">
        <x:f>SUM(O32:O33)</x:f>
        <x:v>480000</x:v>
      </x:c>
      <x:c r="P34" s="431" t="n">
        <x:f>SUM(P32:P33)</x:f>
        <x:v>550000</x:v>
      </x:c>
      <x:c r="Q34" s="431" t="n">
        <x:f>SUM(Q32:Q33)</x:f>
        <x:v>550000</x:v>
      </x:c>
      <x:c r="R34" s="431" t="n">
        <x:f>SUM(R32:R33)</x:f>
        <x:v>550000</x:v>
      </x:c>
      <x:c r="S34" s="431" t="n">
        <x:f>SUM(S32:S33)</x:f>
        <x:v>600000</x:v>
      </x:c>
      <x:c r="T34" s="431" t="n">
        <x:f>SUM(T32:T33)</x:f>
        <x:v>600000</x:v>
      </x:c>
      <x:c r="U34" s="431" t="n">
        <x:f>SUM(U32:U33)</x:f>
        <x:v>600000</x:v>
      </x:c>
      <x:c r="V34" s="431" t="n">
        <x:f>SUM(V32:V33)</x:f>
        <x:v>630000</x:v>
      </x:c>
      <x:c r="W34" s="431" t="n">
        <x:f>SUM(W32:W33)</x:f>
        <x:v>680000</x:v>
      </x:c>
      <x:c r="X34" s="431" t="n">
        <x:f>SUM(X32:X33)</x:f>
        <x:v>700000</x:v>
      </x:c>
      <x:c r="Y34" s="431" t="n">
        <x:f>SUM(Y32:Y33)</x:f>
        <x:v>700000</x:v>
      </x:c>
      <x:c r="Z34" s="431" t="n">
        <x:f>SUM(Z32:Z33)</x:f>
        <x:v>750000</x:v>
      </x:c>
      <x:c r="AA34" s="431" t="n">
        <x:f>SUM(AA32:AA33)</x:f>
        <x:v>750000</x:v>
      </x:c>
      <x:c r="AB34" s="431" t="n">
        <x:f>SUM(AB32:AB33)</x:f>
        <x:v>750000</x:v>
      </x:c>
      <x:c r="AC34" s="431" t="n">
        <x:f>SUM(AC32:AC33)</x:f>
        <x:v>750000</x:v>
      </x:c>
      <x:c r="AD34" s="431" t="n">
        <x:f>SUM(AD32:AD33)</x:f>
        <x:v>750000</x:v>
      </x:c>
      <x:c r="AE34" s="431" t="n">
        <x:f>SUM(AE32:AE33)</x:f>
        <x:v>750000</x:v>
      </x:c>
      <x:c r="AF34" s="431" t="n">
        <x:f>SUM(AF32:AF33)</x:f>
        <x:v>750000</x:v>
      </x:c>
      <x:c r="AG34" s="431" t="n">
        <x:f>SUM(AG32:AG33)</x:f>
        <x:v>750000</x:v>
      </x:c>
      <x:c r="AH34" s="431" t="n">
        <x:f>SUM(AH32:AH33)</x:f>
        <x:v>750000</x:v>
      </x:c>
      <x:c r="AI34" s="431" t="n">
        <x:f>SUM(AI32:AI33)</x:f>
        <x:v>750000</x:v>
      </x:c>
      <x:c r="AJ34" s="431" t="n">
        <x:f>SUM(AJ32:AJ33)</x:f>
        <x:v>750000</x:v>
      </x:c>
      <x:c r="AK34" s="431" t="n">
        <x:f>SUM(AK32:AK33)</x:f>
        <x:v>750000</x:v>
      </x:c>
      <x:c r="AL34" s="431" t="n">
        <x:f>SUM(AL32:AL33)</x:f>
        <x:v>750000</x:v>
      </x:c>
      <x:c r="AM34" s="399"/>
      <x:c r="AN34" s="399"/>
    </x:row>
    <x:row r="35" ht="29" customHeight="1">
      <x:c r="A35" s="399"/>
      <x:c r="B35" s="410" t="str">
        <x:v>Отримання гранту — фінансування</x:v>
      </x:c>
      <x:c r="C35" s="425" t="n">
        <x:f>IF(C$28=1,$C$9,0)</x:f>
        <x:v>1799898</x:v>
      </x:c>
      <x:c r="D35" s="425" t="n">
        <x:f>IF(D$28=1,$C$9,0)</x:f>
        <x:v>0</x:v>
      </x:c>
      <x:c r="E35" s="425" t="n">
        <x:f>IF(E$28=1,$C$9,0)</x:f>
        <x:v>0</x:v>
      </x:c>
      <x:c r="F35" s="425" t="n">
        <x:f>IF(F$28=1,$C$9,0)</x:f>
        <x:v>0</x:v>
      </x:c>
      <x:c r="G35" s="425" t="n">
        <x:f>IF(G$28=1,$C$9,0)</x:f>
        <x:v>0</x:v>
      </x:c>
      <x:c r="H35" s="425" t="n">
        <x:f>IF(H$28=1,$C$9,0)</x:f>
        <x:v>0</x:v>
      </x:c>
      <x:c r="I35" s="425" t="n">
        <x:f>IF(I$28=1,$C$9,0)</x:f>
        <x:v>0</x:v>
      </x:c>
      <x:c r="J35" s="425" t="n">
        <x:f>IF(J$28=1,$C$9,0)</x:f>
        <x:v>0</x:v>
      </x:c>
      <x:c r="K35" s="425" t="n">
        <x:f>IF(K$28=1,$C$9,0)</x:f>
        <x:v>0</x:v>
      </x:c>
      <x:c r="L35" s="425" t="n">
        <x:f>IF(L$28=1,$C$9,0)</x:f>
        <x:v>0</x:v>
      </x:c>
      <x:c r="M35" s="425" t="n">
        <x:f>IF(M$28=1,$C$9,0)</x:f>
        <x:v>0</x:v>
      </x:c>
      <x:c r="N35" s="425" t="n">
        <x:f>IF(N$28=1,$C$9,0)</x:f>
        <x:v>0</x:v>
      </x:c>
      <x:c r="O35" s="425" t="n">
        <x:f>IF(O$28=1,$C$9,0)</x:f>
        <x:v>0</x:v>
      </x:c>
      <x:c r="P35" s="425" t="n">
        <x:f>IF(P$28=1,$C$9,0)</x:f>
        <x:v>0</x:v>
      </x:c>
      <x:c r="Q35" s="425" t="n">
        <x:f>IF(Q$28=1,$C$9,0)</x:f>
        <x:v>0</x:v>
      </x:c>
      <x:c r="R35" s="425" t="n">
        <x:f>IF(R$28=1,$C$9,0)</x:f>
        <x:v>0</x:v>
      </x:c>
      <x:c r="S35" s="425" t="n">
        <x:f>IF(S$28=1,$C$9,0)</x:f>
        <x:v>0</x:v>
      </x:c>
      <x:c r="T35" s="425" t="n">
        <x:f>IF(T$28=1,$C$9,0)</x:f>
        <x:v>0</x:v>
      </x:c>
      <x:c r="U35" s="425" t="n">
        <x:f>IF(U$28=1,$C$9,0)</x:f>
        <x:v>0</x:v>
      </x:c>
      <x:c r="V35" s="425" t="n">
        <x:f>IF(V$28=1,$C$9,0)</x:f>
        <x:v>0</x:v>
      </x:c>
      <x:c r="W35" s="425" t="n">
        <x:f>IF(W$28=1,$C$9,0)</x:f>
        <x:v>0</x:v>
      </x:c>
      <x:c r="X35" s="425" t="n">
        <x:f>IF(X$28=1,$C$9,0)</x:f>
        <x:v>0</x:v>
      </x:c>
      <x:c r="Y35" s="425" t="n">
        <x:f>IF(Y$28=1,$C$9,0)</x:f>
        <x:v>0</x:v>
      </x:c>
      <x:c r="Z35" s="425" t="n">
        <x:f>IF(Z$28=1,$C$9,0)</x:f>
        <x:v>0</x:v>
      </x:c>
      <x:c r="AA35" s="425" t="n">
        <x:f>IF(AA$28=1,$C$9,0)</x:f>
        <x:v>0</x:v>
      </x:c>
      <x:c r="AB35" s="425" t="n">
        <x:f>IF(AB$28=1,$C$9,0)</x:f>
        <x:v>0</x:v>
      </x:c>
      <x:c r="AC35" s="425" t="n">
        <x:f>IF(AC$28=1,$C$9,0)</x:f>
        <x:v>0</x:v>
      </x:c>
      <x:c r="AD35" s="425" t="n">
        <x:f>IF(AD$28=1,$C$9,0)</x:f>
        <x:v>0</x:v>
      </x:c>
      <x:c r="AE35" s="425" t="n">
        <x:f>IF(AE$28=1,$C$9,0)</x:f>
        <x:v>0</x:v>
      </x:c>
      <x:c r="AF35" s="425" t="n">
        <x:f>IF(AF$28=1,$C$9,0)</x:f>
        <x:v>0</x:v>
      </x:c>
      <x:c r="AG35" s="425" t="n">
        <x:f>IF(AG$28=1,$C$9,0)</x:f>
        <x:v>0</x:v>
      </x:c>
      <x:c r="AH35" s="425" t="n">
        <x:f>IF(AH$28=1,$C$9,0)</x:f>
        <x:v>0</x:v>
      </x:c>
      <x:c r="AI35" s="425" t="n">
        <x:f>IF(AI$28=1,$C$9,0)</x:f>
        <x:v>0</x:v>
      </x:c>
      <x:c r="AJ35" s="425" t="n">
        <x:f>IF(AJ$28=1,$C$9,0)</x:f>
        <x:v>0</x:v>
      </x:c>
      <x:c r="AK35" s="425" t="n">
        <x:f>IF(AK$28=1,$C$9,0)</x:f>
        <x:v>0</x:v>
      </x:c>
      <x:c r="AL35" s="425" t="n">
        <x:f>IF(AL$28=1,$C$9,0)</x:f>
        <x:v>0</x:v>
      </x:c>
      <x:c r="AM35" s="399"/>
      <x:c r="AN35" s="399"/>
    </x:row>
    <x:row r="36" ht="29" customHeight="1">
      <x:c r="A36" s="399"/>
      <x:c r="B36" s="410" t="str">
        <x:v>Власне фінансування навчання</x:v>
      </x:c>
      <x:c r="C36" s="425" t="n">
        <x:f>IF(C$28=1,$C$16,0)+IF(C$28=$C$18,$C$17,0)</x:f>
        <x:v>110000</x:v>
      </x:c>
      <x:c r="D36" s="425" t="n">
        <x:f>IF(D$28=1,$C$16,0)+IF(D$28=$C$18,$C$17,0)</x:f>
        <x:v>0</x:v>
      </x:c>
      <x:c r="E36" s="425" t="n">
        <x:f>IF(E$28=1,$C$16,0)+IF(E$28=$C$18,$C$17,0)</x:f>
        <x:v>0</x:v>
      </x:c>
      <x:c r="F36" s="425" t="n">
        <x:f>IF(F$28=1,$C$16,0)+IF(F$28=$C$18,$C$17,0)</x:f>
        <x:v>0</x:v>
      </x:c>
      <x:c r="G36" s="425" t="n">
        <x:f>IF(G$28=1,$C$16,0)+IF(G$28=$C$18,$C$17,0)</x:f>
        <x:v>0</x:v>
      </x:c>
      <x:c r="H36" s="425" t="n">
        <x:f>IF(H$28=1,$C$16,0)+IF(H$28=$C$18,$C$17,0)</x:f>
        <x:v>0</x:v>
      </x:c>
      <x:c r="I36" s="425" t="n">
        <x:f>IF(I$28=1,$C$16,0)+IF(I$28=$C$18,$C$17,0)</x:f>
        <x:v>0</x:v>
      </x:c>
      <x:c r="J36" s="425" t="n">
        <x:f>IF(J$28=1,$C$16,0)+IF(J$28=$C$18,$C$17,0)</x:f>
        <x:v>0</x:v>
      </x:c>
      <x:c r="K36" s="425" t="n">
        <x:f>IF(K$28=1,$C$16,0)+IF(K$28=$C$18,$C$17,0)</x:f>
        <x:v>0</x:v>
      </x:c>
      <x:c r="L36" s="425" t="n">
        <x:f>IF(L$28=1,$C$16,0)+IF(L$28=$C$18,$C$17,0)</x:f>
        <x:v>0</x:v>
      </x:c>
      <x:c r="M36" s="425" t="n">
        <x:f>IF(M$28=1,$C$16,0)+IF(M$28=$C$18,$C$17,0)</x:f>
        <x:v>0</x:v>
      </x:c>
      <x:c r="N36" s="425" t="n">
        <x:f>IF(N$28=1,$C$16,0)+IF(N$28=$C$18,$C$17,0)</x:f>
        <x:v>0</x:v>
      </x:c>
      <x:c r="O36" s="425" t="n">
        <x:f>IF(O$28=1,$C$16,0)+IF(O$28=$C$18,$C$17,0)</x:f>
        <x:v>275860</x:v>
      </x:c>
      <x:c r="P36" s="425" t="n">
        <x:f>IF(P$28=1,$C$16,0)+IF(P$28=$C$18,$C$17,0)</x:f>
        <x:v>0</x:v>
      </x:c>
      <x:c r="Q36" s="425" t="n">
        <x:f>IF(Q$28=1,$C$16,0)+IF(Q$28=$C$18,$C$17,0)</x:f>
        <x:v>0</x:v>
      </x:c>
      <x:c r="R36" s="425" t="n">
        <x:f>IF(R$28=1,$C$16,0)+IF(R$28=$C$18,$C$17,0)</x:f>
        <x:v>0</x:v>
      </x:c>
      <x:c r="S36" s="425" t="n">
        <x:f>IF(S$28=1,$C$16,0)+IF(S$28=$C$18,$C$17,0)</x:f>
        <x:v>0</x:v>
      </x:c>
      <x:c r="T36" s="425" t="n">
        <x:f>IF(T$28=1,$C$16,0)+IF(T$28=$C$18,$C$17,0)</x:f>
        <x:v>0</x:v>
      </x:c>
      <x:c r="U36" s="425" t="n">
        <x:f>IF(U$28=1,$C$16,0)+IF(U$28=$C$18,$C$17,0)</x:f>
        <x:v>0</x:v>
      </x:c>
      <x:c r="V36" s="425" t="n">
        <x:f>IF(V$28=1,$C$16,0)+IF(V$28=$C$18,$C$17,0)</x:f>
        <x:v>0</x:v>
      </x:c>
      <x:c r="W36" s="425" t="n">
        <x:f>IF(W$28=1,$C$16,0)+IF(W$28=$C$18,$C$17,0)</x:f>
        <x:v>0</x:v>
      </x:c>
      <x:c r="X36" s="425" t="n">
        <x:f>IF(X$28=1,$C$16,0)+IF(X$28=$C$18,$C$17,0)</x:f>
        <x:v>0</x:v>
      </x:c>
      <x:c r="Y36" s="425" t="n">
        <x:f>IF(Y$28=1,$C$16,0)+IF(Y$28=$C$18,$C$17,0)</x:f>
        <x:v>0</x:v>
      </x:c>
      <x:c r="Z36" s="425" t="n">
        <x:f>IF(Z$28=1,$C$16,0)+IF(Z$28=$C$18,$C$17,0)</x:f>
        <x:v>0</x:v>
      </x:c>
      <x:c r="AA36" s="425" t="n">
        <x:f>IF(AA$28=1,$C$16,0)+IF(AA$28=$C$18,$C$17,0)</x:f>
        <x:v>0</x:v>
      </x:c>
      <x:c r="AB36" s="425" t="n">
        <x:f>IF(AB$28=1,$C$16,0)+IF(AB$28=$C$18,$C$17,0)</x:f>
        <x:v>0</x:v>
      </x:c>
      <x:c r="AC36" s="425" t="n">
        <x:f>IF(AC$28=1,$C$16,0)+IF(AC$28=$C$18,$C$17,0)</x:f>
        <x:v>0</x:v>
      </x:c>
      <x:c r="AD36" s="425" t="n">
        <x:f>IF(AD$28=1,$C$16,0)+IF(AD$28=$C$18,$C$17,0)</x:f>
        <x:v>0</x:v>
      </x:c>
      <x:c r="AE36" s="425" t="n">
        <x:f>IF(AE$28=1,$C$16,0)+IF(AE$28=$C$18,$C$17,0)</x:f>
        <x:v>0</x:v>
      </x:c>
      <x:c r="AF36" s="425" t="n">
        <x:f>IF(AF$28=1,$C$16,0)+IF(AF$28=$C$18,$C$17,0)</x:f>
        <x:v>0</x:v>
      </x:c>
      <x:c r="AG36" s="425" t="n">
        <x:f>IF(AG$28=1,$C$16,0)+IF(AG$28=$C$18,$C$17,0)</x:f>
        <x:v>0</x:v>
      </x:c>
      <x:c r="AH36" s="425" t="n">
        <x:f>IF(AH$28=1,$C$16,0)+IF(AH$28=$C$18,$C$17,0)</x:f>
        <x:v>0</x:v>
      </x:c>
      <x:c r="AI36" s="425" t="n">
        <x:f>IF(AI$28=1,$C$16,0)+IF(AI$28=$C$18,$C$17,0)</x:f>
        <x:v>0</x:v>
      </x:c>
      <x:c r="AJ36" s="425" t="n">
        <x:f>IF(AJ$28=1,$C$16,0)+IF(AJ$28=$C$18,$C$17,0)</x:f>
        <x:v>0</x:v>
      </x:c>
      <x:c r="AK36" s="425" t="n">
        <x:f>IF(AK$28=1,$C$16,0)+IF(AK$28=$C$18,$C$17,0)</x:f>
        <x:v>0</x:v>
      </x:c>
      <x:c r="AL36" s="425" t="n">
        <x:f>IF(AL$28=1,$C$16,0)+IF(AL$28=$C$18,$C$17,0)</x:f>
        <x:v>0</x:v>
      </x:c>
      <x:c r="AM36" s="399"/>
      <x:c r="AN36" s="399"/>
    </x:row>
    <x:row r="37" ht="29" customHeight="1">
      <x:c r="A37" s="399"/>
      <x:c r="B37" s="430" t="str">
        <x:v>Усі надходження та фінансування</x:v>
      </x:c>
      <x:c r="C37" s="431" t="n">
        <x:f>SUM(C34:C36)</x:f>
        <x:v>2109898</x:v>
      </x:c>
      <x:c r="D37" s="431" t="n">
        <x:f>SUM(D34:D36)</x:f>
        <x:v>200000</x:v>
      </x:c>
      <x:c r="E37" s="431" t="n">
        <x:f>SUM(E34:E36)</x:f>
        <x:v>200000</x:v>
      </x:c>
      <x:c r="F37" s="431" t="n">
        <x:f>SUM(F34:F36)</x:f>
        <x:v>280000</x:v>
      </x:c>
      <x:c r="G37" s="431" t="n">
        <x:f>SUM(G34:G36)</x:f>
        <x:v>280000</x:v>
      </x:c>
      <x:c r="H37" s="431" t="n">
        <x:f>SUM(H34:H36)</x:f>
        <x:v>300000</x:v>
      </x:c>
      <x:c r="I37" s="431" t="n">
        <x:f>SUM(I34:I36)</x:f>
        <x:v>300000</x:v>
      </x:c>
      <x:c r="J37" s="431" t="n">
        <x:f>SUM(J34:J36)</x:f>
        <x:v>350000</x:v>
      </x:c>
      <x:c r="K37" s="431" t="n">
        <x:f>SUM(K34:K36)</x:f>
        <x:v>380000</x:v>
      </x:c>
      <x:c r="L37" s="431" t="n">
        <x:f>SUM(L34:L36)</x:f>
        <x:v>380000</x:v>
      </x:c>
      <x:c r="M37" s="431" t="n">
        <x:f>SUM(M34:M36)</x:f>
        <x:v>480000</x:v>
      </x:c>
      <x:c r="N37" s="431" t="n">
        <x:f>SUM(N34:N36)</x:f>
        <x:v>480000</x:v>
      </x:c>
      <x:c r="O37" s="431" t="n">
        <x:f>SUM(O34:O36)</x:f>
        <x:v>755860</x:v>
      </x:c>
      <x:c r="P37" s="431" t="n">
        <x:f>SUM(P34:P36)</x:f>
        <x:v>550000</x:v>
      </x:c>
      <x:c r="Q37" s="431" t="n">
        <x:f>SUM(Q34:Q36)</x:f>
        <x:v>550000</x:v>
      </x:c>
      <x:c r="R37" s="431" t="n">
        <x:f>SUM(R34:R36)</x:f>
        <x:v>550000</x:v>
      </x:c>
      <x:c r="S37" s="431" t="n">
        <x:f>SUM(S34:S36)</x:f>
        <x:v>600000</x:v>
      </x:c>
      <x:c r="T37" s="431" t="n">
        <x:f>SUM(T34:T36)</x:f>
        <x:v>600000</x:v>
      </x:c>
      <x:c r="U37" s="431" t="n">
        <x:f>SUM(U34:U36)</x:f>
        <x:v>600000</x:v>
      </x:c>
      <x:c r="V37" s="431" t="n">
        <x:f>SUM(V34:V36)</x:f>
        <x:v>630000</x:v>
      </x:c>
      <x:c r="W37" s="431" t="n">
        <x:f>SUM(W34:W36)</x:f>
        <x:v>680000</x:v>
      </x:c>
      <x:c r="X37" s="431" t="n">
        <x:f>SUM(X34:X36)</x:f>
        <x:v>700000</x:v>
      </x:c>
      <x:c r="Y37" s="431" t="n">
        <x:f>SUM(Y34:Y36)</x:f>
        <x:v>700000</x:v>
      </x:c>
      <x:c r="Z37" s="431" t="n">
        <x:f>SUM(Z34:Z36)</x:f>
        <x:v>750000</x:v>
      </x:c>
      <x:c r="AA37" s="431" t="n">
        <x:f>SUM(AA34:AA36)</x:f>
        <x:v>750000</x:v>
      </x:c>
      <x:c r="AB37" s="431" t="n">
        <x:f>SUM(AB34:AB36)</x:f>
        <x:v>750000</x:v>
      </x:c>
      <x:c r="AC37" s="431" t="n">
        <x:f>SUM(AC34:AC36)</x:f>
        <x:v>750000</x:v>
      </x:c>
      <x:c r="AD37" s="431" t="n">
        <x:f>SUM(AD34:AD36)</x:f>
        <x:v>750000</x:v>
      </x:c>
      <x:c r="AE37" s="431" t="n">
        <x:f>SUM(AE34:AE36)</x:f>
        <x:v>750000</x:v>
      </x:c>
      <x:c r="AF37" s="431" t="n">
        <x:f>SUM(AF34:AF36)</x:f>
        <x:v>750000</x:v>
      </x:c>
      <x:c r="AG37" s="431" t="n">
        <x:f>SUM(AG34:AG36)</x:f>
        <x:v>750000</x:v>
      </x:c>
      <x:c r="AH37" s="431" t="n">
        <x:f>SUM(AH34:AH36)</x:f>
        <x:v>750000</x:v>
      </x:c>
      <x:c r="AI37" s="431" t="n">
        <x:f>SUM(AI34:AI36)</x:f>
        <x:v>750000</x:v>
      </x:c>
      <x:c r="AJ37" s="431" t="n">
        <x:f>SUM(AJ34:AJ36)</x:f>
        <x:v>750000</x:v>
      </x:c>
      <x:c r="AK37" s="431" t="n">
        <x:f>SUM(AK34:AK36)</x:f>
        <x:v>750000</x:v>
      </x:c>
      <x:c r="AL37" s="431" t="n">
        <x:f>SUM(AL34:AL36)</x:f>
        <x:v>750000</x:v>
      </x:c>
      <x:c r="AM37" s="399"/>
      <x:c r="AN37" s="399"/>
    </x:row>
    <x:row r="38" ht="29" customHeight="1">
      <x:c r="A38" s="399"/>
      <x:c r="B38" s="410"/>
      <x:c r="C38" s="426"/>
      <x:c r="D38" s="426"/>
      <x:c r="E38" s="426"/>
      <x:c r="F38" s="426"/>
      <x:c r="G38" s="426"/>
      <x:c r="H38" s="426"/>
      <x:c r="I38" s="426"/>
      <x:c r="J38" s="426"/>
      <x:c r="K38" s="426"/>
      <x:c r="L38" s="426"/>
      <x:c r="M38" s="426"/>
      <x:c r="N38" s="426"/>
      <x:c r="O38" s="426"/>
      <x:c r="P38" s="426"/>
      <x:c r="Q38" s="426"/>
      <x:c r="R38" s="426"/>
      <x:c r="S38" s="426"/>
      <x:c r="T38" s="426"/>
      <x:c r="U38" s="426"/>
      <x:c r="V38" s="426"/>
      <x:c r="W38" s="426"/>
      <x:c r="X38" s="426"/>
      <x:c r="Y38" s="426"/>
      <x:c r="Z38" s="426"/>
      <x:c r="AA38" s="426"/>
      <x:c r="AB38" s="426"/>
      <x:c r="AC38" s="426"/>
      <x:c r="AD38" s="426"/>
      <x:c r="AE38" s="426"/>
      <x:c r="AF38" s="426"/>
      <x:c r="AG38" s="426"/>
      <x:c r="AH38" s="426"/>
      <x:c r="AI38" s="426"/>
      <x:c r="AJ38" s="426"/>
      <x:c r="AK38" s="426"/>
      <x:c r="AL38" s="426"/>
      <x:c r="AM38" s="399"/>
      <x:c r="AN38" s="399"/>
    </x:row>
    <x:row r="39" ht="29" customHeight="1">
      <x:c r="A39" s="399"/>
      <x:c r="B39" s="410"/>
      <x:c r="C39" s="426"/>
      <x:c r="D39" s="426"/>
      <x:c r="E39" s="426"/>
      <x:c r="F39" s="426"/>
      <x:c r="G39" s="426"/>
      <x:c r="H39" s="426"/>
      <x:c r="I39" s="426"/>
      <x:c r="J39" s="426"/>
      <x:c r="K39" s="426"/>
      <x:c r="L39" s="426"/>
      <x:c r="M39" s="426"/>
      <x:c r="N39" s="426"/>
      <x:c r="O39" s="426"/>
      <x:c r="P39" s="426"/>
      <x:c r="Q39" s="426"/>
      <x:c r="R39" s="426"/>
      <x:c r="S39" s="426"/>
      <x:c r="T39" s="426"/>
      <x:c r="U39" s="426"/>
      <x:c r="V39" s="426"/>
      <x:c r="W39" s="426"/>
      <x:c r="X39" s="426"/>
      <x:c r="Y39" s="426"/>
      <x:c r="Z39" s="426"/>
      <x:c r="AA39" s="426"/>
      <x:c r="AB39" s="426"/>
      <x:c r="AC39" s="426"/>
      <x:c r="AD39" s="426"/>
      <x:c r="AE39" s="426"/>
      <x:c r="AF39" s="426"/>
      <x:c r="AG39" s="426"/>
      <x:c r="AH39" s="426"/>
      <x:c r="AI39" s="426"/>
      <x:c r="AJ39" s="426"/>
      <x:c r="AK39" s="426"/>
      <x:c r="AL39" s="426"/>
      <x:c r="AM39" s="399"/>
      <x:c r="AN39" s="399"/>
    </x:row>
    <x:row r="40" ht="29" customHeight="1">
      <x:c r="A40" s="399"/>
      <x:c r="B40" s="410" t="str">
        <x:v>Канцелярія / обслуговування</x:v>
      </x:c>
      <x:c r="C40" s="424" t="n">
        <x:f>'Вхідні дані'!C8*$C$6</x:f>
        <x:v>1500</x:v>
      </x:c>
      <x:c r="D40" s="424" t="n">
        <x:f>'Вхідні дані'!D8*$C$6</x:f>
        <x:v>1500</x:v>
      </x:c>
      <x:c r="E40" s="424" t="n">
        <x:f>'Вхідні дані'!E8*$C$6</x:f>
        <x:v>1500</x:v>
      </x:c>
      <x:c r="F40" s="424" t="n">
        <x:f>'Вхідні дані'!F8*$C$6</x:f>
        <x:v>2000</x:v>
      </x:c>
      <x:c r="G40" s="424" t="n">
        <x:f>'Вхідні дані'!G8*$C$6</x:f>
        <x:v>2000</x:v>
      </x:c>
      <x:c r="H40" s="424" t="n">
        <x:f>'Вхідні дані'!H8*$C$6</x:f>
        <x:v>2000</x:v>
      </x:c>
      <x:c r="I40" s="424" t="n">
        <x:f>'Вхідні дані'!I8*$C$6</x:f>
        <x:v>2000</x:v>
      </x:c>
      <x:c r="J40" s="424" t="n">
        <x:f>'Вхідні дані'!J8*$C$6</x:f>
        <x:v>2000</x:v>
      </x:c>
      <x:c r="K40" s="424" t="n">
        <x:f>'Вхідні дані'!K8*$C$6</x:f>
        <x:v>2500</x:v>
      </x:c>
      <x:c r="L40" s="424" t="n">
        <x:f>'Вхідні дані'!L8*$C$6</x:f>
        <x:v>2500</x:v>
      </x:c>
      <x:c r="M40" s="424" t="n">
        <x:f>'Вхідні дані'!M8*$C$6</x:f>
        <x:v>2500</x:v>
      </x:c>
      <x:c r="N40" s="424" t="n">
        <x:f>'Вхідні дані'!N8*$C$6</x:f>
        <x:v>2500</x:v>
      </x:c>
      <x:c r="O40" s="424" t="n">
        <x:f>'Вхідні дані'!O8*$C$6</x:f>
        <x:v>2500</x:v>
      </x:c>
      <x:c r="P40" s="424" t="n">
        <x:f>'Вхідні дані'!P8*$C$6</x:f>
        <x:v>2500</x:v>
      </x:c>
      <x:c r="Q40" s="424" t="n">
        <x:f>'Вхідні дані'!Q8*$C$6</x:f>
        <x:v>3000</x:v>
      </x:c>
      <x:c r="R40" s="424" t="n">
        <x:f>'Вхідні дані'!R8*$C$6</x:f>
        <x:v>3000</x:v>
      </x:c>
      <x:c r="S40" s="424" t="n">
        <x:f>'Вхідні дані'!S8*$C$6</x:f>
        <x:v>3000</x:v>
      </x:c>
      <x:c r="T40" s="424" t="n">
        <x:f>'Вхідні дані'!T8*$C$6</x:f>
        <x:v>3000</x:v>
      </x:c>
      <x:c r="U40" s="424" t="n">
        <x:f>'Вхідні дані'!U8*$C$6</x:f>
        <x:v>3000</x:v>
      </x:c>
      <x:c r="V40" s="424" t="n">
        <x:f>'Вхідні дані'!V8*$C$6</x:f>
        <x:v>3000</x:v>
      </x:c>
      <x:c r="W40" s="424" t="n">
        <x:f>'Вхідні дані'!W8*$C$6</x:f>
        <x:v>3500</x:v>
      </x:c>
      <x:c r="X40" s="424" t="n">
        <x:f>'Вхідні дані'!X8*$C$6</x:f>
        <x:v>3500</x:v>
      </x:c>
      <x:c r="Y40" s="424" t="n">
        <x:f>'Вхідні дані'!Y8*$C$6</x:f>
        <x:v>3500</x:v>
      </x:c>
      <x:c r="Z40" s="424" t="n">
        <x:f>'Вхідні дані'!Z8*$C$6</x:f>
        <x:v>3500</x:v>
      </x:c>
      <x:c r="AA40" s="424" t="n">
        <x:f>'Вхідні дані'!AA8*$C$6</x:f>
        <x:v>3500</x:v>
      </x:c>
      <x:c r="AB40" s="424" t="n">
        <x:f>'Вхідні дані'!AB8*$C$6</x:f>
        <x:v>3500</x:v>
      </x:c>
      <x:c r="AC40" s="424" t="n">
        <x:f>'Вхідні дані'!AC8*$C$6</x:f>
        <x:v>3500</x:v>
      </x:c>
      <x:c r="AD40" s="424" t="n">
        <x:f>'Вхідні дані'!AD8*$C$6</x:f>
        <x:v>3500</x:v>
      </x:c>
      <x:c r="AE40" s="424" t="n">
        <x:f>'Вхідні дані'!AE8*$C$6</x:f>
        <x:v>3500</x:v>
      </x:c>
      <x:c r="AF40" s="424" t="n">
        <x:f>'Вхідні дані'!AF8*$C$6</x:f>
        <x:v>3500</x:v>
      </x:c>
      <x:c r="AG40" s="424" t="n">
        <x:f>'Вхідні дані'!AG8*$C$6</x:f>
        <x:v>3500</x:v>
      </x:c>
      <x:c r="AH40" s="424" t="n">
        <x:f>'Вхідні дані'!AH8*$C$6</x:f>
        <x:v>3500</x:v>
      </x:c>
      <x:c r="AI40" s="424" t="n">
        <x:f>'Вхідні дані'!AI8*$C$6</x:f>
        <x:v>3500</x:v>
      </x:c>
      <x:c r="AJ40" s="424" t="n">
        <x:f>'Вхідні дані'!AJ8*$C$6</x:f>
        <x:v>3500</x:v>
      </x:c>
      <x:c r="AK40" s="424" t="n">
        <x:f>'Вхідні дані'!AK8*$C$6</x:f>
        <x:v>3500</x:v>
      </x:c>
      <x:c r="AL40" s="424" t="n">
        <x:f>'Вхідні дані'!AL8*$C$6</x:f>
        <x:v>3500</x:v>
      </x:c>
      <x:c r="AM40" s="399"/>
      <x:c r="AN40" s="399"/>
    </x:row>
    <x:row r="41" ht="29" customHeight="1">
      <x:c r="A41" s="399"/>
      <x:c r="B41" s="410" t="str">
        <x:v>Оренда — фактичний план виплат</x:v>
      </x:c>
      <x:c r="C41" s="424" t="n">
        <x:f>IF($C$19=1,IF(C$28=1,'Бізнес план'!$E$82,IF(C$28&lt;=24,0,15000*$C$6)),15000*$C$6)</x:f>
        <x:v>360000</x:v>
      </x:c>
      <x:c r="D41" s="424" t="n">
        <x:f>IF($C$19=1,IF(D$28=1,'Бізнес план'!$E$82,IF(D$28&lt;=24,0,15000*$C$6)),15000*$C$6)</x:f>
        <x:v>0</x:v>
      </x:c>
      <x:c r="E41" s="424" t="n">
        <x:f>IF($C$19=1,IF(E$28=1,'Бізнес план'!$E$82,IF(E$28&lt;=24,0,15000*$C$6)),15000*$C$6)</x:f>
        <x:v>0</x:v>
      </x:c>
      <x:c r="F41" s="424" t="n">
        <x:f>IF($C$19=1,IF(F$28=1,'Бізнес план'!$E$82,IF(F$28&lt;=24,0,15000*$C$6)),15000*$C$6)</x:f>
        <x:v>0</x:v>
      </x:c>
      <x:c r="G41" s="424" t="n">
        <x:f>IF($C$19=1,IF(G$28=1,'Бізнес план'!$E$82,IF(G$28&lt;=24,0,15000*$C$6)),15000*$C$6)</x:f>
        <x:v>0</x:v>
      </x:c>
      <x:c r="H41" s="424" t="n">
        <x:f>IF($C$19=1,IF(H$28=1,'Бізнес план'!$E$82,IF(H$28&lt;=24,0,15000*$C$6)),15000*$C$6)</x:f>
        <x:v>0</x:v>
      </x:c>
      <x:c r="I41" s="424" t="n">
        <x:f>IF($C$19=1,IF(I$28=1,'Бізнес план'!$E$82,IF(I$28&lt;=24,0,15000*$C$6)),15000*$C$6)</x:f>
        <x:v>0</x:v>
      </x:c>
      <x:c r="J41" s="424" t="n">
        <x:f>IF($C$19=1,IF(J$28=1,'Бізнес план'!$E$82,IF(J$28&lt;=24,0,15000*$C$6)),15000*$C$6)</x:f>
        <x:v>0</x:v>
      </x:c>
      <x:c r="K41" s="424" t="n">
        <x:f>IF($C$19=1,IF(K$28=1,'Бізнес план'!$E$82,IF(K$28&lt;=24,0,15000*$C$6)),15000*$C$6)</x:f>
        <x:v>0</x:v>
      </x:c>
      <x:c r="L41" s="424" t="n">
        <x:f>IF($C$19=1,IF(L$28=1,'Бізнес план'!$E$82,IF(L$28&lt;=24,0,15000*$C$6)),15000*$C$6)</x:f>
        <x:v>0</x:v>
      </x:c>
      <x:c r="M41" s="424" t="n">
        <x:f>IF($C$19=1,IF(M$28=1,'Бізнес план'!$E$82,IF(M$28&lt;=24,0,15000*$C$6)),15000*$C$6)</x:f>
        <x:v>0</x:v>
      </x:c>
      <x:c r="N41" s="424" t="n">
        <x:f>IF($C$19=1,IF(N$28=1,'Бізнес план'!$E$82,IF(N$28&lt;=24,0,15000*$C$6)),15000*$C$6)</x:f>
        <x:v>0</x:v>
      </x:c>
      <x:c r="O41" s="424" t="n">
        <x:f>IF($C$19=1,IF(O$28=1,'Бізнес план'!$E$82,IF(O$28&lt;=24,0,15000*$C$6)),15000*$C$6)</x:f>
        <x:v>0</x:v>
      </x:c>
      <x:c r="P41" s="424" t="n">
        <x:f>IF($C$19=1,IF(P$28=1,'Бізнес план'!$E$82,IF(P$28&lt;=24,0,15000*$C$6)),15000*$C$6)</x:f>
        <x:v>0</x:v>
      </x:c>
      <x:c r="Q41" s="424" t="n">
        <x:f>IF($C$19=1,IF(Q$28=1,'Бізнес план'!$E$82,IF(Q$28&lt;=24,0,15000*$C$6)),15000*$C$6)</x:f>
        <x:v>0</x:v>
      </x:c>
      <x:c r="R41" s="424" t="n">
        <x:f>IF($C$19=1,IF(R$28=1,'Бізнес план'!$E$82,IF(R$28&lt;=24,0,15000*$C$6)),15000*$C$6)</x:f>
        <x:v>0</x:v>
      </x:c>
      <x:c r="S41" s="424" t="n">
        <x:f>IF($C$19=1,IF(S$28=1,'Бізнес план'!$E$82,IF(S$28&lt;=24,0,15000*$C$6)),15000*$C$6)</x:f>
        <x:v>0</x:v>
      </x:c>
      <x:c r="T41" s="424" t="n">
        <x:f>IF($C$19=1,IF(T$28=1,'Бізнес план'!$E$82,IF(T$28&lt;=24,0,15000*$C$6)),15000*$C$6)</x:f>
        <x:v>0</x:v>
      </x:c>
      <x:c r="U41" s="424" t="n">
        <x:f>IF($C$19=1,IF(U$28=1,'Бізнес план'!$E$82,IF(U$28&lt;=24,0,15000*$C$6)),15000*$C$6)</x:f>
        <x:v>0</x:v>
      </x:c>
      <x:c r="V41" s="424" t="n">
        <x:f>IF($C$19=1,IF(V$28=1,'Бізнес план'!$E$82,IF(V$28&lt;=24,0,15000*$C$6)),15000*$C$6)</x:f>
        <x:v>0</x:v>
      </x:c>
      <x:c r="W41" s="424" t="n">
        <x:f>IF($C$19=1,IF(W$28=1,'Бізнес план'!$E$82,IF(W$28&lt;=24,0,15000*$C$6)),15000*$C$6)</x:f>
        <x:v>0</x:v>
      </x:c>
      <x:c r="X41" s="424" t="n">
        <x:f>IF($C$19=1,IF(X$28=1,'Бізнес план'!$E$82,IF(X$28&lt;=24,0,15000*$C$6)),15000*$C$6)</x:f>
        <x:v>0</x:v>
      </x:c>
      <x:c r="Y41" s="424" t="n">
        <x:f>IF($C$19=1,IF(Y$28=1,'Бізнес план'!$E$82,IF(Y$28&lt;=24,0,15000*$C$6)),15000*$C$6)</x:f>
        <x:v>0</x:v>
      </x:c>
      <x:c r="Z41" s="424" t="n">
        <x:f>IF($C$19=1,IF(Z$28=1,'Бізнес план'!$E$82,IF(Z$28&lt;=24,0,15000*$C$6)),15000*$C$6)</x:f>
        <x:v>0</x:v>
      </x:c>
      <x:c r="AA41" s="424" t="n">
        <x:f>IF($C$19=1,IF(AA$28=1,'Бізнес план'!$E$82,IF(AA$28&lt;=24,0,15000*$C$6)),15000*$C$6)</x:f>
        <x:v>15000</x:v>
      </x:c>
      <x:c r="AB41" s="424" t="n">
        <x:f>IF($C$19=1,IF(AB$28=1,'Бізнес план'!$E$82,IF(AB$28&lt;=24,0,15000*$C$6)),15000*$C$6)</x:f>
        <x:v>15000</x:v>
      </x:c>
      <x:c r="AC41" s="424" t="n">
        <x:f>IF($C$19=1,IF(AC$28=1,'Бізнес план'!$E$82,IF(AC$28&lt;=24,0,15000*$C$6)),15000*$C$6)</x:f>
        <x:v>15000</x:v>
      </x:c>
      <x:c r="AD41" s="424" t="n">
        <x:f>IF($C$19=1,IF(AD$28=1,'Бізнес план'!$E$82,IF(AD$28&lt;=24,0,15000*$C$6)),15000*$C$6)</x:f>
        <x:v>15000</x:v>
      </x:c>
      <x:c r="AE41" s="424" t="n">
        <x:f>IF($C$19=1,IF(AE$28=1,'Бізнес план'!$E$82,IF(AE$28&lt;=24,0,15000*$C$6)),15000*$C$6)</x:f>
        <x:v>15000</x:v>
      </x:c>
      <x:c r="AF41" s="424" t="n">
        <x:f>IF($C$19=1,IF(AF$28=1,'Бізнес план'!$E$82,IF(AF$28&lt;=24,0,15000*$C$6)),15000*$C$6)</x:f>
        <x:v>15000</x:v>
      </x:c>
      <x:c r="AG41" s="424" t="n">
        <x:f>IF($C$19=1,IF(AG$28=1,'Бізнес план'!$E$82,IF(AG$28&lt;=24,0,15000*$C$6)),15000*$C$6)</x:f>
        <x:v>15000</x:v>
      </x:c>
      <x:c r="AH41" s="424" t="n">
        <x:f>IF($C$19=1,IF(AH$28=1,'Бізнес план'!$E$82,IF(AH$28&lt;=24,0,15000*$C$6)),15000*$C$6)</x:f>
        <x:v>15000</x:v>
      </x:c>
      <x:c r="AI41" s="424" t="n">
        <x:f>IF($C$19=1,IF(AI$28=1,'Бізнес план'!$E$82,IF(AI$28&lt;=24,0,15000*$C$6)),15000*$C$6)</x:f>
        <x:v>15000</x:v>
      </x:c>
      <x:c r="AJ41" s="424" t="n">
        <x:f>IF($C$19=1,IF(AJ$28=1,'Бізнес план'!$E$82,IF(AJ$28&lt;=24,0,15000*$C$6)),15000*$C$6)</x:f>
        <x:v>15000</x:v>
      </x:c>
      <x:c r="AK41" s="424" t="n">
        <x:f>IF($C$19=1,IF(AK$28=1,'Бізнес план'!$E$82,IF(AK$28&lt;=24,0,15000*$C$6)),15000*$C$6)</x:f>
        <x:v>15000</x:v>
      </x:c>
      <x:c r="AL41" s="424" t="n">
        <x:f>IF($C$19=1,IF(AL$28=1,'Бізнес план'!$E$82,IF(AL$28&lt;=24,0,15000*$C$6)),15000*$C$6)</x:f>
        <x:v>15000</x:v>
      </x:c>
      <x:c r="AM41" s="399"/>
      <x:c r="AN41" s="399"/>
    </x:row>
    <x:row r="42" ht="29" customHeight="1">
      <x:c r="A42" s="399"/>
      <x:c r="B42" s="410" t="str">
        <x:v>Банківські послуги</x:v>
      </x:c>
      <x:c r="C42" s="424" t="n">
        <x:f>'Вхідні дані'!C9*$C$6</x:f>
        <x:v>300</x:v>
      </x:c>
      <x:c r="D42" s="424" t="n">
        <x:f>'Вхідні дані'!D9*$C$6</x:f>
        <x:v>300</x:v>
      </x:c>
      <x:c r="E42" s="424" t="n">
        <x:f>'Вхідні дані'!E9*$C$6</x:f>
        <x:v>300</x:v>
      </x:c>
      <x:c r="F42" s="424" t="n">
        <x:f>'Вхідні дані'!F9*$C$6</x:f>
        <x:v>300</x:v>
      </x:c>
      <x:c r="G42" s="424" t="n">
        <x:f>'Вхідні дані'!G9*$C$6</x:f>
        <x:v>300</x:v>
      </x:c>
      <x:c r="H42" s="424" t="n">
        <x:f>'Вхідні дані'!H9*$C$6</x:f>
        <x:v>300</x:v>
      </x:c>
      <x:c r="I42" s="424" t="n">
        <x:f>'Вхідні дані'!I9*$C$6</x:f>
        <x:v>300</x:v>
      </x:c>
      <x:c r="J42" s="424" t="n">
        <x:f>'Вхідні дані'!J9*$C$6</x:f>
        <x:v>300</x:v>
      </x:c>
      <x:c r="K42" s="424" t="n">
        <x:f>'Вхідні дані'!K9*$C$6</x:f>
        <x:v>300</x:v>
      </x:c>
      <x:c r="L42" s="424" t="n">
        <x:f>'Вхідні дані'!L9*$C$6</x:f>
        <x:v>300</x:v>
      </x:c>
      <x:c r="M42" s="424" t="n">
        <x:f>'Вхідні дані'!M9*$C$6</x:f>
        <x:v>300</x:v>
      </x:c>
      <x:c r="N42" s="424" t="n">
        <x:f>'Вхідні дані'!N9*$C$6</x:f>
        <x:v>300</x:v>
      </x:c>
      <x:c r="O42" s="424" t="n">
        <x:f>'Вхідні дані'!O9*$C$6</x:f>
        <x:v>300</x:v>
      </x:c>
      <x:c r="P42" s="424" t="n">
        <x:f>'Вхідні дані'!P9*$C$6</x:f>
        <x:v>300</x:v>
      </x:c>
      <x:c r="Q42" s="424" t="n">
        <x:f>'Вхідні дані'!Q9*$C$6</x:f>
        <x:v>300</x:v>
      </x:c>
      <x:c r="R42" s="424" t="n">
        <x:f>'Вхідні дані'!R9*$C$6</x:f>
        <x:v>300</x:v>
      </x:c>
      <x:c r="S42" s="424" t="n">
        <x:f>'Вхідні дані'!S9*$C$6</x:f>
        <x:v>300</x:v>
      </x:c>
      <x:c r="T42" s="424" t="n">
        <x:f>'Вхідні дані'!T9*$C$6</x:f>
        <x:v>300</x:v>
      </x:c>
      <x:c r="U42" s="424" t="n">
        <x:f>'Вхідні дані'!U9*$C$6</x:f>
        <x:v>300</x:v>
      </x:c>
      <x:c r="V42" s="424" t="n">
        <x:f>'Вхідні дані'!V9*$C$6</x:f>
        <x:v>300</x:v>
      </x:c>
      <x:c r="W42" s="424" t="n">
        <x:f>'Вхідні дані'!W9*$C$6</x:f>
        <x:v>300</x:v>
      </x:c>
      <x:c r="X42" s="424" t="n">
        <x:f>'Вхідні дані'!X9*$C$6</x:f>
        <x:v>300</x:v>
      </x:c>
      <x:c r="Y42" s="424" t="n">
        <x:f>'Вхідні дані'!Y9*$C$6</x:f>
        <x:v>300</x:v>
      </x:c>
      <x:c r="Z42" s="424" t="n">
        <x:f>'Вхідні дані'!Z9*$C$6</x:f>
        <x:v>300</x:v>
      </x:c>
      <x:c r="AA42" s="424" t="n">
        <x:f>'Вхідні дані'!AA9*$C$6</x:f>
        <x:v>300</x:v>
      </x:c>
      <x:c r="AB42" s="424" t="n">
        <x:f>'Вхідні дані'!AB9*$C$6</x:f>
        <x:v>300</x:v>
      </x:c>
      <x:c r="AC42" s="424" t="n">
        <x:f>'Вхідні дані'!AC9*$C$6</x:f>
        <x:v>300</x:v>
      </x:c>
      <x:c r="AD42" s="424" t="n">
        <x:f>'Вхідні дані'!AD9*$C$6</x:f>
        <x:v>300</x:v>
      </x:c>
      <x:c r="AE42" s="424" t="n">
        <x:f>'Вхідні дані'!AE9*$C$6</x:f>
        <x:v>300</x:v>
      </x:c>
      <x:c r="AF42" s="424" t="n">
        <x:f>'Вхідні дані'!AF9*$C$6</x:f>
        <x:v>300</x:v>
      </x:c>
      <x:c r="AG42" s="424" t="n">
        <x:f>'Вхідні дані'!AG9*$C$6</x:f>
        <x:v>300</x:v>
      </x:c>
      <x:c r="AH42" s="424" t="n">
        <x:f>'Вхідні дані'!AH9*$C$6</x:f>
        <x:v>300</x:v>
      </x:c>
      <x:c r="AI42" s="424" t="n">
        <x:f>'Вхідні дані'!AI9*$C$6</x:f>
        <x:v>300</x:v>
      </x:c>
      <x:c r="AJ42" s="424" t="n">
        <x:f>'Вхідні дані'!AJ9*$C$6</x:f>
        <x:v>300</x:v>
      </x:c>
      <x:c r="AK42" s="424" t="n">
        <x:f>'Вхідні дані'!AK9*$C$6</x:f>
        <x:v>300</x:v>
      </x:c>
      <x:c r="AL42" s="424" t="n">
        <x:f>'Вхідні дані'!AL9*$C$6</x:f>
        <x:v>300</x:v>
      </x:c>
      <x:c r="AM42" s="399"/>
      <x:c r="AN42" s="399"/>
    </x:row>
    <x:row r="43" ht="29" customHeight="1">
      <x:c r="A43" s="399"/>
      <x:c r="B43" s="410" t="str">
        <x:v>Комунальні послуги</x:v>
      </x:c>
      <x:c r="C43" s="424" t="n">
        <x:f>'Вхідні дані'!C10*$C$6</x:f>
        <x:v>3000</x:v>
      </x:c>
      <x:c r="D43" s="424" t="n">
        <x:f>'Вхідні дані'!D10*$C$6</x:f>
        <x:v>2000</x:v>
      </x:c>
      <x:c r="E43" s="424" t="n">
        <x:f>'Вхідні дані'!E10*$C$6</x:f>
        <x:v>2000</x:v>
      </x:c>
      <x:c r="F43" s="424" t="n">
        <x:f>'Вхідні дані'!F10*$C$6</x:f>
        <x:v>2000</x:v>
      </x:c>
      <x:c r="G43" s="424" t="n">
        <x:f>'Вхідні дані'!G10*$C$6</x:f>
        <x:v>2200</x:v>
      </x:c>
      <x:c r="H43" s="424" t="n">
        <x:f>'Вхідні дані'!H10*$C$6</x:f>
        <x:v>2200</x:v>
      </x:c>
      <x:c r="I43" s="424" t="n">
        <x:f>'Вхідні дані'!I10*$C$6</x:f>
        <x:v>2000</x:v>
      </x:c>
      <x:c r="J43" s="424" t="n">
        <x:f>'Вхідні дані'!J10*$C$6</x:f>
        <x:v>2000</x:v>
      </x:c>
      <x:c r="K43" s="424" t="n">
        <x:f>'Вхідні дані'!K10*$C$6</x:f>
        <x:v>1800</x:v>
      </x:c>
      <x:c r="L43" s="424" t="n">
        <x:f>'Вхідні дані'!L10*$C$6</x:f>
        <x:v>1800</x:v>
      </x:c>
      <x:c r="M43" s="424" t="n">
        <x:f>'Вхідні дані'!M10*$C$6</x:f>
        <x:v>1800</x:v>
      </x:c>
      <x:c r="N43" s="424" t="n">
        <x:f>'Вхідні дані'!N10*$C$6</x:f>
        <x:v>1800</x:v>
      </x:c>
      <x:c r="O43" s="424" t="n">
        <x:f>'Вхідні дані'!O10*$C$6</x:f>
        <x:v>1800</x:v>
      </x:c>
      <x:c r="P43" s="424" t="n">
        <x:f>'Вхідні дані'!P10*$C$6</x:f>
        <x:v>2500</x:v>
      </x:c>
      <x:c r="Q43" s="424" t="n">
        <x:f>'Вхідні дані'!Q10*$C$6</x:f>
        <x:v>2500</x:v>
      </x:c>
      <x:c r="R43" s="424" t="n">
        <x:f>'Вхідні дані'!R10*$C$6</x:f>
        <x:v>2500</x:v>
      </x:c>
      <x:c r="S43" s="424" t="n">
        <x:f>'Вхідні дані'!S10*$C$6</x:f>
        <x:v>2500</x:v>
      </x:c>
      <x:c r="T43" s="424" t="n">
        <x:f>'Вхідні дані'!T10*$C$6</x:f>
        <x:v>2500</x:v>
      </x:c>
      <x:c r="U43" s="424" t="n">
        <x:f>'Вхідні дані'!U10*$C$6</x:f>
        <x:v>2200</x:v>
      </x:c>
      <x:c r="V43" s="424" t="n">
        <x:f>'Вхідні дані'!V10*$C$6</x:f>
        <x:v>2200</x:v>
      </x:c>
      <x:c r="W43" s="424" t="n">
        <x:f>'Вхідні дані'!W10*$C$6</x:f>
        <x:v>2000</x:v>
      </x:c>
      <x:c r="X43" s="424" t="n">
        <x:f>'Вхідні дані'!X10*$C$6</x:f>
        <x:v>2000</x:v>
      </x:c>
      <x:c r="Y43" s="424" t="n">
        <x:f>'Вхідні дані'!Y10*$C$6</x:f>
        <x:v>2000</x:v>
      </x:c>
      <x:c r="Z43" s="424" t="n">
        <x:f>'Вхідні дані'!Z10*$C$6</x:f>
        <x:v>2000</x:v>
      </x:c>
      <x:c r="AA43" s="424" t="n">
        <x:f>'Вхідні дані'!AA10*$C$6</x:f>
        <x:v>2200</x:v>
      </x:c>
      <x:c r="AB43" s="424" t="n">
        <x:f>'Вхідні дані'!AB10*$C$6</x:f>
        <x:v>2200</x:v>
      </x:c>
      <x:c r="AC43" s="424" t="n">
        <x:f>'Вхідні дані'!AC10*$C$6</x:f>
        <x:v>2500</x:v>
      </x:c>
      <x:c r="AD43" s="424" t="n">
        <x:f>'Вхідні дані'!AD10*$C$6</x:f>
        <x:v>2500</x:v>
      </x:c>
      <x:c r="AE43" s="424" t="n">
        <x:f>'Вхідні дані'!AE10*$C$6</x:f>
        <x:v>2500</x:v>
      </x:c>
      <x:c r="AF43" s="424" t="n">
        <x:f>'Вхідні дані'!AF10*$C$6</x:f>
        <x:v>2500</x:v>
      </x:c>
      <x:c r="AG43" s="424" t="n">
        <x:f>'Вхідні дані'!AG10*$C$6</x:f>
        <x:v>2500</x:v>
      </x:c>
      <x:c r="AH43" s="424" t="n">
        <x:f>'Вхідні дані'!AH10*$C$6</x:f>
        <x:v>2500</x:v>
      </x:c>
      <x:c r="AI43" s="424" t="n">
        <x:f>'Вхідні дані'!AI10*$C$6</x:f>
        <x:v>2500</x:v>
      </x:c>
      <x:c r="AJ43" s="424" t="n">
        <x:f>'Вхідні дані'!AJ10*$C$6</x:f>
        <x:v>2500</x:v>
      </x:c>
      <x:c r="AK43" s="424" t="n">
        <x:f>'Вхідні дані'!AK10*$C$6</x:f>
        <x:v>2500</x:v>
      </x:c>
      <x:c r="AL43" s="424" t="n">
        <x:f>'Вхідні дані'!AL10*$C$6</x:f>
        <x:v>2500</x:v>
      </x:c>
      <x:c r="AM43" s="399"/>
      <x:c r="AN43" s="399"/>
    </x:row>
    <x:row r="44" ht="29" customHeight="1">
      <x:c r="A44" s="399"/>
      <x:c r="B44" s="410" t="str">
        <x:v>Зв’язок + додаткові поточні витрати</x:v>
      </x:c>
      <x:c r="C44" s="424" t="n">
        <x:f>('Вхідні дані'!C11+SUM('Вхідні дані'!C13:C17))*$C$6</x:f>
        <x:v>350</x:v>
      </x:c>
      <x:c r="D44" s="424" t="n">
        <x:f>('Вхідні дані'!D11+SUM('Вхідні дані'!D13:D17))*$C$6</x:f>
        <x:v>350</x:v>
      </x:c>
      <x:c r="E44" s="424" t="n">
        <x:f>('Вхідні дані'!E11+SUM('Вхідні дані'!E13:E17))*$C$6</x:f>
        <x:v>350</x:v>
      </x:c>
      <x:c r="F44" s="424" t="n">
        <x:f>('Вхідні дані'!F11+SUM('Вхідні дані'!F13:F17))*$C$6</x:f>
        <x:v>350</x:v>
      </x:c>
      <x:c r="G44" s="424" t="n">
        <x:f>('Вхідні дані'!G11+SUM('Вхідні дані'!G13:G17))*$C$6</x:f>
        <x:v>350</x:v>
      </x:c>
      <x:c r="H44" s="424" t="n">
        <x:f>('Вхідні дані'!H11+SUM('Вхідні дані'!H13:H17))*$C$6</x:f>
        <x:v>350</x:v>
      </x:c>
      <x:c r="I44" s="424" t="n">
        <x:f>('Вхідні дані'!I11+SUM('Вхідні дані'!I13:I17))*$C$6</x:f>
        <x:v>350</x:v>
      </x:c>
      <x:c r="J44" s="424" t="n">
        <x:f>('Вхідні дані'!J11+SUM('Вхідні дані'!J13:J17))*$C$6</x:f>
        <x:v>350</x:v>
      </x:c>
      <x:c r="K44" s="424" t="n">
        <x:f>('Вхідні дані'!K11+SUM('Вхідні дані'!K13:K17))*$C$6</x:f>
        <x:v>400</x:v>
      </x:c>
      <x:c r="L44" s="424" t="n">
        <x:f>('Вхідні дані'!L11+SUM('Вхідні дані'!L13:L17))*$C$6</x:f>
        <x:v>400</x:v>
      </x:c>
      <x:c r="M44" s="424" t="n">
        <x:f>('Вхідні дані'!M11+SUM('Вхідні дані'!M13:M17))*$C$6</x:f>
        <x:v>400</x:v>
      </x:c>
      <x:c r="N44" s="424" t="n">
        <x:f>('Вхідні дані'!N11+SUM('Вхідні дані'!N13:N17))*$C$6</x:f>
        <x:v>400</x:v>
      </x:c>
      <x:c r="O44" s="424" t="n">
        <x:f>('Вхідні дані'!O11+SUM('Вхідні дані'!O13:O17))*$C$6</x:f>
        <x:v>400</x:v>
      </x:c>
      <x:c r="P44" s="424" t="n">
        <x:f>('Вхідні дані'!P11+SUM('Вхідні дані'!P13:P17))*$C$6</x:f>
        <x:v>400</x:v>
      </x:c>
      <x:c r="Q44" s="424" t="n">
        <x:f>('Вхідні дані'!Q11+SUM('Вхідні дані'!Q13:Q17))*$C$6</x:f>
        <x:v>450</x:v>
      </x:c>
      <x:c r="R44" s="424" t="n">
        <x:f>('Вхідні дані'!R11+SUM('Вхідні дані'!R13:R17))*$C$6</x:f>
        <x:v>450</x:v>
      </x:c>
      <x:c r="S44" s="424" t="n">
        <x:f>('Вхідні дані'!S11+SUM('Вхідні дані'!S13:S17))*$C$6</x:f>
        <x:v>450</x:v>
      </x:c>
      <x:c r="T44" s="424" t="n">
        <x:f>('Вхідні дані'!T11+SUM('Вхідні дані'!T13:T17))*$C$6</x:f>
        <x:v>450</x:v>
      </x:c>
      <x:c r="U44" s="424" t="n">
        <x:f>('Вхідні дані'!U11+SUM('Вхідні дані'!U13:U17))*$C$6</x:f>
        <x:v>450</x:v>
      </x:c>
      <x:c r="V44" s="424" t="n">
        <x:f>('Вхідні дані'!V11+SUM('Вхідні дані'!V13:V17))*$C$6</x:f>
        <x:v>450</x:v>
      </x:c>
      <x:c r="W44" s="424" t="n">
        <x:f>('Вхідні дані'!W11+SUM('Вхідні дані'!W13:W17))*$C$6</x:f>
        <x:v>450</x:v>
      </x:c>
      <x:c r="X44" s="424" t="n">
        <x:f>('Вхідні дані'!X11+SUM('Вхідні дані'!X13:X17))*$C$6</x:f>
        <x:v>450</x:v>
      </x:c>
      <x:c r="Y44" s="424" t="n">
        <x:f>('Вхідні дані'!Y11+SUM('Вхідні дані'!Y13:Y17))*$C$6</x:f>
        <x:v>450</x:v>
      </x:c>
      <x:c r="Z44" s="424" t="n">
        <x:f>('Вхідні дані'!Z11+SUM('Вхідні дані'!Z13:Z17))*$C$6</x:f>
        <x:v>450</x:v>
      </x:c>
      <x:c r="AA44" s="424" t="n">
        <x:f>('Вхідні дані'!AA11+SUM('Вхідні дані'!AA13:AA17))*$C$6</x:f>
        <x:v>450</x:v>
      </x:c>
      <x:c r="AB44" s="424" t="n">
        <x:f>('Вхідні дані'!AB11+SUM('Вхідні дані'!AB13:AB17))*$C$6</x:f>
        <x:v>450</x:v>
      </x:c>
      <x:c r="AC44" s="424" t="n">
        <x:f>('Вхідні дані'!AC11+SUM('Вхідні дані'!AC13:AC17))*$C$6</x:f>
        <x:v>450</x:v>
      </x:c>
      <x:c r="AD44" s="424" t="n">
        <x:f>('Вхідні дані'!AD11+SUM('Вхідні дані'!AD13:AD17))*$C$6</x:f>
        <x:v>450</x:v>
      </x:c>
      <x:c r="AE44" s="424" t="n">
        <x:f>('Вхідні дані'!AE11+SUM('Вхідні дані'!AE13:AE17))*$C$6</x:f>
        <x:v>450</x:v>
      </x:c>
      <x:c r="AF44" s="424" t="n">
        <x:f>('Вхідні дані'!AF11+SUM('Вхідні дані'!AF13:AF17))*$C$6</x:f>
        <x:v>450</x:v>
      </x:c>
      <x:c r="AG44" s="424" t="n">
        <x:f>('Вхідні дані'!AG11+SUM('Вхідні дані'!AG13:AG17))*$C$6</x:f>
        <x:v>450</x:v>
      </x:c>
      <x:c r="AH44" s="424" t="n">
        <x:f>('Вхідні дані'!AH11+SUM('Вхідні дані'!AH13:AH17))*$C$6</x:f>
        <x:v>450</x:v>
      </x:c>
      <x:c r="AI44" s="424" t="n">
        <x:f>('Вхідні дані'!AI11+SUM('Вхідні дані'!AI13:AI17))*$C$6</x:f>
        <x:v>450</x:v>
      </x:c>
      <x:c r="AJ44" s="424" t="n">
        <x:f>('Вхідні дані'!AJ11+SUM('Вхідні дані'!AJ13:AJ17))*$C$6</x:f>
        <x:v>450</x:v>
      </x:c>
      <x:c r="AK44" s="424" t="n">
        <x:f>('Вхідні дані'!AK11+SUM('Вхідні дані'!AK13:AK17))*$C$6</x:f>
        <x:v>450</x:v>
      </x:c>
      <x:c r="AL44" s="424" t="n">
        <x:f>('Вхідні дані'!AL11+SUM('Вхідні дані'!AL13:AL17))*$C$6</x:f>
        <x:v>450</x:v>
      </x:c>
      <x:c r="AM44" s="399"/>
      <x:c r="AN44" s="399"/>
    </x:row>
    <x:row r="45" ht="29" customHeight="1">
      <x:c r="A45" s="399"/>
      <x:c r="B45" s="410" t="str">
        <x:v>Маркетинг — разово за грантом</x:v>
      </x:c>
      <x:c r="C45" s="424" t="n">
        <x:f>IF(C$28=1,'Бізнес план'!$E$86,0)</x:f>
        <x:v>179000</x:v>
      </x:c>
      <x:c r="D45" s="424" t="n">
        <x:f>IF(D$28=1,'Бізнес план'!$E$86,0)</x:f>
        <x:v>0</x:v>
      </x:c>
      <x:c r="E45" s="424" t="n">
        <x:f>IF(E$28=1,'Бізнес план'!$E$86,0)</x:f>
        <x:v>0</x:v>
      </x:c>
      <x:c r="F45" s="424" t="n">
        <x:f>IF(F$28=1,'Бізнес план'!$E$86,0)</x:f>
        <x:v>0</x:v>
      </x:c>
      <x:c r="G45" s="424" t="n">
        <x:f>IF(G$28=1,'Бізнес план'!$E$86,0)</x:f>
        <x:v>0</x:v>
      </x:c>
      <x:c r="H45" s="424" t="n">
        <x:f>IF(H$28=1,'Бізнес план'!$E$86,0)</x:f>
        <x:v>0</x:v>
      </x:c>
      <x:c r="I45" s="424" t="n">
        <x:f>IF(I$28=1,'Бізнес план'!$E$86,0)</x:f>
        <x:v>0</x:v>
      </x:c>
      <x:c r="J45" s="424" t="n">
        <x:f>IF(J$28=1,'Бізнес план'!$E$86,0)</x:f>
        <x:v>0</x:v>
      </x:c>
      <x:c r="K45" s="424" t="n">
        <x:f>IF(K$28=1,'Бізнес план'!$E$86,0)</x:f>
        <x:v>0</x:v>
      </x:c>
      <x:c r="L45" s="424" t="n">
        <x:f>IF(L$28=1,'Бізнес план'!$E$86,0)</x:f>
        <x:v>0</x:v>
      </x:c>
      <x:c r="M45" s="424" t="n">
        <x:f>IF(M$28=1,'Бізнес план'!$E$86,0)</x:f>
        <x:v>0</x:v>
      </x:c>
      <x:c r="N45" s="424" t="n">
        <x:f>IF(N$28=1,'Бізнес план'!$E$86,0)</x:f>
        <x:v>0</x:v>
      </x:c>
      <x:c r="O45" s="424" t="n">
        <x:f>IF(O$28=1,'Бізнес план'!$E$86,0)</x:f>
        <x:v>0</x:v>
      </x:c>
      <x:c r="P45" s="424" t="n">
        <x:f>IF(P$28=1,'Бізнес план'!$E$86,0)</x:f>
        <x:v>0</x:v>
      </x:c>
      <x:c r="Q45" s="424" t="n">
        <x:f>IF(Q$28=1,'Бізнес план'!$E$86,0)</x:f>
        <x:v>0</x:v>
      </x:c>
      <x:c r="R45" s="424" t="n">
        <x:f>IF(R$28=1,'Бізнес план'!$E$86,0)</x:f>
        <x:v>0</x:v>
      </x:c>
      <x:c r="S45" s="424" t="n">
        <x:f>IF(S$28=1,'Бізнес план'!$E$86,0)</x:f>
        <x:v>0</x:v>
      </x:c>
      <x:c r="T45" s="424" t="n">
        <x:f>IF(T$28=1,'Бізнес план'!$E$86,0)</x:f>
        <x:v>0</x:v>
      </x:c>
      <x:c r="U45" s="424" t="n">
        <x:f>IF(U$28=1,'Бізнес план'!$E$86,0)</x:f>
        <x:v>0</x:v>
      </x:c>
      <x:c r="V45" s="424" t="n">
        <x:f>IF(V$28=1,'Бізнес план'!$E$86,0)</x:f>
        <x:v>0</x:v>
      </x:c>
      <x:c r="W45" s="424" t="n">
        <x:f>IF(W$28=1,'Бізнес план'!$E$86,0)</x:f>
        <x:v>0</x:v>
      </x:c>
      <x:c r="X45" s="424" t="n">
        <x:f>IF(X$28=1,'Бізнес план'!$E$86,0)</x:f>
        <x:v>0</x:v>
      </x:c>
      <x:c r="Y45" s="424" t="n">
        <x:f>IF(Y$28=1,'Бізнес план'!$E$86,0)</x:f>
        <x:v>0</x:v>
      </x:c>
      <x:c r="Z45" s="424" t="n">
        <x:f>IF(Z$28=1,'Бізнес план'!$E$86,0)</x:f>
        <x:v>0</x:v>
      </x:c>
      <x:c r="AA45" s="424" t="n">
        <x:f>IF(AA$28=1,'Бізнес план'!$E$86,0)</x:f>
        <x:v>0</x:v>
      </x:c>
      <x:c r="AB45" s="424" t="n">
        <x:f>IF(AB$28=1,'Бізнес план'!$E$86,0)</x:f>
        <x:v>0</x:v>
      </x:c>
      <x:c r="AC45" s="424" t="n">
        <x:f>IF(AC$28=1,'Бізнес план'!$E$86,0)</x:f>
        <x:v>0</x:v>
      </x:c>
      <x:c r="AD45" s="424" t="n">
        <x:f>IF(AD$28=1,'Бізнес план'!$E$86,0)</x:f>
        <x:v>0</x:v>
      </x:c>
      <x:c r="AE45" s="424" t="n">
        <x:f>IF(AE$28=1,'Бізнес план'!$E$86,0)</x:f>
        <x:v>0</x:v>
      </x:c>
      <x:c r="AF45" s="424" t="n">
        <x:f>IF(AF$28=1,'Бізнес план'!$E$86,0)</x:f>
        <x:v>0</x:v>
      </x:c>
      <x:c r="AG45" s="424" t="n">
        <x:f>IF(AG$28=1,'Бізнес план'!$E$86,0)</x:f>
        <x:v>0</x:v>
      </x:c>
      <x:c r="AH45" s="424" t="n">
        <x:f>IF(AH$28=1,'Бізнес план'!$E$86,0)</x:f>
        <x:v>0</x:v>
      </x:c>
      <x:c r="AI45" s="424" t="n">
        <x:f>IF(AI$28=1,'Бізнес план'!$E$86,0)</x:f>
        <x:v>0</x:v>
      </x:c>
      <x:c r="AJ45" s="424" t="n">
        <x:f>IF(AJ$28=1,'Бізнес план'!$E$86,0)</x:f>
        <x:v>0</x:v>
      </x:c>
      <x:c r="AK45" s="424" t="n">
        <x:f>IF(AK$28=1,'Бізнес план'!$E$86,0)</x:f>
        <x:v>0</x:v>
      </x:c>
      <x:c r="AL45" s="424" t="n">
        <x:f>IF(AL$28=1,'Бізнес план'!$E$86,0)</x:f>
        <x:v>0</x:v>
      </x:c>
      <x:c r="AM45" s="399"/>
      <x:c r="AN45" s="399"/>
    </x:row>
    <x:row r="46" ht="29" customHeight="1">
      <x:c r="A46" s="399"/>
      <x:c r="B46" s="410" t="str">
        <x:v>Обладнання і меблі — разово</x:v>
      </x:c>
      <x:c r="C46" s="424" t="n">
        <x:f>IF(C$28=1,SUM('Бізнес план'!$E$84:$E$85),0)</x:f>
        <x:v>369140</x:v>
      </x:c>
      <x:c r="D46" s="424" t="n">
        <x:f>IF(D$28=1,SUM('Бізнес план'!$E$84:$E$85),0)</x:f>
        <x:v>0</x:v>
      </x:c>
      <x:c r="E46" s="424" t="n">
        <x:f>IF(E$28=1,SUM('Бізнес план'!$E$84:$E$85),0)</x:f>
        <x:v>0</x:v>
      </x:c>
      <x:c r="F46" s="424" t="n">
        <x:f>IF(F$28=1,SUM('Бізнес план'!$E$84:$E$85),0)</x:f>
        <x:v>0</x:v>
      </x:c>
      <x:c r="G46" s="424" t="n">
        <x:f>IF(G$28=1,SUM('Бізнес план'!$E$84:$E$85),0)</x:f>
        <x:v>0</x:v>
      </x:c>
      <x:c r="H46" s="424" t="n">
        <x:f>IF(H$28=1,SUM('Бізнес план'!$E$84:$E$85),0)</x:f>
        <x:v>0</x:v>
      </x:c>
      <x:c r="I46" s="424" t="n">
        <x:f>IF(I$28=1,SUM('Бізнес план'!$E$84:$E$85),0)</x:f>
        <x:v>0</x:v>
      </x:c>
      <x:c r="J46" s="424" t="n">
        <x:f>IF(J$28=1,SUM('Бізнес план'!$E$84:$E$85),0)</x:f>
        <x:v>0</x:v>
      </x:c>
      <x:c r="K46" s="424" t="n">
        <x:f>IF(K$28=1,SUM('Бізнес план'!$E$84:$E$85),0)</x:f>
        <x:v>0</x:v>
      </x:c>
      <x:c r="L46" s="424" t="n">
        <x:f>IF(L$28=1,SUM('Бізнес план'!$E$84:$E$85),0)</x:f>
        <x:v>0</x:v>
      </x:c>
      <x:c r="M46" s="424" t="n">
        <x:f>IF(M$28=1,SUM('Бізнес план'!$E$84:$E$85),0)</x:f>
        <x:v>0</x:v>
      </x:c>
      <x:c r="N46" s="424" t="n">
        <x:f>IF(N$28=1,SUM('Бізнес план'!$E$84:$E$85),0)</x:f>
        <x:v>0</x:v>
      </x:c>
      <x:c r="O46" s="424" t="n">
        <x:f>IF(O$28=1,SUM('Бізнес план'!$E$84:$E$85),0)</x:f>
        <x:v>0</x:v>
      </x:c>
      <x:c r="P46" s="424" t="n">
        <x:f>IF(P$28=1,SUM('Бізнес план'!$E$84:$E$85),0)</x:f>
        <x:v>0</x:v>
      </x:c>
      <x:c r="Q46" s="424" t="n">
        <x:f>IF(Q$28=1,SUM('Бізнес план'!$E$84:$E$85),0)</x:f>
        <x:v>0</x:v>
      </x:c>
      <x:c r="R46" s="424" t="n">
        <x:f>IF(R$28=1,SUM('Бізнес план'!$E$84:$E$85),0)</x:f>
        <x:v>0</x:v>
      </x:c>
      <x:c r="S46" s="424" t="n">
        <x:f>IF(S$28=1,SUM('Бізнес план'!$E$84:$E$85),0)</x:f>
        <x:v>0</x:v>
      </x:c>
      <x:c r="T46" s="424" t="n">
        <x:f>IF(T$28=1,SUM('Бізнес план'!$E$84:$E$85),0)</x:f>
        <x:v>0</x:v>
      </x:c>
      <x:c r="U46" s="424" t="n">
        <x:f>IF(U$28=1,SUM('Бізнес план'!$E$84:$E$85),0)</x:f>
        <x:v>0</x:v>
      </x:c>
      <x:c r="V46" s="424" t="n">
        <x:f>IF(V$28=1,SUM('Бізнес план'!$E$84:$E$85),0)</x:f>
        <x:v>0</x:v>
      </x:c>
      <x:c r="W46" s="424" t="n">
        <x:f>IF(W$28=1,SUM('Бізнес план'!$E$84:$E$85),0)</x:f>
        <x:v>0</x:v>
      </x:c>
      <x:c r="X46" s="424" t="n">
        <x:f>IF(X$28=1,SUM('Бізнес план'!$E$84:$E$85),0)</x:f>
        <x:v>0</x:v>
      </x:c>
      <x:c r="Y46" s="424" t="n">
        <x:f>IF(Y$28=1,SUM('Бізнес план'!$E$84:$E$85),0)</x:f>
        <x:v>0</x:v>
      </x:c>
      <x:c r="Z46" s="424" t="n">
        <x:f>IF(Z$28=1,SUM('Бізнес план'!$E$84:$E$85),0)</x:f>
        <x:v>0</x:v>
      </x:c>
      <x:c r="AA46" s="424" t="n">
        <x:f>IF(AA$28=1,SUM('Бізнес план'!$E$84:$E$85),0)</x:f>
        <x:v>0</x:v>
      </x:c>
      <x:c r="AB46" s="424" t="n">
        <x:f>IF(AB$28=1,SUM('Бізнес план'!$E$84:$E$85),0)</x:f>
        <x:v>0</x:v>
      </x:c>
      <x:c r="AC46" s="424" t="n">
        <x:f>IF(AC$28=1,SUM('Бізнес план'!$E$84:$E$85),0)</x:f>
        <x:v>0</x:v>
      </x:c>
      <x:c r="AD46" s="424" t="n">
        <x:f>IF(AD$28=1,SUM('Бізнес план'!$E$84:$E$85),0)</x:f>
        <x:v>0</x:v>
      </x:c>
      <x:c r="AE46" s="424" t="n">
        <x:f>IF(AE$28=1,SUM('Бізнес план'!$E$84:$E$85),0)</x:f>
        <x:v>0</x:v>
      </x:c>
      <x:c r="AF46" s="424" t="n">
        <x:f>IF(AF$28=1,SUM('Бізнес план'!$E$84:$E$85),0)</x:f>
        <x:v>0</x:v>
      </x:c>
      <x:c r="AG46" s="424" t="n">
        <x:f>IF(AG$28=1,SUM('Бізнес план'!$E$84:$E$85),0)</x:f>
        <x:v>0</x:v>
      </x:c>
      <x:c r="AH46" s="424" t="n">
        <x:f>IF(AH$28=1,SUM('Бізнес план'!$E$84:$E$85),0)</x:f>
        <x:v>0</x:v>
      </x:c>
      <x:c r="AI46" s="424" t="n">
        <x:f>IF(AI$28=1,SUM('Бізнес план'!$E$84:$E$85),0)</x:f>
        <x:v>0</x:v>
      </x:c>
      <x:c r="AJ46" s="424" t="n">
        <x:f>IF(AJ$28=1,SUM('Бізнес план'!$E$84:$E$85),0)</x:f>
        <x:v>0</x:v>
      </x:c>
      <x:c r="AK46" s="424" t="n">
        <x:f>IF(AK$28=1,SUM('Бізнес план'!$E$84:$E$85),0)</x:f>
        <x:v>0</x:v>
      </x:c>
      <x:c r="AL46" s="424" t="n">
        <x:f>IF(AL$28=1,SUM('Бізнес план'!$E$84:$E$85),0)</x:f>
        <x:v>0</x:v>
      </x:c>
      <x:c r="AM46" s="399"/>
      <x:c r="AN46" s="399"/>
    </x:row>
    <x:row r="47" ht="29" customHeight="1">
      <x:c r="A47" s="399"/>
      <x:c r="B47" s="410" t="str">
        <x:v>Ремонт — разово за грантом</x:v>
      </x:c>
      <x:c r="C47" s="424" t="n">
        <x:f>IF(C$28=1,'Бізнес план'!$E$83,0)</x:f>
        <x:v>613758</x:v>
      </x:c>
      <x:c r="D47" s="424" t="n">
        <x:f>IF(D$28=1,'Бізнес план'!$E$83,0)</x:f>
        <x:v>0</x:v>
      </x:c>
      <x:c r="E47" s="424" t="n">
        <x:f>IF(E$28=1,'Бізнес план'!$E$83,0)</x:f>
        <x:v>0</x:v>
      </x:c>
      <x:c r="F47" s="424" t="n">
        <x:f>IF(F$28=1,'Бізнес план'!$E$83,0)</x:f>
        <x:v>0</x:v>
      </x:c>
      <x:c r="G47" s="424" t="n">
        <x:f>IF(G$28=1,'Бізнес план'!$E$83,0)</x:f>
        <x:v>0</x:v>
      </x:c>
      <x:c r="H47" s="424" t="n">
        <x:f>IF(H$28=1,'Бізнес план'!$E$83,0)</x:f>
        <x:v>0</x:v>
      </x:c>
      <x:c r="I47" s="424" t="n">
        <x:f>IF(I$28=1,'Бізнес план'!$E$83,0)</x:f>
        <x:v>0</x:v>
      </x:c>
      <x:c r="J47" s="424" t="n">
        <x:f>IF(J$28=1,'Бізнес план'!$E$83,0)</x:f>
        <x:v>0</x:v>
      </x:c>
      <x:c r="K47" s="424" t="n">
        <x:f>IF(K$28=1,'Бізнес план'!$E$83,0)</x:f>
        <x:v>0</x:v>
      </x:c>
      <x:c r="L47" s="424" t="n">
        <x:f>IF(L$28=1,'Бізнес план'!$E$83,0)</x:f>
        <x:v>0</x:v>
      </x:c>
      <x:c r="M47" s="424" t="n">
        <x:f>IF(M$28=1,'Бізнес план'!$E$83,0)</x:f>
        <x:v>0</x:v>
      </x:c>
      <x:c r="N47" s="424" t="n">
        <x:f>IF(N$28=1,'Бізнес план'!$E$83,0)</x:f>
        <x:v>0</x:v>
      </x:c>
      <x:c r="O47" s="424" t="n">
        <x:f>IF(O$28=1,'Бізнес план'!$E$83,0)</x:f>
        <x:v>0</x:v>
      </x:c>
      <x:c r="P47" s="424" t="n">
        <x:f>IF(P$28=1,'Бізнес план'!$E$83,0)</x:f>
        <x:v>0</x:v>
      </x:c>
      <x:c r="Q47" s="424" t="n">
        <x:f>IF(Q$28=1,'Бізнес план'!$E$83,0)</x:f>
        <x:v>0</x:v>
      </x:c>
      <x:c r="R47" s="424" t="n">
        <x:f>IF(R$28=1,'Бізнес план'!$E$83,0)</x:f>
        <x:v>0</x:v>
      </x:c>
      <x:c r="S47" s="424" t="n">
        <x:f>IF(S$28=1,'Бізнес план'!$E$83,0)</x:f>
        <x:v>0</x:v>
      </x:c>
      <x:c r="T47" s="424" t="n">
        <x:f>IF(T$28=1,'Бізнес план'!$E$83,0)</x:f>
        <x:v>0</x:v>
      </x:c>
      <x:c r="U47" s="424" t="n">
        <x:f>IF(U$28=1,'Бізнес план'!$E$83,0)</x:f>
        <x:v>0</x:v>
      </x:c>
      <x:c r="V47" s="424" t="n">
        <x:f>IF(V$28=1,'Бізнес план'!$E$83,0)</x:f>
        <x:v>0</x:v>
      </x:c>
      <x:c r="W47" s="424" t="n">
        <x:f>IF(W$28=1,'Бізнес план'!$E$83,0)</x:f>
        <x:v>0</x:v>
      </x:c>
      <x:c r="X47" s="424" t="n">
        <x:f>IF(X$28=1,'Бізнес план'!$E$83,0)</x:f>
        <x:v>0</x:v>
      </x:c>
      <x:c r="Y47" s="424" t="n">
        <x:f>IF(Y$28=1,'Бізнес план'!$E$83,0)</x:f>
        <x:v>0</x:v>
      </x:c>
      <x:c r="Z47" s="424" t="n">
        <x:f>IF(Z$28=1,'Бізнес план'!$E$83,0)</x:f>
        <x:v>0</x:v>
      </x:c>
      <x:c r="AA47" s="424" t="n">
        <x:f>IF(AA$28=1,'Бізнес план'!$E$83,0)</x:f>
        <x:v>0</x:v>
      </x:c>
      <x:c r="AB47" s="424" t="n">
        <x:f>IF(AB$28=1,'Бізнес план'!$E$83,0)</x:f>
        <x:v>0</x:v>
      </x:c>
      <x:c r="AC47" s="424" t="n">
        <x:f>IF(AC$28=1,'Бізнес план'!$E$83,0)</x:f>
        <x:v>0</x:v>
      </x:c>
      <x:c r="AD47" s="424" t="n">
        <x:f>IF(AD$28=1,'Бізнес план'!$E$83,0)</x:f>
        <x:v>0</x:v>
      </x:c>
      <x:c r="AE47" s="424" t="n">
        <x:f>IF(AE$28=1,'Бізнес план'!$E$83,0)</x:f>
        <x:v>0</x:v>
      </x:c>
      <x:c r="AF47" s="424" t="n">
        <x:f>IF(AF$28=1,'Бізнес план'!$E$83,0)</x:f>
        <x:v>0</x:v>
      </x:c>
      <x:c r="AG47" s="424" t="n">
        <x:f>IF(AG$28=1,'Бізнес план'!$E$83,0)</x:f>
        <x:v>0</x:v>
      </x:c>
      <x:c r="AH47" s="424" t="n">
        <x:f>IF(AH$28=1,'Бізнес план'!$E$83,0)</x:f>
        <x:v>0</x:v>
      </x:c>
      <x:c r="AI47" s="424" t="n">
        <x:f>IF(AI$28=1,'Бізнес план'!$E$83,0)</x:f>
        <x:v>0</x:v>
      </x:c>
      <x:c r="AJ47" s="424" t="n">
        <x:f>IF(AJ$28=1,'Бізнес план'!$E$83,0)</x:f>
        <x:v>0</x:v>
      </x:c>
      <x:c r="AK47" s="424" t="n">
        <x:f>IF(AK$28=1,'Бізнес план'!$E$83,0)</x:f>
        <x:v>0</x:v>
      </x:c>
      <x:c r="AL47" s="424" t="n">
        <x:f>IF(AL$28=1,'Бізнес план'!$E$83,0)</x:f>
        <x:v>0</x:v>
      </x:c>
      <x:c r="AM47" s="399"/>
      <x:c r="AN47" s="399"/>
    </x:row>
    <x:row r="48" ht="29" customHeight="1">
      <x:c r="A48" s="399"/>
      <x:c r="B48" s="410" t="str">
        <x:v>ПЗ та сайт — разово за грантом</x:v>
      </x:c>
      <x:c r="C48" s="424" t="n">
        <x:f>IF(C$28=1,SUM('Бізнес план'!$E$87:$E$88),0)</x:f>
        <x:v>278000</x:v>
      </x:c>
      <x:c r="D48" s="424" t="n">
        <x:f>IF(D$28=1,SUM('Бізнес план'!$E$87:$E$88),0)</x:f>
        <x:v>0</x:v>
      </x:c>
      <x:c r="E48" s="424" t="n">
        <x:f>IF(E$28=1,SUM('Бізнес план'!$E$87:$E$88),0)</x:f>
        <x:v>0</x:v>
      </x:c>
      <x:c r="F48" s="424" t="n">
        <x:f>IF(F$28=1,SUM('Бізнес план'!$E$87:$E$88),0)</x:f>
        <x:v>0</x:v>
      </x:c>
      <x:c r="G48" s="424" t="n">
        <x:f>IF(G$28=1,SUM('Бізнес план'!$E$87:$E$88),0)</x:f>
        <x:v>0</x:v>
      </x:c>
      <x:c r="H48" s="424" t="n">
        <x:f>IF(H$28=1,SUM('Бізнес план'!$E$87:$E$88),0)</x:f>
        <x:v>0</x:v>
      </x:c>
      <x:c r="I48" s="424" t="n">
        <x:f>IF(I$28=1,SUM('Бізнес план'!$E$87:$E$88),0)</x:f>
        <x:v>0</x:v>
      </x:c>
      <x:c r="J48" s="424" t="n">
        <x:f>IF(J$28=1,SUM('Бізнес план'!$E$87:$E$88),0)</x:f>
        <x:v>0</x:v>
      </x:c>
      <x:c r="K48" s="424" t="n">
        <x:f>IF(K$28=1,SUM('Бізнес план'!$E$87:$E$88),0)</x:f>
        <x:v>0</x:v>
      </x:c>
      <x:c r="L48" s="424" t="n">
        <x:f>IF(L$28=1,SUM('Бізнес план'!$E$87:$E$88),0)</x:f>
        <x:v>0</x:v>
      </x:c>
      <x:c r="M48" s="424" t="n">
        <x:f>IF(M$28=1,SUM('Бізнес план'!$E$87:$E$88),0)</x:f>
        <x:v>0</x:v>
      </x:c>
      <x:c r="N48" s="424" t="n">
        <x:f>IF(N$28=1,SUM('Бізнес план'!$E$87:$E$88),0)</x:f>
        <x:v>0</x:v>
      </x:c>
      <x:c r="O48" s="424" t="n">
        <x:f>IF(O$28=1,SUM('Бізнес план'!$E$87:$E$88),0)</x:f>
        <x:v>0</x:v>
      </x:c>
      <x:c r="P48" s="424" t="n">
        <x:f>IF(P$28=1,SUM('Бізнес план'!$E$87:$E$88),0)</x:f>
        <x:v>0</x:v>
      </x:c>
      <x:c r="Q48" s="424" t="n">
        <x:f>IF(Q$28=1,SUM('Бізнес план'!$E$87:$E$88),0)</x:f>
        <x:v>0</x:v>
      </x:c>
      <x:c r="R48" s="424" t="n">
        <x:f>IF(R$28=1,SUM('Бізнес план'!$E$87:$E$88),0)</x:f>
        <x:v>0</x:v>
      </x:c>
      <x:c r="S48" s="424" t="n">
        <x:f>IF(S$28=1,SUM('Бізнес план'!$E$87:$E$88),0)</x:f>
        <x:v>0</x:v>
      </x:c>
      <x:c r="T48" s="424" t="n">
        <x:f>IF(T$28=1,SUM('Бізнес план'!$E$87:$E$88),0)</x:f>
        <x:v>0</x:v>
      </x:c>
      <x:c r="U48" s="424" t="n">
        <x:f>IF(U$28=1,SUM('Бізнес план'!$E$87:$E$88),0)</x:f>
        <x:v>0</x:v>
      </x:c>
      <x:c r="V48" s="424" t="n">
        <x:f>IF(V$28=1,SUM('Бізнес план'!$E$87:$E$88),0)</x:f>
        <x:v>0</x:v>
      </x:c>
      <x:c r="W48" s="424" t="n">
        <x:f>IF(W$28=1,SUM('Бізнес план'!$E$87:$E$88),0)</x:f>
        <x:v>0</x:v>
      </x:c>
      <x:c r="X48" s="424" t="n">
        <x:f>IF(X$28=1,SUM('Бізнес план'!$E$87:$E$88),0)</x:f>
        <x:v>0</x:v>
      </x:c>
      <x:c r="Y48" s="424" t="n">
        <x:f>IF(Y$28=1,SUM('Бізнес план'!$E$87:$E$88),0)</x:f>
        <x:v>0</x:v>
      </x:c>
      <x:c r="Z48" s="424" t="n">
        <x:f>IF(Z$28=1,SUM('Бізнес план'!$E$87:$E$88),0)</x:f>
        <x:v>0</x:v>
      </x:c>
      <x:c r="AA48" s="424" t="n">
        <x:f>IF(AA$28=1,SUM('Бізнес план'!$E$87:$E$88),0)</x:f>
        <x:v>0</x:v>
      </x:c>
      <x:c r="AB48" s="424" t="n">
        <x:f>IF(AB$28=1,SUM('Бізнес план'!$E$87:$E$88),0)</x:f>
        <x:v>0</x:v>
      </x:c>
      <x:c r="AC48" s="424" t="n">
        <x:f>IF(AC$28=1,SUM('Бізнес план'!$E$87:$E$88),0)</x:f>
        <x:v>0</x:v>
      </x:c>
      <x:c r="AD48" s="424" t="n">
        <x:f>IF(AD$28=1,SUM('Бізнес план'!$E$87:$E$88),0)</x:f>
        <x:v>0</x:v>
      </x:c>
      <x:c r="AE48" s="424" t="n">
        <x:f>IF(AE$28=1,SUM('Бізнес план'!$E$87:$E$88),0)</x:f>
        <x:v>0</x:v>
      </x:c>
      <x:c r="AF48" s="424" t="n">
        <x:f>IF(AF$28=1,SUM('Бізнес план'!$E$87:$E$88),0)</x:f>
        <x:v>0</x:v>
      </x:c>
      <x:c r="AG48" s="424" t="n">
        <x:f>IF(AG$28=1,SUM('Бізнес план'!$E$87:$E$88),0)</x:f>
        <x:v>0</x:v>
      </x:c>
      <x:c r="AH48" s="424" t="n">
        <x:f>IF(AH$28=1,SUM('Бізнес план'!$E$87:$E$88),0)</x:f>
        <x:v>0</x:v>
      </x:c>
      <x:c r="AI48" s="424" t="n">
        <x:f>IF(AI$28=1,SUM('Бізнес план'!$E$87:$E$88),0)</x:f>
        <x:v>0</x:v>
      </x:c>
      <x:c r="AJ48" s="424" t="n">
        <x:f>IF(AJ$28=1,SUM('Бізнес план'!$E$87:$E$88),0)</x:f>
        <x:v>0</x:v>
      </x:c>
      <x:c r="AK48" s="424" t="n">
        <x:f>IF(AK$28=1,SUM('Бізнес план'!$E$87:$E$88),0)</x:f>
        <x:v>0</x:v>
      </x:c>
      <x:c r="AL48" s="424" t="n">
        <x:f>IF(AL$28=1,SUM('Бізнес план'!$E$87:$E$88),0)</x:f>
        <x:v>0</x:v>
      </x:c>
      <x:c r="AM48" s="399"/>
      <x:c r="AN48" s="399"/>
    </x:row>
    <x:row r="49" ht="29" customHeight="1">
      <x:c r="A49" s="399"/>
      <x:c r="B49" s="410" t="str">
        <x:v>Навчання — власне фінансування</x:v>
      </x:c>
      <x:c r="C49" s="425" t="n">
        <x:f>C36</x:f>
        <x:v>110000</x:v>
      </x:c>
      <x:c r="D49" s="425" t="n">
        <x:f>D36</x:f>
        <x:v>0</x:v>
      </x:c>
      <x:c r="E49" s="425" t="n">
        <x:f>E36</x:f>
        <x:v>0</x:v>
      </x:c>
      <x:c r="F49" s="425" t="n">
        <x:f>F36</x:f>
        <x:v>0</x:v>
      </x:c>
      <x:c r="G49" s="425" t="n">
        <x:f>G36</x:f>
        <x:v>0</x:v>
      </x:c>
      <x:c r="H49" s="425" t="n">
        <x:f>H36</x:f>
        <x:v>0</x:v>
      </x:c>
      <x:c r="I49" s="425" t="n">
        <x:f>I36</x:f>
        <x:v>0</x:v>
      </x:c>
      <x:c r="J49" s="425" t="n">
        <x:f>J36</x:f>
        <x:v>0</x:v>
      </x:c>
      <x:c r="K49" s="425" t="n">
        <x:f>K36</x:f>
        <x:v>0</x:v>
      </x:c>
      <x:c r="L49" s="425" t="n">
        <x:f>L36</x:f>
        <x:v>0</x:v>
      </x:c>
      <x:c r="M49" s="425" t="n">
        <x:f>M36</x:f>
        <x:v>0</x:v>
      </x:c>
      <x:c r="N49" s="425" t="n">
        <x:f>N36</x:f>
        <x:v>0</x:v>
      </x:c>
      <x:c r="O49" s="425" t="n">
        <x:f>O36</x:f>
        <x:v>275860</x:v>
      </x:c>
      <x:c r="P49" s="425" t="n">
        <x:f>P36</x:f>
        <x:v>0</x:v>
      </x:c>
      <x:c r="Q49" s="425" t="n">
        <x:f>Q36</x:f>
        <x:v>0</x:v>
      </x:c>
      <x:c r="R49" s="425" t="n">
        <x:f>R36</x:f>
        <x:v>0</x:v>
      </x:c>
      <x:c r="S49" s="425" t="n">
        <x:f>S36</x:f>
        <x:v>0</x:v>
      </x:c>
      <x:c r="T49" s="425" t="n">
        <x:f>T36</x:f>
        <x:v>0</x:v>
      </x:c>
      <x:c r="U49" s="425" t="n">
        <x:f>U36</x:f>
        <x:v>0</x:v>
      </x:c>
      <x:c r="V49" s="425" t="n">
        <x:f>V36</x:f>
        <x:v>0</x:v>
      </x:c>
      <x:c r="W49" s="425" t="n">
        <x:f>W36</x:f>
        <x:v>0</x:v>
      </x:c>
      <x:c r="X49" s="425" t="n">
        <x:f>X36</x:f>
        <x:v>0</x:v>
      </x:c>
      <x:c r="Y49" s="425" t="n">
        <x:f>Y36</x:f>
        <x:v>0</x:v>
      </x:c>
      <x:c r="Z49" s="425" t="n">
        <x:f>Z36</x:f>
        <x:v>0</x:v>
      </x:c>
      <x:c r="AA49" s="425" t="n">
        <x:f>AA36</x:f>
        <x:v>0</x:v>
      </x:c>
      <x:c r="AB49" s="425" t="n">
        <x:f>AB36</x:f>
        <x:v>0</x:v>
      </x:c>
      <x:c r="AC49" s="425" t="n">
        <x:f>AC36</x:f>
        <x:v>0</x:v>
      </x:c>
      <x:c r="AD49" s="425" t="n">
        <x:f>AD36</x:f>
        <x:v>0</x:v>
      </x:c>
      <x:c r="AE49" s="425" t="n">
        <x:f>AE36</x:f>
        <x:v>0</x:v>
      </x:c>
      <x:c r="AF49" s="425" t="n">
        <x:f>AF36</x:f>
        <x:v>0</x:v>
      </x:c>
      <x:c r="AG49" s="425" t="n">
        <x:f>AG36</x:f>
        <x:v>0</x:v>
      </x:c>
      <x:c r="AH49" s="425" t="n">
        <x:f>AH36</x:f>
        <x:v>0</x:v>
      </x:c>
      <x:c r="AI49" s="425" t="n">
        <x:f>AI36</x:f>
        <x:v>0</x:v>
      </x:c>
      <x:c r="AJ49" s="425" t="n">
        <x:f>AJ36</x:f>
        <x:v>0</x:v>
      </x:c>
      <x:c r="AK49" s="425" t="n">
        <x:f>AK36</x:f>
        <x:v>0</x:v>
      </x:c>
      <x:c r="AL49" s="425" t="n">
        <x:f>AL36</x:f>
        <x:v>0</x:v>
      </x:c>
      <x:c r="AM49" s="399"/>
      <x:c r="AN49" s="399"/>
    </x:row>
    <x:row r="50" ht="29" customHeight="1">
      <x:c r="A50" s="399"/>
      <x:c r="B50" s="410" t="str">
        <x:v>Нарахована зарплата (gross)</x:v>
      </x:c>
      <x:c r="C50" s="424" t="n">
        <x:f>'Вхідні дані'!C7*$C$6</x:f>
        <x:v>75000</x:v>
      </x:c>
      <x:c r="D50" s="424" t="n">
        <x:f>'Вхідні дані'!D7*$C$6</x:f>
        <x:v>75000</x:v>
      </x:c>
      <x:c r="E50" s="424" t="n">
        <x:f>'Вхідні дані'!E7*$C$6</x:f>
        <x:v>75000</x:v>
      </x:c>
      <x:c r="F50" s="424" t="n">
        <x:f>'Вхідні дані'!F7*$C$6</x:f>
        <x:v>75000</x:v>
      </x:c>
      <x:c r="G50" s="424" t="n">
        <x:f>'Вхідні дані'!G7*$C$6</x:f>
        <x:v>75000</x:v>
      </x:c>
      <x:c r="H50" s="424" t="n">
        <x:f>'Вхідні дані'!H7*$C$6</x:f>
        <x:v>75000</x:v>
      </x:c>
      <x:c r="I50" s="424" t="n">
        <x:f>'Вхідні дані'!I7*$C$6</x:f>
        <x:v>75000</x:v>
      </x:c>
      <x:c r="J50" s="424" t="n">
        <x:f>'Вхідні дані'!J7*$C$6</x:f>
        <x:v>75000</x:v>
      </x:c>
      <x:c r="K50" s="424" t="n">
        <x:f>'Вхідні дані'!K7*$C$6</x:f>
        <x:v>80000</x:v>
      </x:c>
      <x:c r="L50" s="424" t="n">
        <x:f>'Вхідні дані'!L7*$C$6</x:f>
        <x:v>80000</x:v>
      </x:c>
      <x:c r="M50" s="424" t="n">
        <x:f>'Вхідні дані'!M7*$C$6</x:f>
        <x:v>80000</x:v>
      </x:c>
      <x:c r="N50" s="424" t="n">
        <x:f>'Вхідні дані'!N7*$C$6</x:f>
        <x:v>80000</x:v>
      </x:c>
      <x:c r="O50" s="424" t="n">
        <x:f>'Вхідні дані'!O7*$C$6</x:f>
        <x:v>85000</x:v>
      </x:c>
      <x:c r="P50" s="424" t="n">
        <x:f>'Вхідні дані'!P7*$C$6</x:f>
        <x:v>85000</x:v>
      </x:c>
      <x:c r="Q50" s="424" t="n">
        <x:f>'Вхідні дані'!Q7*$C$6</x:f>
        <x:v>85000</x:v>
      </x:c>
      <x:c r="R50" s="424" t="n">
        <x:f>'Вхідні дані'!R7*$C$6</x:f>
        <x:v>85000</x:v>
      </x:c>
      <x:c r="S50" s="424" t="n">
        <x:f>'Вхідні дані'!S7*$C$6</x:f>
        <x:v>90000</x:v>
      </x:c>
      <x:c r="T50" s="424" t="n">
        <x:f>'Вхідні дані'!T7*$C$6</x:f>
        <x:v>90000</x:v>
      </x:c>
      <x:c r="U50" s="424" t="n">
        <x:f>'Вхідні дані'!U7*$C$6</x:f>
        <x:v>90000</x:v>
      </x:c>
      <x:c r="V50" s="424" t="n">
        <x:f>'Вхідні дані'!V7*$C$6</x:f>
        <x:v>90000</x:v>
      </x:c>
      <x:c r="W50" s="424" t="n">
        <x:f>'Вхідні дані'!W7*$C$6</x:f>
        <x:v>90000</x:v>
      </x:c>
      <x:c r="X50" s="424" t="n">
        <x:f>'Вхідні дані'!X7*$C$6</x:f>
        <x:v>100000</x:v>
      </x:c>
      <x:c r="Y50" s="424" t="n">
        <x:f>'Вхідні дані'!Y7*$C$6</x:f>
        <x:v>100000</x:v>
      </x:c>
      <x:c r="Z50" s="424" t="n">
        <x:f>'Вхідні дані'!Z7*$C$6</x:f>
        <x:v>100000</x:v>
      </x:c>
      <x:c r="AA50" s="424" t="n">
        <x:f>'Вхідні дані'!AA7*$C$6</x:f>
        <x:v>100000</x:v>
      </x:c>
      <x:c r="AB50" s="424" t="n">
        <x:f>'Вхідні дані'!AB7*$C$6</x:f>
        <x:v>100000</x:v>
      </x:c>
      <x:c r="AC50" s="424" t="n">
        <x:f>'Вхідні дані'!AC7*$C$6</x:f>
        <x:v>100000</x:v>
      </x:c>
      <x:c r="AD50" s="424" t="n">
        <x:f>'Вхідні дані'!AD7*$C$6</x:f>
        <x:v>105000</x:v>
      </x:c>
      <x:c r="AE50" s="424" t="n">
        <x:f>'Вхідні дані'!AE7*$C$6</x:f>
        <x:v>105000</x:v>
      </x:c>
      <x:c r="AF50" s="424" t="n">
        <x:f>'Вхідні дані'!AF7*$C$6</x:f>
        <x:v>105000</x:v>
      </x:c>
      <x:c r="AG50" s="424" t="n">
        <x:f>'Вхідні дані'!AG7*$C$6</x:f>
        <x:v>105000</x:v>
      </x:c>
      <x:c r="AH50" s="424" t="n">
        <x:f>'Вхідні дані'!AH7*$C$6</x:f>
        <x:v>105000</x:v>
      </x:c>
      <x:c r="AI50" s="424" t="n">
        <x:f>'Вхідні дані'!AI7*$C$6</x:f>
        <x:v>105000</x:v>
      </x:c>
      <x:c r="AJ50" s="424" t="n">
        <x:f>'Вхідні дані'!AJ7*$C$6</x:f>
        <x:v>105000</x:v>
      </x:c>
      <x:c r="AK50" s="424" t="n">
        <x:f>'Вхідні дані'!AK7*$C$6</x:f>
        <x:v>110000</x:v>
      </x:c>
      <x:c r="AL50" s="424" t="n">
        <x:f>'Вхідні дані'!AL7*$C$6</x:f>
        <x:v>110000</x:v>
      </x:c>
      <x:c r="AM50" s="399"/>
      <x:c r="AN50" s="399"/>
    </x:row>
    <x:row r="51" ht="29" customHeight="1">
      <x:c r="A51" s="399"/>
      <x:c r="B51" s="410" t="str">
        <x:v>ЄСВ роботодавця — понад зарплату</x:v>
      </x:c>
      <x:c r="C51" s="425" t="n">
        <x:f>C50*$C$12</x:f>
        <x:v>16500</x:v>
      </x:c>
      <x:c r="D51" s="425" t="n">
        <x:f>D50*$C$12</x:f>
        <x:v>16500</x:v>
      </x:c>
      <x:c r="E51" s="425" t="n">
        <x:f>E50*$C$12</x:f>
        <x:v>16500</x:v>
      </x:c>
      <x:c r="F51" s="425" t="n">
        <x:f>F50*$C$12</x:f>
        <x:v>16500</x:v>
      </x:c>
      <x:c r="G51" s="425" t="n">
        <x:f>G50*$C$12</x:f>
        <x:v>16500</x:v>
      </x:c>
      <x:c r="H51" s="425" t="n">
        <x:f>H50*$C$12</x:f>
        <x:v>16500</x:v>
      </x:c>
      <x:c r="I51" s="425" t="n">
        <x:f>I50*$C$12</x:f>
        <x:v>16500</x:v>
      </x:c>
      <x:c r="J51" s="425" t="n">
        <x:f>J50*$C$12</x:f>
        <x:v>16500</x:v>
      </x:c>
      <x:c r="K51" s="425" t="n">
        <x:f>K50*$C$12</x:f>
        <x:v>17600</x:v>
      </x:c>
      <x:c r="L51" s="425" t="n">
        <x:f>L50*$C$12</x:f>
        <x:v>17600</x:v>
      </x:c>
      <x:c r="M51" s="425" t="n">
        <x:f>M50*$C$12</x:f>
        <x:v>17600</x:v>
      </x:c>
      <x:c r="N51" s="425" t="n">
        <x:f>N50*$C$12</x:f>
        <x:v>17600</x:v>
      </x:c>
      <x:c r="O51" s="425" t="n">
        <x:f>O50*$C$12</x:f>
        <x:v>18700</x:v>
      </x:c>
      <x:c r="P51" s="425" t="n">
        <x:f>P50*$C$12</x:f>
        <x:v>18700</x:v>
      </x:c>
      <x:c r="Q51" s="425" t="n">
        <x:f>Q50*$C$12</x:f>
        <x:v>18700</x:v>
      </x:c>
      <x:c r="R51" s="425" t="n">
        <x:f>R50*$C$12</x:f>
        <x:v>18700</x:v>
      </x:c>
      <x:c r="S51" s="425" t="n">
        <x:f>S50*$C$12</x:f>
        <x:v>19800</x:v>
      </x:c>
      <x:c r="T51" s="425" t="n">
        <x:f>T50*$C$12</x:f>
        <x:v>19800</x:v>
      </x:c>
      <x:c r="U51" s="425" t="n">
        <x:f>U50*$C$12</x:f>
        <x:v>19800</x:v>
      </x:c>
      <x:c r="V51" s="425" t="n">
        <x:f>V50*$C$12</x:f>
        <x:v>19800</x:v>
      </x:c>
      <x:c r="W51" s="425" t="n">
        <x:f>W50*$C$12</x:f>
        <x:v>19800</x:v>
      </x:c>
      <x:c r="X51" s="425" t="n">
        <x:f>X50*$C$12</x:f>
        <x:v>22000</x:v>
      </x:c>
      <x:c r="Y51" s="425" t="n">
        <x:f>Y50*$C$12</x:f>
        <x:v>22000</x:v>
      </x:c>
      <x:c r="Z51" s="425" t="n">
        <x:f>Z50*$C$12</x:f>
        <x:v>22000</x:v>
      </x:c>
      <x:c r="AA51" s="425" t="n">
        <x:f>AA50*$C$12</x:f>
        <x:v>22000</x:v>
      </x:c>
      <x:c r="AB51" s="425" t="n">
        <x:f>AB50*$C$12</x:f>
        <x:v>22000</x:v>
      </x:c>
      <x:c r="AC51" s="425" t="n">
        <x:f>AC50*$C$12</x:f>
        <x:v>22000</x:v>
      </x:c>
      <x:c r="AD51" s="425" t="n">
        <x:f>AD50*$C$12</x:f>
        <x:v>23100</x:v>
      </x:c>
      <x:c r="AE51" s="425" t="n">
        <x:f>AE50*$C$12</x:f>
        <x:v>23100</x:v>
      </x:c>
      <x:c r="AF51" s="425" t="n">
        <x:f>AF50*$C$12</x:f>
        <x:v>23100</x:v>
      </x:c>
      <x:c r="AG51" s="425" t="n">
        <x:f>AG50*$C$12</x:f>
        <x:v>23100</x:v>
      </x:c>
      <x:c r="AH51" s="425" t="n">
        <x:f>AH50*$C$12</x:f>
        <x:v>23100</x:v>
      </x:c>
      <x:c r="AI51" s="425" t="n">
        <x:f>AI50*$C$12</x:f>
        <x:v>23100</x:v>
      </x:c>
      <x:c r="AJ51" s="425" t="n">
        <x:f>AJ50*$C$12</x:f>
        <x:v>23100</x:v>
      </x:c>
      <x:c r="AK51" s="425" t="n">
        <x:f>AK50*$C$12</x:f>
        <x:v>24200</x:v>
      </x:c>
      <x:c r="AL51" s="425" t="n">
        <x:f>AL50*$C$12</x:f>
        <x:v>24200</x:v>
      </x:c>
      <x:c r="AM51" s="399"/>
      <x:c r="AN51" s="399"/>
    </x:row>
    <x:row r="52" ht="29" customHeight="1">
      <x:c r="A52" s="399"/>
      <x:c r="B52" s="410" t="str">
        <x:v>ПДФО — утримано із gross, довідково</x:v>
      </x:c>
      <x:c r="C52" s="425" t="n">
        <x:f>C50*$C$13</x:f>
        <x:v>13500</x:v>
      </x:c>
      <x:c r="D52" s="425" t="n">
        <x:f>D50*$C$13</x:f>
        <x:v>13500</x:v>
      </x:c>
      <x:c r="E52" s="425" t="n">
        <x:f>E50*$C$13</x:f>
        <x:v>13500</x:v>
      </x:c>
      <x:c r="F52" s="425" t="n">
        <x:f>F50*$C$13</x:f>
        <x:v>13500</x:v>
      </x:c>
      <x:c r="G52" s="425" t="n">
        <x:f>G50*$C$13</x:f>
        <x:v>13500</x:v>
      </x:c>
      <x:c r="H52" s="425" t="n">
        <x:f>H50*$C$13</x:f>
        <x:v>13500</x:v>
      </x:c>
      <x:c r="I52" s="425" t="n">
        <x:f>I50*$C$13</x:f>
        <x:v>13500</x:v>
      </x:c>
      <x:c r="J52" s="425" t="n">
        <x:f>J50*$C$13</x:f>
        <x:v>13500</x:v>
      </x:c>
      <x:c r="K52" s="425" t="n">
        <x:f>K50*$C$13</x:f>
        <x:v>14400</x:v>
      </x:c>
      <x:c r="L52" s="425" t="n">
        <x:f>L50*$C$13</x:f>
        <x:v>14400</x:v>
      </x:c>
      <x:c r="M52" s="425" t="n">
        <x:f>M50*$C$13</x:f>
        <x:v>14400</x:v>
      </x:c>
      <x:c r="N52" s="425" t="n">
        <x:f>N50*$C$13</x:f>
        <x:v>14400</x:v>
      </x:c>
      <x:c r="O52" s="425" t="n">
        <x:f>O50*$C$13</x:f>
        <x:v>15300</x:v>
      </x:c>
      <x:c r="P52" s="425" t="n">
        <x:f>P50*$C$13</x:f>
        <x:v>15300</x:v>
      </x:c>
      <x:c r="Q52" s="425" t="n">
        <x:f>Q50*$C$13</x:f>
        <x:v>15300</x:v>
      </x:c>
      <x:c r="R52" s="425" t="n">
        <x:f>R50*$C$13</x:f>
        <x:v>15300</x:v>
      </x:c>
      <x:c r="S52" s="425" t="n">
        <x:f>S50*$C$13</x:f>
        <x:v>16200</x:v>
      </x:c>
      <x:c r="T52" s="425" t="n">
        <x:f>T50*$C$13</x:f>
        <x:v>16200</x:v>
      </x:c>
      <x:c r="U52" s="425" t="n">
        <x:f>U50*$C$13</x:f>
        <x:v>16200</x:v>
      </x:c>
      <x:c r="V52" s="425" t="n">
        <x:f>V50*$C$13</x:f>
        <x:v>16200</x:v>
      </x:c>
      <x:c r="W52" s="425" t="n">
        <x:f>W50*$C$13</x:f>
        <x:v>16200</x:v>
      </x:c>
      <x:c r="X52" s="425" t="n">
        <x:f>X50*$C$13</x:f>
        <x:v>18000</x:v>
      </x:c>
      <x:c r="Y52" s="425" t="n">
        <x:f>Y50*$C$13</x:f>
        <x:v>18000</x:v>
      </x:c>
      <x:c r="Z52" s="425" t="n">
        <x:f>Z50*$C$13</x:f>
        <x:v>18000</x:v>
      </x:c>
      <x:c r="AA52" s="425" t="n">
        <x:f>AA50*$C$13</x:f>
        <x:v>18000</x:v>
      </x:c>
      <x:c r="AB52" s="425" t="n">
        <x:f>AB50*$C$13</x:f>
        <x:v>18000</x:v>
      </x:c>
      <x:c r="AC52" s="425" t="n">
        <x:f>AC50*$C$13</x:f>
        <x:v>18000</x:v>
      </x:c>
      <x:c r="AD52" s="425" t="n">
        <x:f>AD50*$C$13</x:f>
        <x:v>18900</x:v>
      </x:c>
      <x:c r="AE52" s="425" t="n">
        <x:f>AE50*$C$13</x:f>
        <x:v>18900</x:v>
      </x:c>
      <x:c r="AF52" s="425" t="n">
        <x:f>AF50*$C$13</x:f>
        <x:v>18900</x:v>
      </x:c>
      <x:c r="AG52" s="425" t="n">
        <x:f>AG50*$C$13</x:f>
        <x:v>18900</x:v>
      </x:c>
      <x:c r="AH52" s="425" t="n">
        <x:f>AH50*$C$13</x:f>
        <x:v>18900</x:v>
      </x:c>
      <x:c r="AI52" s="425" t="n">
        <x:f>AI50*$C$13</x:f>
        <x:v>18900</x:v>
      </x:c>
      <x:c r="AJ52" s="425" t="n">
        <x:f>AJ50*$C$13</x:f>
        <x:v>18900</x:v>
      </x:c>
      <x:c r="AK52" s="425" t="n">
        <x:f>AK50*$C$13</x:f>
        <x:v>19800</x:v>
      </x:c>
      <x:c r="AL52" s="425" t="n">
        <x:f>AL50*$C$13</x:f>
        <x:v>19800</x:v>
      </x:c>
      <x:c r="AM52" s="399"/>
      <x:c r="AN52" s="399"/>
    </x:row>
    <x:row r="53" ht="29" customHeight="1">
      <x:c r="A53" s="399"/>
      <x:c r="B53" s="410" t="str">
        <x:v>ВЗ працівників — із gross, довідково</x:v>
      </x:c>
      <x:c r="C53" s="425" t="n">
        <x:f>C50*$C$14</x:f>
        <x:v>3750</x:v>
      </x:c>
      <x:c r="D53" s="425" t="n">
        <x:f>D50*$C$14</x:f>
        <x:v>3750</x:v>
      </x:c>
      <x:c r="E53" s="425" t="n">
        <x:f>E50*$C$14</x:f>
        <x:v>3750</x:v>
      </x:c>
      <x:c r="F53" s="425" t="n">
        <x:f>F50*$C$14</x:f>
        <x:v>3750</x:v>
      </x:c>
      <x:c r="G53" s="425" t="n">
        <x:f>G50*$C$14</x:f>
        <x:v>3750</x:v>
      </x:c>
      <x:c r="H53" s="425" t="n">
        <x:f>H50*$C$14</x:f>
        <x:v>3750</x:v>
      </x:c>
      <x:c r="I53" s="425" t="n">
        <x:f>I50*$C$14</x:f>
        <x:v>3750</x:v>
      </x:c>
      <x:c r="J53" s="425" t="n">
        <x:f>J50*$C$14</x:f>
        <x:v>3750</x:v>
      </x:c>
      <x:c r="K53" s="425" t="n">
        <x:f>K50*$C$14</x:f>
        <x:v>4000</x:v>
      </x:c>
      <x:c r="L53" s="425" t="n">
        <x:f>L50*$C$14</x:f>
        <x:v>4000</x:v>
      </x:c>
      <x:c r="M53" s="425" t="n">
        <x:f>M50*$C$14</x:f>
        <x:v>4000</x:v>
      </x:c>
      <x:c r="N53" s="425" t="n">
        <x:f>N50*$C$14</x:f>
        <x:v>4000</x:v>
      </x:c>
      <x:c r="O53" s="425" t="n">
        <x:f>O50*$C$14</x:f>
        <x:v>4250</x:v>
      </x:c>
      <x:c r="P53" s="425" t="n">
        <x:f>P50*$C$14</x:f>
        <x:v>4250</x:v>
      </x:c>
      <x:c r="Q53" s="425" t="n">
        <x:f>Q50*$C$14</x:f>
        <x:v>4250</x:v>
      </x:c>
      <x:c r="R53" s="425" t="n">
        <x:f>R50*$C$14</x:f>
        <x:v>4250</x:v>
      </x:c>
      <x:c r="S53" s="425" t="n">
        <x:f>S50*$C$14</x:f>
        <x:v>4500</x:v>
      </x:c>
      <x:c r="T53" s="425" t="n">
        <x:f>T50*$C$14</x:f>
        <x:v>4500</x:v>
      </x:c>
      <x:c r="U53" s="425" t="n">
        <x:f>U50*$C$14</x:f>
        <x:v>4500</x:v>
      </x:c>
      <x:c r="V53" s="425" t="n">
        <x:f>V50*$C$14</x:f>
        <x:v>4500</x:v>
      </x:c>
      <x:c r="W53" s="425" t="n">
        <x:f>W50*$C$14</x:f>
        <x:v>4500</x:v>
      </x:c>
      <x:c r="X53" s="425" t="n">
        <x:f>X50*$C$14</x:f>
        <x:v>5000</x:v>
      </x:c>
      <x:c r="Y53" s="425" t="n">
        <x:f>Y50*$C$14</x:f>
        <x:v>5000</x:v>
      </x:c>
      <x:c r="Z53" s="425" t="n">
        <x:f>Z50*$C$14</x:f>
        <x:v>5000</x:v>
      </x:c>
      <x:c r="AA53" s="425" t="n">
        <x:f>AA50*$C$14</x:f>
        <x:v>5000</x:v>
      </x:c>
      <x:c r="AB53" s="425" t="n">
        <x:f>AB50*$C$14</x:f>
        <x:v>5000</x:v>
      </x:c>
      <x:c r="AC53" s="425" t="n">
        <x:f>AC50*$C$14</x:f>
        <x:v>5000</x:v>
      </x:c>
      <x:c r="AD53" s="425" t="n">
        <x:f>AD50*$C$14</x:f>
        <x:v>5250</x:v>
      </x:c>
      <x:c r="AE53" s="425" t="n">
        <x:f>AE50*$C$14</x:f>
        <x:v>5250</x:v>
      </x:c>
      <x:c r="AF53" s="425" t="n">
        <x:f>AF50*$C$14</x:f>
        <x:v>5250</x:v>
      </x:c>
      <x:c r="AG53" s="425" t="n">
        <x:f>AG50*$C$14</x:f>
        <x:v>5250</x:v>
      </x:c>
      <x:c r="AH53" s="425" t="n">
        <x:f>AH50*$C$14</x:f>
        <x:v>5250</x:v>
      </x:c>
      <x:c r="AI53" s="425" t="n">
        <x:f>AI50*$C$14</x:f>
        <x:v>5250</x:v>
      </x:c>
      <x:c r="AJ53" s="425" t="n">
        <x:f>AJ50*$C$14</x:f>
        <x:v>5250</x:v>
      </x:c>
      <x:c r="AK53" s="425" t="n">
        <x:f>AK50*$C$14</x:f>
        <x:v>5500</x:v>
      </x:c>
      <x:c r="AL53" s="425" t="n">
        <x:f>AL50*$C$14</x:f>
        <x:v>5500</x:v>
      </x:c>
      <x:c r="AM53" s="399"/>
      <x:c r="AN53" s="399"/>
    </x:row>
    <x:row r="54" ht="29" customHeight="1">
      <x:c r="A54" s="399"/>
      <x:c r="B54" s="410" t="str">
        <x:v>Єдиний податок ФОП</x:v>
      </x:c>
      <x:c r="C54" s="425" t="n">
        <x:f>C34*$C$10</x:f>
        <x:v>10000</x:v>
      </x:c>
      <x:c r="D54" s="425" t="n">
        <x:f>D34*$C$10</x:f>
        <x:v>10000</x:v>
      </x:c>
      <x:c r="E54" s="425" t="n">
        <x:f>E34*$C$10</x:f>
        <x:v>10000</x:v>
      </x:c>
      <x:c r="F54" s="425" t="n">
        <x:f>F34*$C$10</x:f>
        <x:v>14000</x:v>
      </x:c>
      <x:c r="G54" s="425" t="n">
        <x:f>G34*$C$10</x:f>
        <x:v>14000</x:v>
      </x:c>
      <x:c r="H54" s="425" t="n">
        <x:f>H34*$C$10</x:f>
        <x:v>15000</x:v>
      </x:c>
      <x:c r="I54" s="425" t="n">
        <x:f>I34*$C$10</x:f>
        <x:v>15000</x:v>
      </x:c>
      <x:c r="J54" s="425" t="n">
        <x:f>J34*$C$10</x:f>
        <x:v>17500</x:v>
      </x:c>
      <x:c r="K54" s="425" t="n">
        <x:f>K34*$C$10</x:f>
        <x:v>19000</x:v>
      </x:c>
      <x:c r="L54" s="425" t="n">
        <x:f>L34*$C$10</x:f>
        <x:v>19000</x:v>
      </x:c>
      <x:c r="M54" s="425" t="n">
        <x:f>M34*$C$10</x:f>
        <x:v>24000</x:v>
      </x:c>
      <x:c r="N54" s="425" t="n">
        <x:f>N34*$C$10</x:f>
        <x:v>24000</x:v>
      </x:c>
      <x:c r="O54" s="425" t="n">
        <x:f>O34*$C$10</x:f>
        <x:v>24000</x:v>
      </x:c>
      <x:c r="P54" s="425" t="n">
        <x:f>P34*$C$10</x:f>
        <x:v>27500</x:v>
      </x:c>
      <x:c r="Q54" s="425" t="n">
        <x:f>Q34*$C$10</x:f>
        <x:v>27500</x:v>
      </x:c>
      <x:c r="R54" s="425" t="n">
        <x:f>R34*$C$10</x:f>
        <x:v>27500</x:v>
      </x:c>
      <x:c r="S54" s="425" t="n">
        <x:f>S34*$C$10</x:f>
        <x:v>30000</x:v>
      </x:c>
      <x:c r="T54" s="425" t="n">
        <x:f>T34*$C$10</x:f>
        <x:v>30000</x:v>
      </x:c>
      <x:c r="U54" s="425" t="n">
        <x:f>U34*$C$10</x:f>
        <x:v>30000</x:v>
      </x:c>
      <x:c r="V54" s="425" t="n">
        <x:f>V34*$C$10</x:f>
        <x:v>31500</x:v>
      </x:c>
      <x:c r="W54" s="425" t="n">
        <x:f>W34*$C$10</x:f>
        <x:v>34000</x:v>
      </x:c>
      <x:c r="X54" s="425" t="n">
        <x:f>X34*$C$10</x:f>
        <x:v>35000</x:v>
      </x:c>
      <x:c r="Y54" s="425" t="n">
        <x:f>Y34*$C$10</x:f>
        <x:v>35000</x:v>
      </x:c>
      <x:c r="Z54" s="425" t="n">
        <x:f>Z34*$C$10</x:f>
        <x:v>37500</x:v>
      </x:c>
      <x:c r="AA54" s="425" t="n">
        <x:f>AA34*$C$10</x:f>
        <x:v>37500</x:v>
      </x:c>
      <x:c r="AB54" s="425" t="n">
        <x:f>AB34*$C$10</x:f>
        <x:v>37500</x:v>
      </x:c>
      <x:c r="AC54" s="425" t="n">
        <x:f>AC34*$C$10</x:f>
        <x:v>37500</x:v>
      </x:c>
      <x:c r="AD54" s="425" t="n">
        <x:f>AD34*$C$10</x:f>
        <x:v>37500</x:v>
      </x:c>
      <x:c r="AE54" s="425" t="n">
        <x:f>AE34*$C$10</x:f>
        <x:v>37500</x:v>
      </x:c>
      <x:c r="AF54" s="425" t="n">
        <x:f>AF34*$C$10</x:f>
        <x:v>37500</x:v>
      </x:c>
      <x:c r="AG54" s="425" t="n">
        <x:f>AG34*$C$10</x:f>
        <x:v>37500</x:v>
      </x:c>
      <x:c r="AH54" s="425" t="n">
        <x:f>AH34*$C$10</x:f>
        <x:v>37500</x:v>
      </x:c>
      <x:c r="AI54" s="425" t="n">
        <x:f>AI34*$C$10</x:f>
        <x:v>37500</x:v>
      </x:c>
      <x:c r="AJ54" s="425" t="n">
        <x:f>AJ34*$C$10</x:f>
        <x:v>37500</x:v>
      </x:c>
      <x:c r="AK54" s="425" t="n">
        <x:f>AK34*$C$10</x:f>
        <x:v>37500</x:v>
      </x:c>
      <x:c r="AL54" s="425" t="n">
        <x:f>AL34*$C$10</x:f>
        <x:v>37500</x:v>
      </x:c>
      <x:c r="AM54" s="399"/>
      <x:c r="AN54" s="399"/>
    </x:row>
    <x:row r="55" ht="29" customHeight="1">
      <x:c r="A55" s="399"/>
      <x:c r="B55" s="410" t="str">
        <x:v>Військовий збір ФОП</x:v>
      </x:c>
      <x:c r="C55" s="425" t="n">
        <x:f>C34*$C$11</x:f>
        <x:v>2000</x:v>
      </x:c>
      <x:c r="D55" s="425" t="n">
        <x:f>D34*$C$11</x:f>
        <x:v>2000</x:v>
      </x:c>
      <x:c r="E55" s="425" t="n">
        <x:f>E34*$C$11</x:f>
        <x:v>2000</x:v>
      </x:c>
      <x:c r="F55" s="425" t="n">
        <x:f>F34*$C$11</x:f>
        <x:v>2800</x:v>
      </x:c>
      <x:c r="G55" s="425" t="n">
        <x:f>G34*$C$11</x:f>
        <x:v>2800</x:v>
      </x:c>
      <x:c r="H55" s="425" t="n">
        <x:f>H34*$C$11</x:f>
        <x:v>3000</x:v>
      </x:c>
      <x:c r="I55" s="425" t="n">
        <x:f>I34*$C$11</x:f>
        <x:v>3000</x:v>
      </x:c>
      <x:c r="J55" s="425" t="n">
        <x:f>J34*$C$11</x:f>
        <x:v>3500</x:v>
      </x:c>
      <x:c r="K55" s="425" t="n">
        <x:f>K34*$C$11</x:f>
        <x:v>3800</x:v>
      </x:c>
      <x:c r="L55" s="425" t="n">
        <x:f>L34*$C$11</x:f>
        <x:v>3800</x:v>
      </x:c>
      <x:c r="M55" s="425" t="n">
        <x:f>M34*$C$11</x:f>
        <x:v>4800</x:v>
      </x:c>
      <x:c r="N55" s="425" t="n">
        <x:f>N34*$C$11</x:f>
        <x:v>4800</x:v>
      </x:c>
      <x:c r="O55" s="425" t="n">
        <x:f>O34*$C$11</x:f>
        <x:v>4800</x:v>
      </x:c>
      <x:c r="P55" s="425" t="n">
        <x:f>P34*$C$11</x:f>
        <x:v>5500</x:v>
      </x:c>
      <x:c r="Q55" s="425" t="n">
        <x:f>Q34*$C$11</x:f>
        <x:v>5500</x:v>
      </x:c>
      <x:c r="R55" s="425" t="n">
        <x:f>R34*$C$11</x:f>
        <x:v>5500</x:v>
      </x:c>
      <x:c r="S55" s="425" t="n">
        <x:f>S34*$C$11</x:f>
        <x:v>6000</x:v>
      </x:c>
      <x:c r="T55" s="425" t="n">
        <x:f>T34*$C$11</x:f>
        <x:v>6000</x:v>
      </x:c>
      <x:c r="U55" s="425" t="n">
        <x:f>U34*$C$11</x:f>
        <x:v>6000</x:v>
      </x:c>
      <x:c r="V55" s="425" t="n">
        <x:f>V34*$C$11</x:f>
        <x:v>6300</x:v>
      </x:c>
      <x:c r="W55" s="425" t="n">
        <x:f>W34*$C$11</x:f>
        <x:v>6800</x:v>
      </x:c>
      <x:c r="X55" s="425" t="n">
        <x:f>X34*$C$11</x:f>
        <x:v>7000</x:v>
      </x:c>
      <x:c r="Y55" s="425" t="n">
        <x:f>Y34*$C$11</x:f>
        <x:v>7000</x:v>
      </x:c>
      <x:c r="Z55" s="425" t="n">
        <x:f>Z34*$C$11</x:f>
        <x:v>7500</x:v>
      </x:c>
      <x:c r="AA55" s="425" t="n">
        <x:f>AA34*$C$11</x:f>
        <x:v>7500</x:v>
      </x:c>
      <x:c r="AB55" s="425" t="n">
        <x:f>AB34*$C$11</x:f>
        <x:v>7500</x:v>
      </x:c>
      <x:c r="AC55" s="425" t="n">
        <x:f>AC34*$C$11</x:f>
        <x:v>7500</x:v>
      </x:c>
      <x:c r="AD55" s="425" t="n">
        <x:f>AD34*$C$11</x:f>
        <x:v>7500</x:v>
      </x:c>
      <x:c r="AE55" s="425" t="n">
        <x:f>AE34*$C$11</x:f>
        <x:v>7500</x:v>
      </x:c>
      <x:c r="AF55" s="425" t="n">
        <x:f>AF34*$C$11</x:f>
        <x:v>7500</x:v>
      </x:c>
      <x:c r="AG55" s="425" t="n">
        <x:f>AG34*$C$11</x:f>
        <x:v>7500</x:v>
      </x:c>
      <x:c r="AH55" s="425" t="n">
        <x:f>AH34*$C$11</x:f>
        <x:v>7500</x:v>
      </x:c>
      <x:c r="AI55" s="425" t="n">
        <x:f>AI34*$C$11</x:f>
        <x:v>7500</x:v>
      </x:c>
      <x:c r="AJ55" s="425" t="n">
        <x:f>AJ34*$C$11</x:f>
        <x:v>7500</x:v>
      </x:c>
      <x:c r="AK55" s="425" t="n">
        <x:f>AK34*$C$11</x:f>
        <x:v>7500</x:v>
      </x:c>
      <x:c r="AL55" s="425" t="n">
        <x:f>AL34*$C$11</x:f>
        <x:v>7500</x:v>
      </x:c>
      <x:c r="AM55" s="399"/>
      <x:c r="AN55" s="399"/>
    </x:row>
    <x:row r="56" ht="29" customHeight="1">
      <x:c r="A56" s="399"/>
      <x:c r="B56" s="410" t="str">
        <x:v>ЄСВ ФОП</x:v>
      </x:c>
      <x:c r="C56" s="425" t="n">
        <x:f>$C$15</x:f>
        <x:v>1902.34</x:v>
      </x:c>
      <x:c r="D56" s="425" t="n">
        <x:f>$C$15</x:f>
        <x:v>1902.34</x:v>
      </x:c>
      <x:c r="E56" s="425" t="n">
        <x:f>$C$15</x:f>
        <x:v>1902.34</x:v>
      </x:c>
      <x:c r="F56" s="425" t="n">
        <x:f>$C$15</x:f>
        <x:v>1902.34</x:v>
      </x:c>
      <x:c r="G56" s="425" t="n">
        <x:f>$C$15</x:f>
        <x:v>1902.34</x:v>
      </x:c>
      <x:c r="H56" s="425" t="n">
        <x:f>$C$15</x:f>
        <x:v>1902.34</x:v>
      </x:c>
      <x:c r="I56" s="425" t="n">
        <x:f>$C$15</x:f>
        <x:v>1902.34</x:v>
      </x:c>
      <x:c r="J56" s="425" t="n">
        <x:f>$C$15</x:f>
        <x:v>1902.34</x:v>
      </x:c>
      <x:c r="K56" s="425" t="n">
        <x:f>$C$15</x:f>
        <x:v>1902.34</x:v>
      </x:c>
      <x:c r="L56" s="425" t="n">
        <x:f>$C$15</x:f>
        <x:v>1902.34</x:v>
      </x:c>
      <x:c r="M56" s="425" t="n">
        <x:f>$C$15</x:f>
        <x:v>1902.34</x:v>
      </x:c>
      <x:c r="N56" s="425" t="n">
        <x:f>$C$15</x:f>
        <x:v>1902.34</x:v>
      </x:c>
      <x:c r="O56" s="425" t="n">
        <x:f>$C$15</x:f>
        <x:v>1902.34</x:v>
      </x:c>
      <x:c r="P56" s="425" t="n">
        <x:f>$C$15</x:f>
        <x:v>1902.34</x:v>
      </x:c>
      <x:c r="Q56" s="425" t="n">
        <x:f>$C$15</x:f>
        <x:v>1902.34</x:v>
      </x:c>
      <x:c r="R56" s="425" t="n">
        <x:f>$C$15</x:f>
        <x:v>1902.34</x:v>
      </x:c>
      <x:c r="S56" s="425" t="n">
        <x:f>$C$15</x:f>
        <x:v>1902.34</x:v>
      </x:c>
      <x:c r="T56" s="425" t="n">
        <x:f>$C$15</x:f>
        <x:v>1902.34</x:v>
      </x:c>
      <x:c r="U56" s="425" t="n">
        <x:f>$C$15</x:f>
        <x:v>1902.34</x:v>
      </x:c>
      <x:c r="V56" s="425" t="n">
        <x:f>$C$15</x:f>
        <x:v>1902.34</x:v>
      </x:c>
      <x:c r="W56" s="425" t="n">
        <x:f>$C$15</x:f>
        <x:v>1902.34</x:v>
      </x:c>
      <x:c r="X56" s="425" t="n">
        <x:f>$C$15</x:f>
        <x:v>1902.34</x:v>
      </x:c>
      <x:c r="Y56" s="425" t="n">
        <x:f>$C$15</x:f>
        <x:v>1902.34</x:v>
      </x:c>
      <x:c r="Z56" s="425" t="n">
        <x:f>$C$15</x:f>
        <x:v>1902.34</x:v>
      </x:c>
      <x:c r="AA56" s="425" t="n">
        <x:f>$C$15</x:f>
        <x:v>1902.34</x:v>
      </x:c>
      <x:c r="AB56" s="425" t="n">
        <x:f>$C$15</x:f>
        <x:v>1902.34</x:v>
      </x:c>
      <x:c r="AC56" s="425" t="n">
        <x:f>$C$15</x:f>
        <x:v>1902.34</x:v>
      </x:c>
      <x:c r="AD56" s="425" t="n">
        <x:f>$C$15</x:f>
        <x:v>1902.34</x:v>
      </x:c>
      <x:c r="AE56" s="425" t="n">
        <x:f>$C$15</x:f>
        <x:v>1902.34</x:v>
      </x:c>
      <x:c r="AF56" s="425" t="n">
        <x:f>$C$15</x:f>
        <x:v>1902.34</x:v>
      </x:c>
      <x:c r="AG56" s="425" t="n">
        <x:f>$C$15</x:f>
        <x:v>1902.34</x:v>
      </x:c>
      <x:c r="AH56" s="425" t="n">
        <x:f>$C$15</x:f>
        <x:v>1902.34</x:v>
      </x:c>
      <x:c r="AI56" s="425" t="n">
        <x:f>$C$15</x:f>
        <x:v>1902.34</x:v>
      </x:c>
      <x:c r="AJ56" s="425" t="n">
        <x:f>$C$15</x:f>
        <x:v>1902.34</x:v>
      </x:c>
      <x:c r="AK56" s="425" t="n">
        <x:f>$C$15</x:f>
        <x:v>1902.34</x:v>
      </x:c>
      <x:c r="AL56" s="425" t="n">
        <x:f>$C$15</x:f>
        <x:v>1902.34</x:v>
      </x:c>
      <x:c r="AM56" s="399"/>
      <x:c r="AN56" s="399"/>
    </x:row>
    <x:row r="57" ht="29" customHeight="1">
      <x:c r="A57" s="399"/>
      <x:c r="B57" s="410" t="str">
        <x:v>Вилучення на особисті потреби</x:v>
      </x:c>
      <x:c r="C57" s="424" t="n">
        <x:f>'Вхідні дані'!C12</x:f>
        <x:v>0</x:v>
      </x:c>
      <x:c r="D57" s="424" t="n">
        <x:f>'Вхідні дані'!D12</x:f>
        <x:v>0</x:v>
      </x:c>
      <x:c r="E57" s="424" t="n">
        <x:f>'Вхідні дані'!E12</x:f>
        <x:v>0</x:v>
      </x:c>
      <x:c r="F57" s="424" t="n">
        <x:f>'Вхідні дані'!F12</x:f>
        <x:v>0</x:v>
      </x:c>
      <x:c r="G57" s="424" t="n">
        <x:f>'Вхідні дані'!G12</x:f>
        <x:v>0</x:v>
      </x:c>
      <x:c r="H57" s="424" t="n">
        <x:f>'Вхідні дані'!H12</x:f>
        <x:v>0</x:v>
      </x:c>
      <x:c r="I57" s="424" t="n">
        <x:f>'Вхідні дані'!I12</x:f>
        <x:v>0</x:v>
      </x:c>
      <x:c r="J57" s="424" t="n">
        <x:f>'Вхідні дані'!J12</x:f>
        <x:v>0</x:v>
      </x:c>
      <x:c r="K57" s="424" t="n">
        <x:f>'Вхідні дані'!K12</x:f>
        <x:v>0</x:v>
      </x:c>
      <x:c r="L57" s="424" t="n">
        <x:f>'Вхідні дані'!L12</x:f>
        <x:v>0</x:v>
      </x:c>
      <x:c r="M57" s="424" t="n">
        <x:f>'Вхідні дані'!M12</x:f>
        <x:v>0</x:v>
      </x:c>
      <x:c r="N57" s="424" t="n">
        <x:f>'Вхідні дані'!N12</x:f>
        <x:v>0</x:v>
      </x:c>
      <x:c r="O57" s="424" t="n">
        <x:f>'Вхідні дані'!O12</x:f>
        <x:v>0</x:v>
      </x:c>
      <x:c r="P57" s="424" t="n">
        <x:f>'Вхідні дані'!P12</x:f>
        <x:v>0</x:v>
      </x:c>
      <x:c r="Q57" s="424" t="n">
        <x:f>'Вхідні дані'!Q12</x:f>
        <x:v>0</x:v>
      </x:c>
      <x:c r="R57" s="424" t="n">
        <x:f>'Вхідні дані'!R12</x:f>
        <x:v>0</x:v>
      </x:c>
      <x:c r="S57" s="424" t="n">
        <x:f>'Вхідні дані'!S12</x:f>
        <x:v>0</x:v>
      </x:c>
      <x:c r="T57" s="424" t="n">
        <x:f>'Вхідні дані'!T12</x:f>
        <x:v>0</x:v>
      </x:c>
      <x:c r="U57" s="424" t="n">
        <x:f>'Вхідні дані'!U12</x:f>
        <x:v>0</x:v>
      </x:c>
      <x:c r="V57" s="424" t="n">
        <x:f>'Вхідні дані'!V12</x:f>
        <x:v>0</x:v>
      </x:c>
      <x:c r="W57" s="424" t="n">
        <x:f>'Вхідні дані'!W12</x:f>
        <x:v>0</x:v>
      </x:c>
      <x:c r="X57" s="424" t="n">
        <x:f>'Вхідні дані'!X12</x:f>
        <x:v>0</x:v>
      </x:c>
      <x:c r="Y57" s="424" t="n">
        <x:f>'Вхідні дані'!Y12</x:f>
        <x:v>0</x:v>
      </x:c>
      <x:c r="Z57" s="424" t="n">
        <x:f>'Вхідні дані'!Z12</x:f>
        <x:v>0</x:v>
      </x:c>
      <x:c r="AA57" s="424" t="n">
        <x:f>'Вхідні дані'!AA12</x:f>
        <x:v>0</x:v>
      </x:c>
      <x:c r="AB57" s="424" t="n">
        <x:f>'Вхідні дані'!AB12</x:f>
        <x:v>0</x:v>
      </x:c>
      <x:c r="AC57" s="424" t="n">
        <x:f>'Вхідні дані'!AC12</x:f>
        <x:v>0</x:v>
      </x:c>
      <x:c r="AD57" s="424" t="n">
        <x:f>'Вхідні дані'!AD12</x:f>
        <x:v>0</x:v>
      </x:c>
      <x:c r="AE57" s="424" t="n">
        <x:f>'Вхідні дані'!AE12</x:f>
        <x:v>0</x:v>
      </x:c>
      <x:c r="AF57" s="424" t="n">
        <x:f>'Вхідні дані'!AF12</x:f>
        <x:v>0</x:v>
      </x:c>
      <x:c r="AG57" s="424" t="n">
        <x:f>'Вхідні дані'!AG12</x:f>
        <x:v>0</x:v>
      </x:c>
      <x:c r="AH57" s="424" t="n">
        <x:f>'Вхідні дані'!AH12</x:f>
        <x:v>0</x:v>
      </x:c>
      <x:c r="AI57" s="424" t="n">
        <x:f>'Вхідні дані'!AI12</x:f>
        <x:v>0</x:v>
      </x:c>
      <x:c r="AJ57" s="424" t="n">
        <x:f>'Вхідні дані'!AJ12</x:f>
        <x:v>0</x:v>
      </x:c>
      <x:c r="AK57" s="424" t="n">
        <x:f>'Вхідні дані'!AK12</x:f>
        <x:v>0</x:v>
      </x:c>
      <x:c r="AL57" s="424" t="n">
        <x:f>'Вхідні дані'!AL12</x:f>
        <x:v>0</x:v>
      </x:c>
      <x:c r="AM57" s="399"/>
      <x:c r="AN57" s="399"/>
    </x:row>
    <x:row r="58" ht="29" customHeight="1">
      <x:c r="A58" s="399"/>
      <x:c r="B58" s="430" t="str">
        <x:v>Всього грошові виплати</x:v>
      </x:c>
      <x:c r="C58" s="431" t="n">
        <x:f>SUM(C40:C51)+SUM(C54:C57)</x:f>
        <x:v>2020450.34</x:v>
      </x:c>
      <x:c r="D58" s="431" t="n">
        <x:f>SUM(D40:D51)+SUM(D54:D57)</x:f>
        <x:v>109552.34</x:v>
      </x:c>
      <x:c r="E58" s="431" t="n">
        <x:f>SUM(E40:E51)+SUM(E54:E57)</x:f>
        <x:v>109552.34</x:v>
      </x:c>
      <x:c r="F58" s="431" t="n">
        <x:f>SUM(F40:F51)+SUM(F54:F57)</x:f>
        <x:v>114852.34</x:v>
      </x:c>
      <x:c r="G58" s="431" t="n">
        <x:f>SUM(G40:G51)+SUM(G54:G57)</x:f>
        <x:v>115052.34</x:v>
      </x:c>
      <x:c r="H58" s="431" t="n">
        <x:f>SUM(H40:H51)+SUM(H54:H57)</x:f>
        <x:v>116252.34</x:v>
      </x:c>
      <x:c r="I58" s="431" t="n">
        <x:f>SUM(I40:I51)+SUM(I54:I57)</x:f>
        <x:v>116052.34</x:v>
      </x:c>
      <x:c r="J58" s="431" t="n">
        <x:f>SUM(J40:J51)+SUM(J54:J57)</x:f>
        <x:v>119052.34</x:v>
      </x:c>
      <x:c r="K58" s="431" t="n">
        <x:f>SUM(K40:K51)+SUM(K54:K57)</x:f>
        <x:v>127302.34</x:v>
      </x:c>
      <x:c r="L58" s="431" t="n">
        <x:f>SUM(L40:L51)+SUM(L54:L57)</x:f>
        <x:v>127302.34</x:v>
      </x:c>
      <x:c r="M58" s="431" t="n">
        <x:f>SUM(M40:M51)+SUM(M54:M57)</x:f>
        <x:v>133302.34</x:v>
      </x:c>
      <x:c r="N58" s="431" t="n">
        <x:f>SUM(N40:N51)+SUM(N54:N57)</x:f>
        <x:v>133302.34</x:v>
      </x:c>
      <x:c r="O58" s="431" t="n">
        <x:f>SUM(O40:O51)+SUM(O54:O57)</x:f>
        <x:v>415262.34</x:v>
      </x:c>
      <x:c r="P58" s="431" t="n">
        <x:f>SUM(P40:P51)+SUM(P54:P57)</x:f>
        <x:v>144302.34</x:v>
      </x:c>
      <x:c r="Q58" s="431" t="n">
        <x:f>SUM(Q40:Q51)+SUM(Q54:Q57)</x:f>
        <x:v>144852.34</x:v>
      </x:c>
      <x:c r="R58" s="431" t="n">
        <x:f>SUM(R40:R51)+SUM(R54:R57)</x:f>
        <x:v>144852.34</x:v>
      </x:c>
      <x:c r="S58" s="431" t="n">
        <x:f>SUM(S40:S51)+SUM(S54:S57)</x:f>
        <x:v>153952.34</x:v>
      </x:c>
      <x:c r="T58" s="431" t="n">
        <x:f>SUM(T40:T51)+SUM(T54:T57)</x:f>
        <x:v>153952.34</x:v>
      </x:c>
      <x:c r="U58" s="431" t="n">
        <x:f>SUM(U40:U51)+SUM(U54:U57)</x:f>
        <x:v>153652.34</x:v>
      </x:c>
      <x:c r="V58" s="431" t="n">
        <x:f>SUM(V40:V51)+SUM(V54:V57)</x:f>
        <x:v>155452.34</x:v>
      </x:c>
      <x:c r="W58" s="431" t="n">
        <x:f>SUM(W40:W51)+SUM(W54:W57)</x:f>
        <x:v>158752.34</x:v>
      </x:c>
      <x:c r="X58" s="431" t="n">
        <x:f>SUM(X40:X51)+SUM(X54:X57)</x:f>
        <x:v>172152.34</x:v>
      </x:c>
      <x:c r="Y58" s="431" t="n">
        <x:f>SUM(Y40:Y51)+SUM(Y54:Y57)</x:f>
        <x:v>172152.34</x:v>
      </x:c>
      <x:c r="Z58" s="431" t="n">
        <x:f>SUM(Z40:Z51)+SUM(Z54:Z57)</x:f>
        <x:v>175152.34</x:v>
      </x:c>
      <x:c r="AA58" s="431" t="n">
        <x:f>SUM(AA40:AA51)+SUM(AA54:AA57)</x:f>
        <x:v>190352.34</x:v>
      </x:c>
      <x:c r="AB58" s="431" t="n">
        <x:f>SUM(AB40:AB51)+SUM(AB54:AB57)</x:f>
        <x:v>190352.34</x:v>
      </x:c>
      <x:c r="AC58" s="431" t="n">
        <x:f>SUM(AC40:AC51)+SUM(AC54:AC57)</x:f>
        <x:v>190652.34</x:v>
      </x:c>
      <x:c r="AD58" s="431" t="n">
        <x:f>SUM(AD40:AD51)+SUM(AD54:AD57)</x:f>
        <x:v>196752.34</x:v>
      </x:c>
      <x:c r="AE58" s="431" t="n">
        <x:f>SUM(AE40:AE51)+SUM(AE54:AE57)</x:f>
        <x:v>196752.34</x:v>
      </x:c>
      <x:c r="AF58" s="431" t="n">
        <x:f>SUM(AF40:AF51)+SUM(AF54:AF57)</x:f>
        <x:v>196752.34</x:v>
      </x:c>
      <x:c r="AG58" s="431" t="n">
        <x:f>SUM(AG40:AG51)+SUM(AG54:AG57)</x:f>
        <x:v>196752.34</x:v>
      </x:c>
      <x:c r="AH58" s="431" t="n">
        <x:f>SUM(AH40:AH51)+SUM(AH54:AH57)</x:f>
        <x:v>196752.34</x:v>
      </x:c>
      <x:c r="AI58" s="431" t="n">
        <x:f>SUM(AI40:AI51)+SUM(AI54:AI57)</x:f>
        <x:v>196752.34</x:v>
      </x:c>
      <x:c r="AJ58" s="431" t="n">
        <x:f>SUM(AJ40:AJ51)+SUM(AJ54:AJ57)</x:f>
        <x:v>196752.34</x:v>
      </x:c>
      <x:c r="AK58" s="431" t="n">
        <x:f>SUM(AK40:AK51)+SUM(AK54:AK57)</x:f>
        <x:v>202852.34</x:v>
      </x:c>
      <x:c r="AL58" s="431" t="n">
        <x:f>SUM(AL40:AL51)+SUM(AL54:AL57)</x:f>
        <x:v>202852.34</x:v>
      </x:c>
      <x:c r="AM58" s="399"/>
      <x:c r="AN58" s="399"/>
    </x:row>
    <x:row r="59" ht="29" customHeight="1">
      <x:c r="A59" s="399"/>
      <x:c r="B59" s="410" t="str">
        <x:v>Чистий грошовий потік</x:v>
      </x:c>
      <x:c r="C59" s="425" t="n">
        <x:f>C37-C58</x:f>
        <x:v>89447.65999999992</x:v>
      </x:c>
      <x:c r="D59" s="425" t="n">
        <x:f>D37-D58</x:f>
        <x:v>90447.66</x:v>
      </x:c>
      <x:c r="E59" s="425" t="n">
        <x:f>E37-E58</x:f>
        <x:v>90447.66</x:v>
      </x:c>
      <x:c r="F59" s="425" t="n">
        <x:f>F37-F58</x:f>
        <x:v>165147.66</x:v>
      </x:c>
      <x:c r="G59" s="425" t="n">
        <x:f>G37-G58</x:f>
        <x:v>164947.66</x:v>
      </x:c>
      <x:c r="H59" s="425" t="n">
        <x:f>H37-H58</x:f>
        <x:v>183747.66</x:v>
      </x:c>
      <x:c r="I59" s="425" t="n">
        <x:f>I37-I58</x:f>
        <x:v>183947.66</x:v>
      </x:c>
      <x:c r="J59" s="425" t="n">
        <x:f>J37-J58</x:f>
        <x:v>230947.66</x:v>
      </x:c>
      <x:c r="K59" s="425" t="n">
        <x:f>K37-K58</x:f>
        <x:v>252697.66</x:v>
      </x:c>
      <x:c r="L59" s="425" t="n">
        <x:f>L37-L58</x:f>
        <x:v>252697.66</x:v>
      </x:c>
      <x:c r="M59" s="425" t="n">
        <x:f>M37-M58</x:f>
        <x:v>346697.66000000003</x:v>
      </x:c>
      <x:c r="N59" s="425" t="n">
        <x:f>N37-N58</x:f>
        <x:v>346697.66000000003</x:v>
      </x:c>
      <x:c r="O59" s="425" t="n">
        <x:f>O37-O58</x:f>
        <x:v>340597.66</x:v>
      </x:c>
      <x:c r="P59" s="425" t="n">
        <x:f>P37-P58</x:f>
        <x:v>405697.66000000003</x:v>
      </x:c>
      <x:c r="Q59" s="425" t="n">
        <x:f>Q37-Q58</x:f>
        <x:v>405147.66000000003</x:v>
      </x:c>
      <x:c r="R59" s="425" t="n">
        <x:f>R37-R58</x:f>
        <x:v>405147.66000000003</x:v>
      </x:c>
      <x:c r="S59" s="425" t="n">
        <x:f>S37-S58</x:f>
        <x:v>446047.66000000003</x:v>
      </x:c>
      <x:c r="T59" s="425" t="n">
        <x:f>T37-T58</x:f>
        <x:v>446047.66000000003</x:v>
      </x:c>
      <x:c r="U59" s="425" t="n">
        <x:f>U37-U58</x:f>
        <x:v>446347.66000000003</x:v>
      </x:c>
      <x:c r="V59" s="425" t="n">
        <x:f>V37-V58</x:f>
        <x:v>474547.66000000003</x:v>
      </x:c>
      <x:c r="W59" s="425" t="n">
        <x:f>W37-W58</x:f>
        <x:v>521247.66000000003</x:v>
      </x:c>
      <x:c r="X59" s="425" t="n">
        <x:f>X37-X58</x:f>
        <x:v>527847.66</x:v>
      </x:c>
      <x:c r="Y59" s="425" t="n">
        <x:f>Y37-Y58</x:f>
        <x:v>527847.66</x:v>
      </x:c>
      <x:c r="Z59" s="425" t="n">
        <x:f>Z37-Z58</x:f>
        <x:v>574847.66</x:v>
      </x:c>
      <x:c r="AA59" s="425" t="n">
        <x:f>AA37-AA58</x:f>
        <x:v>559647.66</x:v>
      </x:c>
      <x:c r="AB59" s="425" t="n">
        <x:f>AB37-AB58</x:f>
        <x:v>559647.66</x:v>
      </x:c>
      <x:c r="AC59" s="425" t="n">
        <x:f>AC37-AC58</x:f>
        <x:v>559347.66</x:v>
      </x:c>
      <x:c r="AD59" s="425" t="n">
        <x:f>AD37-AD58</x:f>
        <x:v>553247.66</x:v>
      </x:c>
      <x:c r="AE59" s="425" t="n">
        <x:f>AE37-AE58</x:f>
        <x:v>553247.66</x:v>
      </x:c>
      <x:c r="AF59" s="425" t="n">
        <x:f>AF37-AF58</x:f>
        <x:v>553247.66</x:v>
      </x:c>
      <x:c r="AG59" s="425" t="n">
        <x:f>AG37-AG58</x:f>
        <x:v>553247.66</x:v>
      </x:c>
      <x:c r="AH59" s="425" t="n">
        <x:f>AH37-AH58</x:f>
        <x:v>553247.66</x:v>
      </x:c>
      <x:c r="AI59" s="425" t="n">
        <x:f>AI37-AI58</x:f>
        <x:v>553247.66</x:v>
      </x:c>
      <x:c r="AJ59" s="425" t="n">
        <x:f>AJ37-AJ58</x:f>
        <x:v>553247.66</x:v>
      </x:c>
      <x:c r="AK59" s="425" t="n">
        <x:f>AK37-AK58</x:f>
        <x:v>547147.66</x:v>
      </x:c>
      <x:c r="AL59" s="425" t="n">
        <x:f>AL37-AL58</x:f>
        <x:v>547147.66</x:v>
      </x:c>
      <x:c r="AM59" s="399"/>
      <x:c r="AN59" s="399"/>
    </x:row>
    <x:row r="60" ht="29" customHeight="1">
      <x:c r="A60" s="399"/>
      <x:c r="B60" s="410" t="str">
        <x:v>Залишок проєктних коштів на початок</x:v>
      </x:c>
      <x:c r="C60" s="425" t="n">
        <x:f>0</x:f>
        <x:v>0</x:v>
      </x:c>
      <x:c r="D60" s="425" t="n">
        <x:f>C61</x:f>
        <x:v>89447.65999999992</x:v>
      </x:c>
      <x:c r="E60" s="425" t="n">
        <x:f>D61</x:f>
        <x:v>179895.31999999992</x:v>
      </x:c>
      <x:c r="F60" s="425" t="n">
        <x:f>E61</x:f>
        <x:v>270342.9799999999</x:v>
      </x:c>
      <x:c r="G60" s="425" t="n">
        <x:f>F61</x:f>
        <x:v>435490.6399999999</x:v>
      </x:c>
      <x:c r="H60" s="425" t="n">
        <x:f>G61</x:f>
        <x:v>600438.2999999999</x:v>
      </x:c>
      <x:c r="I60" s="425" t="n">
        <x:f>H61</x:f>
        <x:v>784185.96</x:v>
      </x:c>
      <x:c r="J60" s="425" t="n">
        <x:f>I61</x:f>
        <x:v>968133.62</x:v>
      </x:c>
      <x:c r="K60" s="425" t="n">
        <x:f>J61</x:f>
        <x:v>1199081.28</x:v>
      </x:c>
      <x:c r="L60" s="425" t="n">
        <x:f>K61</x:f>
        <x:v>1451778.94</x:v>
      </x:c>
      <x:c r="M60" s="425" t="n">
        <x:f>L61</x:f>
        <x:v>1704476.5999999999</x:v>
      </x:c>
      <x:c r="N60" s="425" t="n">
        <x:f>M61</x:f>
        <x:v>2051174.2599999998</x:v>
      </x:c>
      <x:c r="O60" s="425" t="n">
        <x:f>N61</x:f>
        <x:v>2397871.92</x:v>
      </x:c>
      <x:c r="P60" s="425" t="n">
        <x:f>O61</x:f>
        <x:v>2738469.58</x:v>
      </x:c>
      <x:c r="Q60" s="425" t="n">
        <x:f>P61</x:f>
        <x:v>3144167.24</x:v>
      </x:c>
      <x:c r="R60" s="425" t="n">
        <x:f>Q61</x:f>
        <x:v>3549314.9000000004</x:v>
      </x:c>
      <x:c r="S60" s="425" t="n">
        <x:f>R61</x:f>
        <x:v>3954462.5600000005</x:v>
      </x:c>
      <x:c r="T60" s="425" t="n">
        <x:f>S61</x:f>
        <x:v>4400510.220000001</x:v>
      </x:c>
      <x:c r="U60" s="425" t="n">
        <x:f>T61</x:f>
        <x:v>4846557.880000001</x:v>
      </x:c>
      <x:c r="V60" s="425" t="n">
        <x:f>U61</x:f>
        <x:v>5292905.540000001</x:v>
      </x:c>
      <x:c r="W60" s="425" t="n">
        <x:f>V61</x:f>
        <x:v>5767453.200000001</x:v>
      </x:c>
      <x:c r="X60" s="425" t="n">
        <x:f>W61</x:f>
        <x:v>6288700.860000001</x:v>
      </x:c>
      <x:c r="Y60" s="425" t="n">
        <x:f>X61</x:f>
        <x:v>6816548.520000001</x:v>
      </x:c>
      <x:c r="Z60" s="425" t="n">
        <x:f>Y61</x:f>
        <x:v>7344396.180000002</x:v>
      </x:c>
      <x:c r="AA60" s="425" t="n">
        <x:f>Z61</x:f>
        <x:v>7919243.840000002</x:v>
      </x:c>
      <x:c r="AB60" s="425" t="n">
        <x:f>AA61</x:f>
        <x:v>8478891.500000002</x:v>
      </x:c>
      <x:c r="AC60" s="425" t="n">
        <x:f>AB61</x:f>
        <x:v>9038539.160000002</x:v>
      </x:c>
      <x:c r="AD60" s="425" t="n">
        <x:f>AC61</x:f>
        <x:v>9597886.820000002</x:v>
      </x:c>
      <x:c r="AE60" s="425" t="n">
        <x:f>AD61</x:f>
        <x:v>10151134.480000002</x:v>
      </x:c>
      <x:c r="AF60" s="425" t="n">
        <x:f>AE61</x:f>
        <x:v>10704382.140000002</x:v>
      </x:c>
      <x:c r="AG60" s="425" t="n">
        <x:f>AF61</x:f>
        <x:v>11257629.800000003</x:v>
      </x:c>
      <x:c r="AH60" s="425" t="n">
        <x:f>AG61</x:f>
        <x:v>11810877.460000003</x:v>
      </x:c>
      <x:c r="AI60" s="425" t="n">
        <x:f>AH61</x:f>
        <x:v>12364125.120000003</x:v>
      </x:c>
      <x:c r="AJ60" s="425" t="n">
        <x:f>AI61</x:f>
        <x:v>12917372.780000003</x:v>
      </x:c>
      <x:c r="AK60" s="425" t="n">
        <x:f>AJ61</x:f>
        <x:v>13470620.440000003</x:v>
      </x:c>
      <x:c r="AL60" s="425" t="n">
        <x:f>AK61</x:f>
        <x:v>14017768.100000003</x:v>
      </x:c>
      <x:c r="AM60" s="399"/>
      <x:c r="AN60" s="399"/>
    </x:row>
    <x:row r="61" ht="29" customHeight="1">
      <x:c r="A61" s="399"/>
      <x:c r="B61" s="430" t="str">
        <x:v>Залишок проєктних коштів на кінець</x:v>
      </x:c>
      <x:c r="C61" s="431" t="n">
        <x:f>C60+C59</x:f>
        <x:v>89447.65999999992</x:v>
      </x:c>
      <x:c r="D61" s="431" t="n">
        <x:f>D60+D59</x:f>
        <x:v>179895.31999999992</x:v>
      </x:c>
      <x:c r="E61" s="431" t="n">
        <x:f>E60+E59</x:f>
        <x:v>270342.9799999999</x:v>
      </x:c>
      <x:c r="F61" s="431" t="n">
        <x:f>F60+F59</x:f>
        <x:v>435490.6399999999</x:v>
      </x:c>
      <x:c r="G61" s="431" t="n">
        <x:f>G60+G59</x:f>
        <x:v>600438.2999999999</x:v>
      </x:c>
      <x:c r="H61" s="431" t="n">
        <x:f>H60+H59</x:f>
        <x:v>784185.96</x:v>
      </x:c>
      <x:c r="I61" s="431" t="n">
        <x:f>I60+I59</x:f>
        <x:v>968133.62</x:v>
      </x:c>
      <x:c r="J61" s="431" t="n">
        <x:f>J60+J59</x:f>
        <x:v>1199081.28</x:v>
      </x:c>
      <x:c r="K61" s="431" t="n">
        <x:f>K60+K59</x:f>
        <x:v>1451778.94</x:v>
      </x:c>
      <x:c r="L61" s="431" t="n">
        <x:f>L60+L59</x:f>
        <x:v>1704476.5999999999</x:v>
      </x:c>
      <x:c r="M61" s="431" t="n">
        <x:f>M60+M59</x:f>
        <x:v>2051174.2599999998</x:v>
      </x:c>
      <x:c r="N61" s="431" t="n">
        <x:f>N60+N59</x:f>
        <x:v>2397871.92</x:v>
      </x:c>
      <x:c r="O61" s="431" t="n">
        <x:f>O60+O59</x:f>
        <x:v>2738469.58</x:v>
      </x:c>
      <x:c r="P61" s="431" t="n">
        <x:f>P60+P59</x:f>
        <x:v>3144167.24</x:v>
      </x:c>
      <x:c r="Q61" s="431" t="n">
        <x:f>Q60+Q59</x:f>
        <x:v>3549314.9000000004</x:v>
      </x:c>
      <x:c r="R61" s="431" t="n">
        <x:f>R60+R59</x:f>
        <x:v>3954462.5600000005</x:v>
      </x:c>
      <x:c r="S61" s="431" t="n">
        <x:f>S60+S59</x:f>
        <x:v>4400510.220000001</x:v>
      </x:c>
      <x:c r="T61" s="431" t="n">
        <x:f>T60+T59</x:f>
        <x:v>4846557.880000001</x:v>
      </x:c>
      <x:c r="U61" s="431" t="n">
        <x:f>U60+U59</x:f>
        <x:v>5292905.540000001</x:v>
      </x:c>
      <x:c r="V61" s="431" t="n">
        <x:f>V60+V59</x:f>
        <x:v>5767453.200000001</x:v>
      </x:c>
      <x:c r="W61" s="431" t="n">
        <x:f>W60+W59</x:f>
        <x:v>6288700.860000001</x:v>
      </x:c>
      <x:c r="X61" s="431" t="n">
        <x:f>X60+X59</x:f>
        <x:v>6816548.520000001</x:v>
      </x:c>
      <x:c r="Y61" s="431" t="n">
        <x:f>Y60+Y59</x:f>
        <x:v>7344396.180000002</x:v>
      </x:c>
      <x:c r="Z61" s="431" t="n">
        <x:f>Z60+Z59</x:f>
        <x:v>7919243.840000002</x:v>
      </x:c>
      <x:c r="AA61" s="431" t="n">
        <x:f>AA60+AA59</x:f>
        <x:v>8478891.500000002</x:v>
      </x:c>
      <x:c r="AB61" s="431" t="n">
        <x:f>AB60+AB59</x:f>
        <x:v>9038539.160000002</x:v>
      </x:c>
      <x:c r="AC61" s="431" t="n">
        <x:f>AC60+AC59</x:f>
        <x:v>9597886.820000002</x:v>
      </x:c>
      <x:c r="AD61" s="431" t="n">
        <x:f>AD60+AD59</x:f>
        <x:v>10151134.480000002</x:v>
      </x:c>
      <x:c r="AE61" s="431" t="n">
        <x:f>AE60+AE59</x:f>
        <x:v>10704382.140000002</x:v>
      </x:c>
      <x:c r="AF61" s="431" t="n">
        <x:f>AF60+AF59</x:f>
        <x:v>11257629.800000003</x:v>
      </x:c>
      <x:c r="AG61" s="431" t="n">
        <x:f>AG60+AG59</x:f>
        <x:v>11810877.460000003</x:v>
      </x:c>
      <x:c r="AH61" s="431" t="n">
        <x:f>AH60+AH59</x:f>
        <x:v>12364125.120000003</x:v>
      </x:c>
      <x:c r="AI61" s="431" t="n">
        <x:f>AI60+AI59</x:f>
        <x:v>12917372.780000003</x:v>
      </x:c>
      <x:c r="AJ61" s="431" t="n">
        <x:f>AJ60+AJ59</x:f>
        <x:v>13470620.440000003</x:v>
      </x:c>
      <x:c r="AK61" s="431" t="n">
        <x:f>AK60+AK59</x:f>
        <x:v>14017768.100000003</x:v>
      </x:c>
      <x:c r="AL61" s="431" t="n">
        <x:f>AL60+AL59</x:f>
        <x:v>14564915.760000004</x:v>
      </x:c>
      <x:c r="AM61" s="399"/>
      <x:c r="AN61" s="399"/>
    </x:row>
    <x:row r="62" ht="29" customHeight="1">
      <x:c r="A62" s="399"/>
      <x:c r="B62" s="410" t="str">
        <x:v>Цільовий невикористаний грант</x:v>
      </x:c>
      <x:c r="C62" s="425" t="n">
        <x:f>MAX(0,0+C35-SUM(C45:C48)-IF(C$28&lt;=24,MIN(C41,IF($C$19=1,360000,15000)),0))</x:f>
        <x:v>0</x:v>
      </x:c>
      <x:c r="D62" s="425" t="n">
        <x:f>MAX(0,C62+D35-SUM(D45:D48)-IF(D$28&lt;=24,MIN(D41,IF($C$19=1,360000,15000)),0))</x:f>
        <x:v>0</x:v>
      </x:c>
      <x:c r="E62" s="425" t="n">
        <x:f>MAX(0,D62+E35-SUM(E45:E48)-IF(E$28&lt;=24,MIN(E41,IF($C$19=1,360000,15000)),0))</x:f>
        <x:v>0</x:v>
      </x:c>
      <x:c r="F62" s="425" t="n">
        <x:f>MAX(0,E62+F35-SUM(F45:F48)-IF(F$28&lt;=24,MIN(F41,IF($C$19=1,360000,15000)),0))</x:f>
        <x:v>0</x:v>
      </x:c>
      <x:c r="G62" s="425" t="n">
        <x:f>MAX(0,F62+G35-SUM(G45:G48)-IF(G$28&lt;=24,MIN(G41,IF($C$19=1,360000,15000)),0))</x:f>
        <x:v>0</x:v>
      </x:c>
      <x:c r="H62" s="425" t="n">
        <x:f>MAX(0,G62+H35-SUM(H45:H48)-IF(H$28&lt;=24,MIN(H41,IF($C$19=1,360000,15000)),0))</x:f>
        <x:v>0</x:v>
      </x:c>
      <x:c r="I62" s="425" t="n">
        <x:f>MAX(0,H62+I35-SUM(I45:I48)-IF(I$28&lt;=24,MIN(I41,IF($C$19=1,360000,15000)),0))</x:f>
        <x:v>0</x:v>
      </x:c>
      <x:c r="J62" s="425" t="n">
        <x:f>MAX(0,I62+J35-SUM(J45:J48)-IF(J$28&lt;=24,MIN(J41,IF($C$19=1,360000,15000)),0))</x:f>
        <x:v>0</x:v>
      </x:c>
      <x:c r="K62" s="425" t="n">
        <x:f>MAX(0,J62+K35-SUM(K45:K48)-IF(K$28&lt;=24,MIN(K41,IF($C$19=1,360000,15000)),0))</x:f>
        <x:v>0</x:v>
      </x:c>
      <x:c r="L62" s="425" t="n">
        <x:f>MAX(0,K62+L35-SUM(L45:L48)-IF(L$28&lt;=24,MIN(L41,IF($C$19=1,360000,15000)),0))</x:f>
        <x:v>0</x:v>
      </x:c>
      <x:c r="M62" s="425" t="n">
        <x:f>MAX(0,L62+M35-SUM(M45:M48)-IF(M$28&lt;=24,MIN(M41,IF($C$19=1,360000,15000)),0))</x:f>
        <x:v>0</x:v>
      </x:c>
      <x:c r="N62" s="425" t="n">
        <x:f>MAX(0,M62+N35-SUM(N45:N48)-IF(N$28&lt;=24,MIN(N41,IF($C$19=1,360000,15000)),0))</x:f>
        <x:v>0</x:v>
      </x:c>
      <x:c r="O62" s="425" t="n">
        <x:f>MAX(0,N62+O35-SUM(O45:O48)-IF(O$28&lt;=24,MIN(O41,IF($C$19=1,360000,15000)),0))</x:f>
        <x:v>0</x:v>
      </x:c>
      <x:c r="P62" s="425" t="n">
        <x:f>MAX(0,O62+P35-SUM(P45:P48)-IF(P$28&lt;=24,MIN(P41,IF($C$19=1,360000,15000)),0))</x:f>
        <x:v>0</x:v>
      </x:c>
      <x:c r="Q62" s="425" t="n">
        <x:f>MAX(0,P62+Q35-SUM(Q45:Q48)-IF(Q$28&lt;=24,MIN(Q41,IF($C$19=1,360000,15000)),0))</x:f>
        <x:v>0</x:v>
      </x:c>
      <x:c r="R62" s="425" t="n">
        <x:f>MAX(0,Q62+R35-SUM(R45:R48)-IF(R$28&lt;=24,MIN(R41,IF($C$19=1,360000,15000)),0))</x:f>
        <x:v>0</x:v>
      </x:c>
      <x:c r="S62" s="425" t="n">
        <x:f>MAX(0,R62+S35-SUM(S45:S48)-IF(S$28&lt;=24,MIN(S41,IF($C$19=1,360000,15000)),0))</x:f>
        <x:v>0</x:v>
      </x:c>
      <x:c r="T62" s="425" t="n">
        <x:f>MAX(0,S62+T35-SUM(T45:T48)-IF(T$28&lt;=24,MIN(T41,IF($C$19=1,360000,15000)),0))</x:f>
        <x:v>0</x:v>
      </x:c>
      <x:c r="U62" s="425" t="n">
        <x:f>MAX(0,T62+U35-SUM(U45:U48)-IF(U$28&lt;=24,MIN(U41,IF($C$19=1,360000,15000)),0))</x:f>
        <x:v>0</x:v>
      </x:c>
      <x:c r="V62" s="425" t="n">
        <x:f>MAX(0,U62+V35-SUM(V45:V48)-IF(V$28&lt;=24,MIN(V41,IF($C$19=1,360000,15000)),0))</x:f>
        <x:v>0</x:v>
      </x:c>
      <x:c r="W62" s="425" t="n">
        <x:f>MAX(0,V62+W35-SUM(W45:W48)-IF(W$28&lt;=24,MIN(W41,IF($C$19=1,360000,15000)),0))</x:f>
        <x:v>0</x:v>
      </x:c>
      <x:c r="X62" s="425" t="n">
        <x:f>MAX(0,W62+X35-SUM(X45:X48)-IF(X$28&lt;=24,MIN(X41,IF($C$19=1,360000,15000)),0))</x:f>
        <x:v>0</x:v>
      </x:c>
      <x:c r="Y62" s="425" t="n">
        <x:f>MAX(0,X62+Y35-SUM(Y45:Y48)-IF(Y$28&lt;=24,MIN(Y41,IF($C$19=1,360000,15000)),0))</x:f>
        <x:v>0</x:v>
      </x:c>
      <x:c r="Z62" s="425" t="n">
        <x:f>MAX(0,Y62+Z35-SUM(Z45:Z48)-IF(Z$28&lt;=24,MIN(Z41,IF($C$19=1,360000,15000)),0))</x:f>
        <x:v>0</x:v>
      </x:c>
      <x:c r="AA62" s="425" t="n">
        <x:f>MAX(0,Z62+AA35-SUM(AA45:AA48)-IF(AA$28&lt;=24,MIN(AA41,IF($C$19=1,360000,15000)),0))</x:f>
        <x:v>0</x:v>
      </x:c>
      <x:c r="AB62" s="425" t="n">
        <x:f>MAX(0,AA62+AB35-SUM(AB45:AB48)-IF(AB$28&lt;=24,MIN(AB41,IF($C$19=1,360000,15000)),0))</x:f>
        <x:v>0</x:v>
      </x:c>
      <x:c r="AC62" s="425" t="n">
        <x:f>MAX(0,AB62+AC35-SUM(AC45:AC48)-IF(AC$28&lt;=24,MIN(AC41,IF($C$19=1,360000,15000)),0))</x:f>
        <x:v>0</x:v>
      </x:c>
      <x:c r="AD62" s="425" t="n">
        <x:f>MAX(0,AC62+AD35-SUM(AD45:AD48)-IF(AD$28&lt;=24,MIN(AD41,IF($C$19=1,360000,15000)),0))</x:f>
        <x:v>0</x:v>
      </x:c>
      <x:c r="AE62" s="425" t="n">
        <x:f>MAX(0,AD62+AE35-SUM(AE45:AE48)-IF(AE$28&lt;=24,MIN(AE41,IF($C$19=1,360000,15000)),0))</x:f>
        <x:v>0</x:v>
      </x:c>
      <x:c r="AF62" s="425" t="n">
        <x:f>MAX(0,AE62+AF35-SUM(AF45:AF48)-IF(AF$28&lt;=24,MIN(AF41,IF($C$19=1,360000,15000)),0))</x:f>
        <x:v>0</x:v>
      </x:c>
      <x:c r="AG62" s="425" t="n">
        <x:f>MAX(0,AF62+AG35-SUM(AG45:AG48)-IF(AG$28&lt;=24,MIN(AG41,IF($C$19=1,360000,15000)),0))</x:f>
        <x:v>0</x:v>
      </x:c>
      <x:c r="AH62" s="425" t="n">
        <x:f>MAX(0,AG62+AH35-SUM(AH45:AH48)-IF(AH$28&lt;=24,MIN(AH41,IF($C$19=1,360000,15000)),0))</x:f>
        <x:v>0</x:v>
      </x:c>
      <x:c r="AI62" s="425" t="n">
        <x:f>MAX(0,AH62+AI35-SUM(AI45:AI48)-IF(AI$28&lt;=24,MIN(AI41,IF($C$19=1,360000,15000)),0))</x:f>
        <x:v>0</x:v>
      </x:c>
      <x:c r="AJ62" s="425" t="n">
        <x:f>MAX(0,AI62+AJ35-SUM(AJ45:AJ48)-IF(AJ$28&lt;=24,MIN(AJ41,IF($C$19=1,360000,15000)),0))</x:f>
        <x:v>0</x:v>
      </x:c>
      <x:c r="AK62" s="425" t="n">
        <x:f>MAX(0,AJ62+AK35-SUM(AK45:AK48)-IF(AK$28&lt;=24,MIN(AK41,IF($C$19=1,360000,15000)),0))</x:f>
        <x:v>0</x:v>
      </x:c>
      <x:c r="AL62" s="425" t="n">
        <x:f>MAX(0,AK62+AL35-SUM(AL45:AL48)-IF(AL$28&lt;=24,MIN(AL41,IF($C$19=1,360000,15000)),0))</x:f>
        <x:v>0</x:v>
      </x:c>
      <x:c r="AM62" s="399"/>
      <x:c r="AN62" s="399"/>
    </x:row>
    <x:row r="63" ht="29" customHeight="1">
      <x:c r="A63" s="399"/>
      <x:c r="B63" s="430" t="str">
        <x:v>Вільні кошти / дефіцит</x:v>
      </x:c>
      <x:c r="C63" s="431" t="n">
        <x:f>C61-C62</x:f>
        <x:v>89447.65999999992</x:v>
      </x:c>
      <x:c r="D63" s="431" t="n">
        <x:f>D61-D62</x:f>
        <x:v>179895.31999999992</x:v>
      </x:c>
      <x:c r="E63" s="431" t="n">
        <x:f>E61-E62</x:f>
        <x:v>270342.9799999999</x:v>
      </x:c>
      <x:c r="F63" s="431" t="n">
        <x:f>F61-F62</x:f>
        <x:v>435490.6399999999</x:v>
      </x:c>
      <x:c r="G63" s="431" t="n">
        <x:f>G61-G62</x:f>
        <x:v>600438.2999999999</x:v>
      </x:c>
      <x:c r="H63" s="431" t="n">
        <x:f>H61-H62</x:f>
        <x:v>784185.96</x:v>
      </x:c>
      <x:c r="I63" s="431" t="n">
        <x:f>I61-I62</x:f>
        <x:v>968133.62</x:v>
      </x:c>
      <x:c r="J63" s="431" t="n">
        <x:f>J61-J62</x:f>
        <x:v>1199081.28</x:v>
      </x:c>
      <x:c r="K63" s="431" t="n">
        <x:f>K61-K62</x:f>
        <x:v>1451778.94</x:v>
      </x:c>
      <x:c r="L63" s="431" t="n">
        <x:f>L61-L62</x:f>
        <x:v>1704476.5999999999</x:v>
      </x:c>
      <x:c r="M63" s="431" t="n">
        <x:f>M61-M62</x:f>
        <x:v>2051174.2599999998</x:v>
      </x:c>
      <x:c r="N63" s="431" t="n">
        <x:f>N61-N62</x:f>
        <x:v>2397871.92</x:v>
      </x:c>
      <x:c r="O63" s="431" t="n">
        <x:f>O61-O62</x:f>
        <x:v>2738469.58</x:v>
      </x:c>
      <x:c r="P63" s="431" t="n">
        <x:f>P61-P62</x:f>
        <x:v>3144167.24</x:v>
      </x:c>
      <x:c r="Q63" s="431" t="n">
        <x:f>Q61-Q62</x:f>
        <x:v>3549314.9000000004</x:v>
      </x:c>
      <x:c r="R63" s="431" t="n">
        <x:f>R61-R62</x:f>
        <x:v>3954462.5600000005</x:v>
      </x:c>
      <x:c r="S63" s="431" t="n">
        <x:f>S61-S62</x:f>
        <x:v>4400510.220000001</x:v>
      </x:c>
      <x:c r="T63" s="431" t="n">
        <x:f>T61-T62</x:f>
        <x:v>4846557.880000001</x:v>
      </x:c>
      <x:c r="U63" s="431" t="n">
        <x:f>U61-U62</x:f>
        <x:v>5292905.540000001</x:v>
      </x:c>
      <x:c r="V63" s="431" t="n">
        <x:f>V61-V62</x:f>
        <x:v>5767453.200000001</x:v>
      </x:c>
      <x:c r="W63" s="431" t="n">
        <x:f>W61-W62</x:f>
        <x:v>6288700.860000001</x:v>
      </x:c>
      <x:c r="X63" s="431" t="n">
        <x:f>X61-X62</x:f>
        <x:v>6816548.520000001</x:v>
      </x:c>
      <x:c r="Y63" s="431" t="n">
        <x:f>Y61-Y62</x:f>
        <x:v>7344396.180000002</x:v>
      </x:c>
      <x:c r="Z63" s="431" t="n">
        <x:f>Z61-Z62</x:f>
        <x:v>7919243.840000002</x:v>
      </x:c>
      <x:c r="AA63" s="431" t="n">
        <x:f>AA61-AA62</x:f>
        <x:v>8478891.500000002</x:v>
      </x:c>
      <x:c r="AB63" s="431" t="n">
        <x:f>AB61-AB62</x:f>
        <x:v>9038539.160000002</x:v>
      </x:c>
      <x:c r="AC63" s="431" t="n">
        <x:f>AC61-AC62</x:f>
        <x:v>9597886.820000002</x:v>
      </x:c>
      <x:c r="AD63" s="431" t="n">
        <x:f>AD61-AD62</x:f>
        <x:v>10151134.480000002</x:v>
      </x:c>
      <x:c r="AE63" s="431" t="n">
        <x:f>AE61-AE62</x:f>
        <x:v>10704382.140000002</x:v>
      </x:c>
      <x:c r="AF63" s="431" t="n">
        <x:f>AF61-AF62</x:f>
        <x:v>11257629.800000003</x:v>
      </x:c>
      <x:c r="AG63" s="431" t="n">
        <x:f>AG61-AG62</x:f>
        <x:v>11810877.460000003</x:v>
      </x:c>
      <x:c r="AH63" s="431" t="n">
        <x:f>AH61-AH62</x:f>
        <x:v>12364125.120000003</x:v>
      </x:c>
      <x:c r="AI63" s="431" t="n">
        <x:f>AI61-AI62</x:f>
        <x:v>12917372.780000003</x:v>
      </x:c>
      <x:c r="AJ63" s="431" t="n">
        <x:f>AJ61-AJ62</x:f>
        <x:v>13470620.440000003</x:v>
      </x:c>
      <x:c r="AK63" s="431" t="n">
        <x:f>AK61-AK62</x:f>
        <x:v>14017768.100000003</x:v>
      </x:c>
      <x:c r="AL63" s="431" t="n">
        <x:f>AL61-AL62</x:f>
        <x:v>14564915.760000004</x:v>
      </x:c>
      <x:c r="AM63" s="399"/>
      <x:c r="AN63" s="399"/>
    </x:row>
    <x:row r="64" ht="29" customHeight="1">
      <x:c r="A64" s="399"/>
      <x:c r="B64" s="410" t="str">
        <x:v>Поточний касовий залишок без разових витрат</x:v>
      </x:c>
      <x:c r="C64" s="425" t="n">
        <x:f>C34-C40-15000*$C$6-SUM(C42:C44)-C50-C51-SUM(C54:C57)</x:f>
        <x:v>74447.66</x:v>
      </x:c>
      <x:c r="D64" s="425" t="n">
        <x:f>D34-D40-15000*$C$6-SUM(D42:D44)-D50-D51-SUM(D54:D57)</x:f>
        <x:v>75447.66</x:v>
      </x:c>
      <x:c r="E64" s="425" t="n">
        <x:f>E34-E40-15000*$C$6-SUM(E42:E44)-E50-E51-SUM(E54:E57)</x:f>
        <x:v>75447.66</x:v>
      </x:c>
      <x:c r="F64" s="425" t="n">
        <x:f>F34-F40-15000*$C$6-SUM(F42:F44)-F50-F51-SUM(F54:F57)</x:f>
        <x:v>150147.66</x:v>
      </x:c>
      <x:c r="G64" s="425" t="n">
        <x:f>G34-G40-15000*$C$6-SUM(G42:G44)-G50-G51-SUM(G54:G57)</x:f>
        <x:v>149947.66</x:v>
      </x:c>
      <x:c r="H64" s="425" t="n">
        <x:f>H34-H40-15000*$C$6-SUM(H42:H44)-H50-H51-SUM(H54:H57)</x:f>
        <x:v>168747.66</x:v>
      </x:c>
      <x:c r="I64" s="425" t="n">
        <x:f>I34-I40-15000*$C$6-SUM(I42:I44)-I50-I51-SUM(I54:I57)</x:f>
        <x:v>168947.66</x:v>
      </x:c>
      <x:c r="J64" s="425" t="n">
        <x:f>J34-J40-15000*$C$6-SUM(J42:J44)-J50-J51-SUM(J54:J57)</x:f>
        <x:v>215947.66</x:v>
      </x:c>
      <x:c r="K64" s="425" t="n">
        <x:f>K34-K40-15000*$C$6-SUM(K42:K44)-K50-K51-SUM(K54:K57)</x:f>
        <x:v>237697.66</x:v>
      </x:c>
      <x:c r="L64" s="425" t="n">
        <x:f>L34-L40-15000*$C$6-SUM(L42:L44)-L50-L51-SUM(L54:L57)</x:f>
        <x:v>237697.66</x:v>
      </x:c>
      <x:c r="M64" s="425" t="n">
        <x:f>M34-M40-15000*$C$6-SUM(M42:M44)-M50-M51-SUM(M54:M57)</x:f>
        <x:v>331697.66</x:v>
      </x:c>
      <x:c r="N64" s="425" t="n">
        <x:f>N34-N40-15000*$C$6-SUM(N42:N44)-N50-N51-SUM(N54:N57)</x:f>
        <x:v>331697.66</x:v>
      </x:c>
      <x:c r="O64" s="425" t="n">
        <x:f>O34-O40-15000*$C$6-SUM(O42:O44)-O50-O51-SUM(O54:O57)</x:f>
        <x:v>325597.66</x:v>
      </x:c>
      <x:c r="P64" s="425" t="n">
        <x:f>P34-P40-15000*$C$6-SUM(P42:P44)-P50-P51-SUM(P54:P57)</x:f>
        <x:v>390697.66000000003</x:v>
      </x:c>
      <x:c r="Q64" s="425" t="n">
        <x:f>Q34-Q40-15000*$C$6-SUM(Q42:Q44)-Q50-Q51-SUM(Q54:Q57)</x:f>
        <x:v>390147.66000000003</x:v>
      </x:c>
      <x:c r="R64" s="425" t="n">
        <x:f>R34-R40-15000*$C$6-SUM(R42:R44)-R50-R51-SUM(R54:R57)</x:f>
        <x:v>390147.66000000003</x:v>
      </x:c>
      <x:c r="S64" s="425" t="n">
        <x:f>S34-S40-15000*$C$6-SUM(S42:S44)-S50-S51-SUM(S54:S57)</x:f>
        <x:v>431047.66000000003</x:v>
      </x:c>
      <x:c r="T64" s="425" t="n">
        <x:f>T34-T40-15000*$C$6-SUM(T42:T44)-T50-T51-SUM(T54:T57)</x:f>
        <x:v>431047.66000000003</x:v>
      </x:c>
      <x:c r="U64" s="425" t="n">
        <x:f>U34-U40-15000*$C$6-SUM(U42:U44)-U50-U51-SUM(U54:U57)</x:f>
        <x:v>431347.66000000003</x:v>
      </x:c>
      <x:c r="V64" s="425" t="n">
        <x:f>V34-V40-15000*$C$6-SUM(V42:V44)-V50-V51-SUM(V54:V57)</x:f>
        <x:v>459547.66000000003</x:v>
      </x:c>
      <x:c r="W64" s="425" t="n">
        <x:f>W34-W40-15000*$C$6-SUM(W42:W44)-W50-W51-SUM(W54:W57)</x:f>
        <x:v>506247.66000000003</x:v>
      </x:c>
      <x:c r="X64" s="425" t="n">
        <x:f>X34-X40-15000*$C$6-SUM(X42:X44)-X50-X51-SUM(X54:X57)</x:f>
        <x:v>512847.66000000003</x:v>
      </x:c>
      <x:c r="Y64" s="425" t="n">
        <x:f>Y34-Y40-15000*$C$6-SUM(Y42:Y44)-Y50-Y51-SUM(Y54:Y57)</x:f>
        <x:v>512847.66000000003</x:v>
      </x:c>
      <x:c r="Z64" s="425" t="n">
        <x:f>Z34-Z40-15000*$C$6-SUM(Z42:Z44)-Z50-Z51-SUM(Z54:Z57)</x:f>
        <x:v>559847.66</x:v>
      </x:c>
      <x:c r="AA64" s="425" t="n">
        <x:f>AA34-AA40-15000*$C$6-SUM(AA42:AA44)-AA50-AA51-SUM(AA54:AA57)</x:f>
        <x:v>559647.66</x:v>
      </x:c>
      <x:c r="AB64" s="425" t="n">
        <x:f>AB34-AB40-15000*$C$6-SUM(AB42:AB44)-AB50-AB51-SUM(AB54:AB57)</x:f>
        <x:v>559647.66</x:v>
      </x:c>
      <x:c r="AC64" s="425" t="n">
        <x:f>AC34-AC40-15000*$C$6-SUM(AC42:AC44)-AC50-AC51-SUM(AC54:AC57)</x:f>
        <x:v>559347.66</x:v>
      </x:c>
      <x:c r="AD64" s="425" t="n">
        <x:f>AD34-AD40-15000*$C$6-SUM(AD42:AD44)-AD50-AD51-SUM(AD54:AD57)</x:f>
        <x:v>553247.66</x:v>
      </x:c>
      <x:c r="AE64" s="425" t="n">
        <x:f>AE34-AE40-15000*$C$6-SUM(AE42:AE44)-AE50-AE51-SUM(AE54:AE57)</x:f>
        <x:v>553247.66</x:v>
      </x:c>
      <x:c r="AF64" s="425" t="n">
        <x:f>AF34-AF40-15000*$C$6-SUM(AF42:AF44)-AF50-AF51-SUM(AF54:AF57)</x:f>
        <x:v>553247.66</x:v>
      </x:c>
      <x:c r="AG64" s="425" t="n">
        <x:f>AG34-AG40-15000*$C$6-SUM(AG42:AG44)-AG50-AG51-SUM(AG54:AG57)</x:f>
        <x:v>553247.66</x:v>
      </x:c>
      <x:c r="AH64" s="425" t="n">
        <x:f>AH34-AH40-15000*$C$6-SUM(AH42:AH44)-AH50-AH51-SUM(AH54:AH57)</x:f>
        <x:v>553247.66</x:v>
      </x:c>
      <x:c r="AI64" s="425" t="n">
        <x:f>AI34-AI40-15000*$C$6-SUM(AI42:AI44)-AI50-AI51-SUM(AI54:AI57)</x:f>
        <x:v>553247.66</x:v>
      </x:c>
      <x:c r="AJ64" s="425" t="n">
        <x:f>AJ34-AJ40-15000*$C$6-SUM(AJ42:AJ44)-AJ50-AJ51-SUM(AJ54:AJ57)</x:f>
        <x:v>553247.66</x:v>
      </x:c>
      <x:c r="AK64" s="425" t="n">
        <x:f>AK34-AK40-15000*$C$6-SUM(AK42:AK44)-AK50-AK51-SUM(AK54:AK57)</x:f>
        <x:v>547147.66</x:v>
      </x:c>
      <x:c r="AL64" s="425" t="n">
        <x:f>AL34-AL40-15000*$C$6-SUM(AL42:AL44)-AL50-AL51-SUM(AL54:AL57)</x:f>
        <x:v>547147.66</x:v>
      </x:c>
      <x:c r="AM64" s="399"/>
      <x:c r="AN64" s="399"/>
    </x:row>
    <x:row r="65" ht="29" customHeight="1">
      <x:c r="A65" s="399"/>
      <x:c r="B65" s="430" t="str">
        <x:v>Прогноз усіх податкових платежів</x:v>
      </x:c>
      <x:c r="C65" s="431" t="n">
        <x:f>SUM(C51:C56)</x:f>
        <x:v>47652.34</x:v>
      </x:c>
      <x:c r="D65" s="431" t="n">
        <x:f>SUM(D51:D56)</x:f>
        <x:v>47652.34</x:v>
      </x:c>
      <x:c r="E65" s="431" t="n">
        <x:f>SUM(E51:E56)</x:f>
        <x:v>47652.34</x:v>
      </x:c>
      <x:c r="F65" s="431" t="n">
        <x:f>SUM(F51:F56)</x:f>
        <x:v>52452.34</x:v>
      </x:c>
      <x:c r="G65" s="431" t="n">
        <x:f>SUM(G51:G56)</x:f>
        <x:v>52452.34</x:v>
      </x:c>
      <x:c r="H65" s="431" t="n">
        <x:f>SUM(H51:H56)</x:f>
        <x:v>53652.34</x:v>
      </x:c>
      <x:c r="I65" s="431" t="n">
        <x:f>SUM(I51:I56)</x:f>
        <x:v>53652.34</x:v>
      </x:c>
      <x:c r="J65" s="431" t="n">
        <x:f>SUM(J51:J56)</x:f>
        <x:v>56652.34</x:v>
      </x:c>
      <x:c r="K65" s="431" t="n">
        <x:f>SUM(K51:K56)</x:f>
        <x:v>60702.34</x:v>
      </x:c>
      <x:c r="L65" s="431" t="n">
        <x:f>SUM(L51:L56)</x:f>
        <x:v>60702.34</x:v>
      </x:c>
      <x:c r="M65" s="431" t="n">
        <x:f>SUM(M51:M56)</x:f>
        <x:v>66702.34</x:v>
      </x:c>
      <x:c r="N65" s="431" t="n">
        <x:f>SUM(N51:N56)</x:f>
        <x:v>66702.34</x:v>
      </x:c>
      <x:c r="O65" s="431" t="n">
        <x:f>SUM(O51:O56)</x:f>
        <x:v>68952.34</x:v>
      </x:c>
      <x:c r="P65" s="431" t="n">
        <x:f>SUM(P51:P56)</x:f>
        <x:v>73152.34</x:v>
      </x:c>
      <x:c r="Q65" s="431" t="n">
        <x:f>SUM(Q51:Q56)</x:f>
        <x:v>73152.34</x:v>
      </x:c>
      <x:c r="R65" s="431" t="n">
        <x:f>SUM(R51:R56)</x:f>
        <x:v>73152.34</x:v>
      </x:c>
      <x:c r="S65" s="431" t="n">
        <x:f>SUM(S51:S56)</x:f>
        <x:v>78402.34</x:v>
      </x:c>
      <x:c r="T65" s="431" t="n">
        <x:f>SUM(T51:T56)</x:f>
        <x:v>78402.34</x:v>
      </x:c>
      <x:c r="U65" s="431" t="n">
        <x:f>SUM(U51:U56)</x:f>
        <x:v>78402.34</x:v>
      </x:c>
      <x:c r="V65" s="431" t="n">
        <x:f>SUM(V51:V56)</x:f>
        <x:v>80202.34</x:v>
      </x:c>
      <x:c r="W65" s="431" t="n">
        <x:f>SUM(W51:W56)</x:f>
        <x:v>83202.34</x:v>
      </x:c>
      <x:c r="X65" s="431" t="n">
        <x:f>SUM(X51:X56)</x:f>
        <x:v>88902.34</x:v>
      </x:c>
      <x:c r="Y65" s="431" t="n">
        <x:f>SUM(Y51:Y56)</x:f>
        <x:v>88902.34</x:v>
      </x:c>
      <x:c r="Z65" s="431" t="n">
        <x:f>SUM(Z51:Z56)</x:f>
        <x:v>91902.34</x:v>
      </x:c>
      <x:c r="AA65" s="431" t="n">
        <x:f>SUM(AA51:AA56)</x:f>
        <x:v>91902.34</x:v>
      </x:c>
      <x:c r="AB65" s="431" t="n">
        <x:f>SUM(AB51:AB56)</x:f>
        <x:v>91902.34</x:v>
      </x:c>
      <x:c r="AC65" s="431" t="n">
        <x:f>SUM(AC51:AC56)</x:f>
        <x:v>91902.34</x:v>
      </x:c>
      <x:c r="AD65" s="431" t="n">
        <x:f>SUM(AD51:AD56)</x:f>
        <x:v>94152.34</x:v>
      </x:c>
      <x:c r="AE65" s="431" t="n">
        <x:f>SUM(AE51:AE56)</x:f>
        <x:v>94152.34</x:v>
      </x:c>
      <x:c r="AF65" s="431" t="n">
        <x:f>SUM(AF51:AF56)</x:f>
        <x:v>94152.34</x:v>
      </x:c>
      <x:c r="AG65" s="431" t="n">
        <x:f>SUM(AG51:AG56)</x:f>
        <x:v>94152.34</x:v>
      </x:c>
      <x:c r="AH65" s="431" t="n">
        <x:f>SUM(AH51:AH56)</x:f>
        <x:v>94152.34</x:v>
      </x:c>
      <x:c r="AI65" s="431" t="n">
        <x:f>SUM(AI51:AI56)</x:f>
        <x:v>94152.34</x:v>
      </x:c>
      <x:c r="AJ65" s="431" t="n">
        <x:f>SUM(AJ51:AJ56)</x:f>
        <x:v>94152.34</x:v>
      </x:c>
      <x:c r="AK65" s="431" t="n">
        <x:f>SUM(AK51:AK56)</x:f>
        <x:v>96402.34</x:v>
      </x:c>
      <x:c r="AL65" s="431" t="n">
        <x:f>SUM(AL51:AL56)</x:f>
        <x:v>96402.34</x:v>
      </x:c>
      <x:c r="AM65" s="399"/>
      <x:c r="AN65" s="399"/>
    </x:row>
    <x:row r="66" ht="29" customHeight="1">
      <x:c r="A66" s="399"/>
      <x:c r="B66" s="410" t="str">
        <x:v>Прогноз платежів до заліку з М2</x:v>
      </x:c>
      <x:c r="C66" s="425" t="n">
        <x:f>IF(C$28=1,0,C65)</x:f>
        <x:v>0</x:v>
      </x:c>
      <x:c r="D66" s="425" t="n">
        <x:f>IF(D$28=1,0,D65)</x:f>
        <x:v>47652.34</x:v>
      </x:c>
      <x:c r="E66" s="425" t="n">
        <x:f>IF(E$28=1,0,E65)</x:f>
        <x:v>47652.34</x:v>
      </x:c>
      <x:c r="F66" s="425" t="n">
        <x:f>IF(F$28=1,0,F65)</x:f>
        <x:v>52452.34</x:v>
      </x:c>
      <x:c r="G66" s="425" t="n">
        <x:f>IF(G$28=1,0,G65)</x:f>
        <x:v>52452.34</x:v>
      </x:c>
      <x:c r="H66" s="425" t="n">
        <x:f>IF(H$28=1,0,H65)</x:f>
        <x:v>53652.34</x:v>
      </x:c>
      <x:c r="I66" s="425" t="n">
        <x:f>IF(I$28=1,0,I65)</x:f>
        <x:v>53652.34</x:v>
      </x:c>
      <x:c r="J66" s="425" t="n">
        <x:f>IF(J$28=1,0,J65)</x:f>
        <x:v>56652.34</x:v>
      </x:c>
      <x:c r="K66" s="425" t="n">
        <x:f>IF(K$28=1,0,K65)</x:f>
        <x:v>60702.34</x:v>
      </x:c>
      <x:c r="L66" s="425" t="n">
        <x:f>IF(L$28=1,0,L65)</x:f>
        <x:v>60702.34</x:v>
      </x:c>
      <x:c r="M66" s="425" t="n">
        <x:f>IF(M$28=1,0,M65)</x:f>
        <x:v>66702.34</x:v>
      </x:c>
      <x:c r="N66" s="425" t="n">
        <x:f>IF(N$28=1,0,N65)</x:f>
        <x:v>66702.34</x:v>
      </x:c>
      <x:c r="O66" s="425" t="n">
        <x:f>IF(O$28=1,0,O65)</x:f>
        <x:v>68952.34</x:v>
      </x:c>
      <x:c r="P66" s="425" t="n">
        <x:f>IF(P$28=1,0,P65)</x:f>
        <x:v>73152.34</x:v>
      </x:c>
      <x:c r="Q66" s="425" t="n">
        <x:f>IF(Q$28=1,0,Q65)</x:f>
        <x:v>73152.34</x:v>
      </x:c>
      <x:c r="R66" s="425" t="n">
        <x:f>IF(R$28=1,0,R65)</x:f>
        <x:v>73152.34</x:v>
      </x:c>
      <x:c r="S66" s="425" t="n">
        <x:f>IF(S$28=1,0,S65)</x:f>
        <x:v>78402.34</x:v>
      </x:c>
      <x:c r="T66" s="425" t="n">
        <x:f>IF(T$28=1,0,T65)</x:f>
        <x:v>78402.34</x:v>
      </x:c>
      <x:c r="U66" s="425" t="n">
        <x:f>IF(U$28=1,0,U65)</x:f>
        <x:v>78402.34</x:v>
      </x:c>
      <x:c r="V66" s="425" t="n">
        <x:f>IF(V$28=1,0,V65)</x:f>
        <x:v>80202.34</x:v>
      </x:c>
      <x:c r="W66" s="425" t="n">
        <x:f>IF(W$28=1,0,W65)</x:f>
        <x:v>83202.34</x:v>
      </x:c>
      <x:c r="X66" s="425" t="n">
        <x:f>IF(X$28=1,0,X65)</x:f>
        <x:v>88902.34</x:v>
      </x:c>
      <x:c r="Y66" s="425" t="n">
        <x:f>IF(Y$28=1,0,Y65)</x:f>
        <x:v>88902.34</x:v>
      </x:c>
      <x:c r="Z66" s="425" t="n">
        <x:f>IF(Z$28=1,0,Z65)</x:f>
        <x:v>91902.34</x:v>
      </x:c>
      <x:c r="AA66" s="425" t="n">
        <x:f>IF(AA$28=1,0,AA65)</x:f>
        <x:v>91902.34</x:v>
      </x:c>
      <x:c r="AB66" s="425" t="n">
        <x:f>IF(AB$28=1,0,AB65)</x:f>
        <x:v>91902.34</x:v>
      </x:c>
      <x:c r="AC66" s="425" t="n">
        <x:f>IF(AC$28=1,0,AC65)</x:f>
        <x:v>91902.34</x:v>
      </x:c>
      <x:c r="AD66" s="425" t="n">
        <x:f>IF(AD$28=1,0,AD65)</x:f>
        <x:v>94152.34</x:v>
      </x:c>
      <x:c r="AE66" s="425" t="n">
        <x:f>IF(AE$28=1,0,AE65)</x:f>
        <x:v>94152.34</x:v>
      </x:c>
      <x:c r="AF66" s="425" t="n">
        <x:f>IF(AF$28=1,0,AF65)</x:f>
        <x:v>94152.34</x:v>
      </x:c>
      <x:c r="AG66" s="425" t="n">
        <x:f>IF(AG$28=1,0,AG65)</x:f>
        <x:v>94152.34</x:v>
      </x:c>
      <x:c r="AH66" s="425" t="n">
        <x:f>IF(AH$28=1,0,AH65)</x:f>
        <x:v>94152.34</x:v>
      </x:c>
      <x:c r="AI66" s="425" t="n">
        <x:f>IF(AI$28=1,0,AI65)</x:f>
        <x:v>94152.34</x:v>
      </x:c>
      <x:c r="AJ66" s="425" t="n">
        <x:f>IF(AJ$28=1,0,AJ65)</x:f>
        <x:v>94152.34</x:v>
      </x:c>
      <x:c r="AK66" s="425" t="n">
        <x:f>IF(AK$28=1,0,AK65)</x:f>
        <x:v>96402.34</x:v>
      </x:c>
      <x:c r="AL66" s="425" t="n">
        <x:f>IF(AL$28=1,0,AL65)</x:f>
        <x:v>96402.34</x:v>
      </x:c>
      <x:c r="AM66" s="399"/>
      <x:c r="AN66" s="399"/>
    </x:row>
    <x:row r="67" ht="29" customHeight="1">
      <x:c r="A67" s="399"/>
      <x:c r="B67" s="430" t="str">
        <x:v>Накопичені платежі до заліку</x:v>
      </x:c>
      <x:c r="C67" s="431" t="n">
        <x:f>SUM($C66:C66)</x:f>
        <x:v>0</x:v>
      </x:c>
      <x:c r="D67" s="431" t="n">
        <x:f>SUM($C66:D66)</x:f>
        <x:v>47652.34</x:v>
      </x:c>
      <x:c r="E67" s="431" t="n">
        <x:f>SUM($C66:E66)</x:f>
        <x:v>95304.68</x:v>
      </x:c>
      <x:c r="F67" s="431" t="n">
        <x:f>SUM($C66:F66)</x:f>
        <x:v>147757.02</x:v>
      </x:c>
      <x:c r="G67" s="431" t="n">
        <x:f>SUM($C66:G66)</x:f>
        <x:v>200209.36</x:v>
      </x:c>
      <x:c r="H67" s="431" t="n">
        <x:f>SUM($C66:H66)</x:f>
        <x:v>253861.69999999998</x:v>
      </x:c>
      <x:c r="I67" s="431" t="n">
        <x:f>SUM($C66:I66)</x:f>
        <x:v>307514.04</x:v>
      </x:c>
      <x:c r="J67" s="431" t="n">
        <x:f>SUM($C66:J66)</x:f>
        <x:v>364166.38</x:v>
      </x:c>
      <x:c r="K67" s="431" t="n">
        <x:f>SUM($C66:K66)</x:f>
        <x:v>424868.72</x:v>
      </x:c>
      <x:c r="L67" s="431" t="n">
        <x:f>SUM($C66:L66)</x:f>
        <x:v>485571.05999999994</x:v>
      </x:c>
      <x:c r="M67" s="431" t="n">
        <x:f>SUM($C66:M66)</x:f>
        <x:v>552273.3999999999</x:v>
      </x:c>
      <x:c r="N67" s="431" t="n">
        <x:f>SUM($C66:N66)</x:f>
        <x:v>618975.7399999999</x:v>
      </x:c>
      <x:c r="O67" s="431" t="n">
        <x:f>SUM($C66:O66)</x:f>
        <x:v>687928.0799999998</x:v>
      </x:c>
      <x:c r="P67" s="431" t="n">
        <x:f>SUM($C66:P66)</x:f>
        <x:v>761080.4199999998</x:v>
      </x:c>
      <x:c r="Q67" s="431" t="n">
        <x:f>SUM($C66:Q66)</x:f>
        <x:v>834232.7599999998</x:v>
      </x:c>
      <x:c r="R67" s="431" t="n">
        <x:f>SUM($C66:R66)</x:f>
        <x:v>907385.0999999997</x:v>
      </x:c>
      <x:c r="S67" s="431" t="n">
        <x:f>SUM($C66:S66)</x:f>
        <x:v>985787.4399999997</x:v>
      </x:c>
      <x:c r="T67" s="431" t="n">
        <x:f>SUM($C66:T66)</x:f>
        <x:v>1064189.7799999998</x:v>
      </x:c>
      <x:c r="U67" s="431" t="n">
        <x:f>SUM($C66:U66)</x:f>
        <x:v>1142592.1199999999</x:v>
      </x:c>
      <x:c r="V67" s="431" t="n">
        <x:f>SUM($C66:V66)</x:f>
        <x:v>1222794.46</x:v>
      </x:c>
      <x:c r="W67" s="431" t="n">
        <x:f>SUM($C66:W66)</x:f>
        <x:v>1305996.8</x:v>
      </x:c>
      <x:c r="X67" s="431" t="n">
        <x:f>SUM($C66:X66)</x:f>
        <x:v>1394899.1400000001</x:v>
      </x:c>
      <x:c r="Y67" s="431" t="n">
        <x:f>SUM($C66:Y66)</x:f>
        <x:v>1483801.4800000002</x:v>
      </x:c>
      <x:c r="Z67" s="431" t="n">
        <x:f>SUM($C66:Z66)</x:f>
        <x:v>1575703.8200000003</x:v>
      </x:c>
      <x:c r="AA67" s="431" t="n">
        <x:f>SUM($C66:AA66)</x:f>
        <x:v>1667606.1600000004</x:v>
      </x:c>
      <x:c r="AB67" s="431" t="n">
        <x:f>SUM($C66:AB66)</x:f>
        <x:v>1759508.5000000005</x:v>
      </x:c>
      <x:c r="AC67" s="431" t="n">
        <x:f>SUM($C66:AC66)</x:f>
        <x:v>1851410.8400000005</x:v>
      </x:c>
      <x:c r="AD67" s="431" t="n">
        <x:f>SUM($C66:AD66)</x:f>
        <x:v>1945563.1800000006</x:v>
      </x:c>
      <x:c r="AE67" s="431" t="n">
        <x:f>SUM($C66:AE66)</x:f>
        <x:v>2039715.5200000007</x:v>
      </x:c>
      <x:c r="AF67" s="431" t="n">
        <x:f>SUM($C66:AF66)</x:f>
        <x:v>2133867.860000001</x:v>
      </x:c>
      <x:c r="AG67" s="431" t="n">
        <x:f>SUM($C66:AG66)</x:f>
        <x:v>2228020.2000000007</x:v>
      </x:c>
      <x:c r="AH67" s="431" t="n">
        <x:f>SUM($C66:AH66)</x:f>
        <x:v>2322172.5400000005</x:v>
      </x:c>
      <x:c r="AI67" s="431" t="n">
        <x:f>SUM($C66:AI66)</x:f>
        <x:v>2416324.8800000004</x:v>
      </x:c>
      <x:c r="AJ67" s="431" t="n">
        <x:f>SUM($C66:AJ66)</x:f>
        <x:v>2510477.22</x:v>
      </x:c>
      <x:c r="AK67" s="431" t="n">
        <x:f>SUM($C66:AK66)</x:f>
        <x:v>2606879.56</x:v>
      </x:c>
      <x:c r="AL67" s="431" t="n">
        <x:f>SUM($C66:AL66)</x:f>
        <x:v>2703281.9</x:v>
      </x:c>
      <x:c r="AM67" s="399"/>
      <x:c r="AN67" s="399"/>
    </x:row>
    <x:row r="68" ht="29" customHeight="1">
      <x:c r="A68" s="399"/>
      <x:c r="B68" s="430" t="str">
        <x:v>Прогноз залишку зобов’язання</x:v>
      </x:c>
      <x:c r="C68" s="431" t="n">
        <x:f>MAX(0,$C$9-C67)</x:f>
        <x:v>1799898</x:v>
      </x:c>
      <x:c r="D68" s="431" t="n">
        <x:f>MAX(0,$C$9-D67)</x:f>
        <x:v>1752245.66</x:v>
      </x:c>
      <x:c r="E68" s="431" t="n">
        <x:f>MAX(0,$C$9-E67)</x:f>
        <x:v>1704593.32</x:v>
      </x:c>
      <x:c r="F68" s="431" t="n">
        <x:f>MAX(0,$C$9-F67)</x:f>
        <x:v>1652140.98</x:v>
      </x:c>
      <x:c r="G68" s="431" t="n">
        <x:f>MAX(0,$C$9-G67)</x:f>
        <x:v>1599688.6400000001</x:v>
      </x:c>
      <x:c r="H68" s="431" t="n">
        <x:f>MAX(0,$C$9-H67)</x:f>
        <x:v>1546036.3</x:v>
      </x:c>
      <x:c r="I68" s="431" t="n">
        <x:f>MAX(0,$C$9-I67)</x:f>
        <x:v>1492383.96</x:v>
      </x:c>
      <x:c r="J68" s="431" t="n">
        <x:f>MAX(0,$C$9-J67)</x:f>
        <x:v>1435731.62</x:v>
      </x:c>
      <x:c r="K68" s="431" t="n">
        <x:f>MAX(0,$C$9-K67)</x:f>
        <x:v>1375029.28</x:v>
      </x:c>
      <x:c r="L68" s="431" t="n">
        <x:f>MAX(0,$C$9-L67)</x:f>
        <x:v>1314326.94</x:v>
      </x:c>
      <x:c r="M68" s="431" t="n">
        <x:f>MAX(0,$C$9-M67)</x:f>
        <x:v>1247624.6</x:v>
      </x:c>
      <x:c r="N68" s="431" t="n">
        <x:f>MAX(0,$C$9-N67)</x:f>
        <x:v>1180922.2600000002</x:v>
      </x:c>
      <x:c r="O68" s="431" t="n">
        <x:f>MAX(0,$C$9-O67)</x:f>
        <x:v>1111969.9200000002</x:v>
      </x:c>
      <x:c r="P68" s="431" t="n">
        <x:f>MAX(0,$C$9-P67)</x:f>
        <x:v>1038817.5800000002</x:v>
      </x:c>
      <x:c r="Q68" s="431" t="n">
        <x:f>MAX(0,$C$9-Q67)</x:f>
        <x:v>965665.2400000002</x:v>
      </x:c>
      <x:c r="R68" s="431" t="n">
        <x:f>MAX(0,$C$9-R67)</x:f>
        <x:v>892512.9000000003</x:v>
      </x:c>
      <x:c r="S68" s="431" t="n">
        <x:f>MAX(0,$C$9-S67)</x:f>
        <x:v>814110.5600000003</x:v>
      </x:c>
      <x:c r="T68" s="431" t="n">
        <x:f>MAX(0,$C$9-T67)</x:f>
        <x:v>735708.2200000002</x:v>
      </x:c>
      <x:c r="U68" s="431" t="n">
        <x:f>MAX(0,$C$9-U67)</x:f>
        <x:v>657305.8800000001</x:v>
      </x:c>
      <x:c r="V68" s="431" t="n">
        <x:f>MAX(0,$C$9-V67)</x:f>
        <x:v>577103.54</x:v>
      </x:c>
      <x:c r="W68" s="431" t="n">
        <x:f>MAX(0,$C$9-W67)</x:f>
        <x:v>493901.19999999995</x:v>
      </x:c>
      <x:c r="X68" s="431" t="n">
        <x:f>MAX(0,$C$9-X67)</x:f>
        <x:v>404998.85999999987</x:v>
      </x:c>
      <x:c r="Y68" s="431" t="n">
        <x:f>MAX(0,$C$9-Y67)</x:f>
        <x:v>316096.5199999998</x:v>
      </x:c>
      <x:c r="Z68" s="431" t="n">
        <x:f>MAX(0,$C$9-Z67)</x:f>
        <x:v>224194.1799999997</x:v>
      </x:c>
      <x:c r="AA68" s="431" t="n">
        <x:f>MAX(0,$C$9-AA67)</x:f>
        <x:v>132291.83999999962</x:v>
      </x:c>
      <x:c r="AB68" s="431" t="n">
        <x:f>MAX(0,$C$9-AB67)</x:f>
        <x:v>40389.499999999534</x:v>
      </x:c>
      <x:c r="AC68" s="431" t="n">
        <x:f>MAX(0,$C$9-AC67)</x:f>
        <x:v>0</x:v>
      </x:c>
      <x:c r="AD68" s="431" t="n">
        <x:f>MAX(0,$C$9-AD67)</x:f>
        <x:v>0</x:v>
      </x:c>
      <x:c r="AE68" s="431" t="n">
        <x:f>MAX(0,$C$9-AE67)</x:f>
        <x:v>0</x:v>
      </x:c>
      <x:c r="AF68" s="431" t="n">
        <x:f>MAX(0,$C$9-AF67)</x:f>
        <x:v>0</x:v>
      </x:c>
      <x:c r="AG68" s="431" t="n">
        <x:f>MAX(0,$C$9-AG67)</x:f>
        <x:v>0</x:v>
      </x:c>
      <x:c r="AH68" s="431" t="n">
        <x:f>MAX(0,$C$9-AH67)</x:f>
        <x:v>0</x:v>
      </x:c>
      <x:c r="AI68" s="431" t="n">
        <x:f>MAX(0,$C$9-AI67)</x:f>
        <x:v>0</x:v>
      </x:c>
      <x:c r="AJ68" s="431" t="n">
        <x:f>MAX(0,$C$9-AJ67)</x:f>
        <x:v>0</x:v>
      </x:c>
      <x:c r="AK68" s="431" t="n">
        <x:f>MAX(0,$C$9-AK67)</x:f>
        <x:v>0</x:v>
      </x:c>
      <x:c r="AL68" s="431" t="n">
        <x:f>MAX(0,$C$9-AL67)</x:f>
        <x:v>0</x:v>
      </x:c>
      <x:c r="AM68" s="399"/>
      <x:c r="AN68" s="399"/>
    </x:row>
    <x:row r="69" ht="29" customHeight="1">
      <x:c r="A69" s="399"/>
      <x:c r="B69" s="410" t="str">
        <x:v>Нові місця для надбавки — перевірити</x:v>
      </x:c>
      <x:c r="C69" s="423" t="n">
        <x:f>2</x:f>
        <x:v>2</x:v>
      </x:c>
      <x:c r="D69" s="423" t="n">
        <x:f>2</x:f>
        <x:v>2</x:v>
      </x:c>
      <x:c r="E69" s="423" t="n">
        <x:f>2</x:f>
        <x:v>2</x:v>
      </x:c>
      <x:c r="F69" s="423" t="n">
        <x:f>2</x:f>
        <x:v>2</x:v>
      </x:c>
      <x:c r="G69" s="423" t="n">
        <x:f>2</x:f>
        <x:v>2</x:v>
      </x:c>
      <x:c r="H69" s="423" t="n">
        <x:f>2</x:f>
        <x:v>2</x:v>
      </x:c>
      <x:c r="I69" s="423" t="n">
        <x:f>2</x:f>
        <x:v>2</x:v>
      </x:c>
      <x:c r="J69" s="423" t="n">
        <x:f>2</x:f>
        <x:v>2</x:v>
      </x:c>
      <x:c r="K69" s="423" t="n">
        <x:f>2</x:f>
        <x:v>2</x:v>
      </x:c>
      <x:c r="L69" s="423" t="n">
        <x:f>2</x:f>
        <x:v>2</x:v>
      </x:c>
      <x:c r="M69" s="423" t="n">
        <x:f>2</x:f>
        <x:v>2</x:v>
      </x:c>
      <x:c r="N69" s="423" t="n">
        <x:f>2</x:f>
        <x:v>2</x:v>
      </x:c>
      <x:c r="O69" s="423" t="n">
        <x:f>2</x:f>
        <x:v>2</x:v>
      </x:c>
      <x:c r="P69" s="423" t="n">
        <x:f>2</x:f>
        <x:v>2</x:v>
      </x:c>
      <x:c r="Q69" s="423" t="n">
        <x:f>2</x:f>
        <x:v>2</x:v>
      </x:c>
      <x:c r="R69" s="423" t="n">
        <x:f>2</x:f>
        <x:v>2</x:v>
      </x:c>
      <x:c r="S69" s="423" t="n">
        <x:f>2</x:f>
        <x:v>2</x:v>
      </x:c>
      <x:c r="T69" s="423" t="n">
        <x:f>2</x:f>
        <x:v>2</x:v>
      </x:c>
      <x:c r="U69" s="423" t="n">
        <x:f>2</x:f>
        <x:v>2</x:v>
      </x:c>
      <x:c r="V69" s="423" t="n">
        <x:f>2</x:f>
        <x:v>2</x:v>
      </x:c>
      <x:c r="W69" s="423" t="n">
        <x:f>2</x:f>
        <x:v>2</x:v>
      </x:c>
      <x:c r="X69" s="423" t="n">
        <x:f>2</x:f>
        <x:v>2</x:v>
      </x:c>
      <x:c r="Y69" s="423" t="n">
        <x:f>2</x:f>
        <x:v>2</x:v>
      </x:c>
      <x:c r="Z69" s="423" t="n">
        <x:f>2</x:f>
        <x:v>2</x:v>
      </x:c>
      <x:c r="AA69" s="423" t="n">
        <x:f>2</x:f>
        <x:v>2</x:v>
      </x:c>
      <x:c r="AB69" s="423" t="n">
        <x:f>2</x:f>
        <x:v>2</x:v>
      </x:c>
      <x:c r="AC69" s="423" t="n">
        <x:f>2</x:f>
        <x:v>2</x:v>
      </x:c>
      <x:c r="AD69" s="423" t="n">
        <x:f>2</x:f>
        <x:v>2</x:v>
      </x:c>
      <x:c r="AE69" s="423" t="n">
        <x:f>2</x:f>
        <x:v>2</x:v>
      </x:c>
      <x:c r="AF69" s="423" t="n">
        <x:f>2</x:f>
        <x:v>2</x:v>
      </x:c>
      <x:c r="AG69" s="423" t="n">
        <x:f>2</x:f>
        <x:v>2</x:v>
      </x:c>
      <x:c r="AH69" s="423" t="n">
        <x:f>2</x:f>
        <x:v>2</x:v>
      </x:c>
      <x:c r="AI69" s="423" t="n">
        <x:f>2</x:f>
        <x:v>2</x:v>
      </x:c>
      <x:c r="AJ69" s="423" t="n">
        <x:f>2</x:f>
        <x:v>2</x:v>
      </x:c>
      <x:c r="AK69" s="423" t="n">
        <x:f>2</x:f>
        <x:v>2</x:v>
      </x:c>
      <x:c r="AL69" s="423" t="n">
        <x:f>2</x:f>
        <x:v>2</x:v>
      </x:c>
      <x:c r="AM69" s="399"/>
      <x:c r="AN69" s="399"/>
    </x:row>
    <x:row r="70" ht="29" customHeight="1">
      <x:c r="A70" s="399"/>
      <x:c r="B70" s="410" t="str">
        <x:v>Працівники за планом заявниці</x:v>
      </x:c>
      <x:c r="C70" s="423" t="n">
        <x:f>3</x:f>
        <x:v>3</x:v>
      </x:c>
      <x:c r="D70" s="423" t="n">
        <x:f>3</x:f>
        <x:v>3</x:v>
      </x:c>
      <x:c r="E70" s="423" t="n">
        <x:f>3</x:f>
        <x:v>3</x:v>
      </x:c>
      <x:c r="F70" s="423" t="n">
        <x:f>3</x:f>
        <x:v>3</x:v>
      </x:c>
      <x:c r="G70" s="423" t="n">
        <x:f>3</x:f>
        <x:v>3</x:v>
      </x:c>
      <x:c r="H70" s="423" t="n">
        <x:f>3</x:f>
        <x:v>3</x:v>
      </x:c>
      <x:c r="I70" s="423" t="n">
        <x:f>3</x:f>
        <x:v>3</x:v>
      </x:c>
      <x:c r="J70" s="423" t="n">
        <x:f>3</x:f>
        <x:v>3</x:v>
      </x:c>
      <x:c r="K70" s="423" t="n">
        <x:f>3</x:f>
        <x:v>3</x:v>
      </x:c>
      <x:c r="L70" s="423" t="n">
        <x:f>3</x:f>
        <x:v>3</x:v>
      </x:c>
      <x:c r="M70" s="423" t="n">
        <x:f>3</x:f>
        <x:v>3</x:v>
      </x:c>
      <x:c r="N70" s="423" t="n">
        <x:f>3</x:f>
        <x:v>3</x:v>
      </x:c>
      <x:c r="O70" s="423" t="n">
        <x:f>3</x:f>
        <x:v>3</x:v>
      </x:c>
      <x:c r="P70" s="423" t="n">
        <x:f>3</x:f>
        <x:v>3</x:v>
      </x:c>
      <x:c r="Q70" s="423" t="n">
        <x:f>3</x:f>
        <x:v>3</x:v>
      </x:c>
      <x:c r="R70" s="423" t="n">
        <x:f>3</x:f>
        <x:v>3</x:v>
      </x:c>
      <x:c r="S70" s="423" t="n">
        <x:f>3</x:f>
        <x:v>3</x:v>
      </x:c>
      <x:c r="T70" s="423" t="n">
        <x:f>3</x:f>
        <x:v>3</x:v>
      </x:c>
      <x:c r="U70" s="423" t="n">
        <x:f>3</x:f>
        <x:v>3</x:v>
      </x:c>
      <x:c r="V70" s="423" t="n">
        <x:f>3</x:f>
        <x:v>3</x:v>
      </x:c>
      <x:c r="W70" s="423" t="n">
        <x:f>3</x:f>
        <x:v>3</x:v>
      </x:c>
      <x:c r="X70" s="423" t="n">
        <x:f>3</x:f>
        <x:v>3</x:v>
      </x:c>
      <x:c r="Y70" s="423" t="n">
        <x:f>3</x:f>
        <x:v>3</x:v>
      </x:c>
      <x:c r="Z70" s="423" t="n">
        <x:f>3</x:f>
        <x:v>3</x:v>
      </x:c>
      <x:c r="AA70" s="423" t="n">
        <x:f>3</x:f>
        <x:v>3</x:v>
      </x:c>
      <x:c r="AB70" s="423" t="n">
        <x:f>3</x:f>
        <x:v>3</x:v>
      </x:c>
      <x:c r="AC70" s="423" t="n">
        <x:f>3</x:f>
        <x:v>3</x:v>
      </x:c>
      <x:c r="AD70" s="423" t="n">
        <x:f>3</x:f>
        <x:v>3</x:v>
      </x:c>
      <x:c r="AE70" s="423" t="n">
        <x:f>3</x:f>
        <x:v>3</x:v>
      </x:c>
      <x:c r="AF70" s="423" t="n">
        <x:f>3</x:f>
        <x:v>3</x:v>
      </x:c>
      <x:c r="AG70" s="423" t="n">
        <x:f>3</x:f>
        <x:v>3</x:v>
      </x:c>
      <x:c r="AH70" s="423" t="n">
        <x:f>3</x:f>
        <x:v>3</x:v>
      </x:c>
      <x:c r="AI70" s="423" t="n">
        <x:f>3</x:f>
        <x:v>3</x:v>
      </x:c>
      <x:c r="AJ70" s="423" t="n">
        <x:f>3</x:f>
        <x:v>3</x:v>
      </x:c>
      <x:c r="AK70" s="423" t="n">
        <x:f>3</x:f>
        <x:v>3</x:v>
      </x:c>
      <x:c r="AL70" s="423" t="n">
        <x:f>3</x:f>
        <x:v>3</x:v>
      </x:c>
      <x:c r="AM70" s="399"/>
      <x:c r="AN70" s="399"/>
    </x:row>
    <x:row r="71" ht="29" customHeight="1">
      <x:c r="A71" s="399"/>
      <x:c r="B71" s="410" t="str">
        <x:v>Грант покрито податками: 0/1</x:v>
      </x:c>
      <x:c r="C71" s="423" t="n">
        <x:f>IF(C67&gt;=$C$9,1,0)</x:f>
        <x:v>0</x:v>
      </x:c>
      <x:c r="D71" s="423" t="n">
        <x:f>IF(D67&gt;=$C$9,1,0)</x:f>
        <x:v>0</x:v>
      </x:c>
      <x:c r="E71" s="423" t="n">
        <x:f>IF(E67&gt;=$C$9,1,0)</x:f>
        <x:v>0</x:v>
      </x:c>
      <x:c r="F71" s="423" t="n">
        <x:f>IF(F67&gt;=$C$9,1,0)</x:f>
        <x:v>0</x:v>
      </x:c>
      <x:c r="G71" s="423" t="n">
        <x:f>IF(G67&gt;=$C$9,1,0)</x:f>
        <x:v>0</x:v>
      </x:c>
      <x:c r="H71" s="423" t="n">
        <x:f>IF(H67&gt;=$C$9,1,0)</x:f>
        <x:v>0</x:v>
      </x:c>
      <x:c r="I71" s="423" t="n">
        <x:f>IF(I67&gt;=$C$9,1,0)</x:f>
        <x:v>0</x:v>
      </x:c>
      <x:c r="J71" s="423" t="n">
        <x:f>IF(J67&gt;=$C$9,1,0)</x:f>
        <x:v>0</x:v>
      </x:c>
      <x:c r="K71" s="423" t="n">
        <x:f>IF(K67&gt;=$C$9,1,0)</x:f>
        <x:v>0</x:v>
      </x:c>
      <x:c r="L71" s="423" t="n">
        <x:f>IF(L67&gt;=$C$9,1,0)</x:f>
        <x:v>0</x:v>
      </x:c>
      <x:c r="M71" s="423" t="n">
        <x:f>IF(M67&gt;=$C$9,1,0)</x:f>
        <x:v>0</x:v>
      </x:c>
      <x:c r="N71" s="423" t="n">
        <x:f>IF(N67&gt;=$C$9,1,0)</x:f>
        <x:v>0</x:v>
      </x:c>
      <x:c r="O71" s="423" t="n">
        <x:f>IF(O67&gt;=$C$9,1,0)</x:f>
        <x:v>0</x:v>
      </x:c>
      <x:c r="P71" s="423" t="n">
        <x:f>IF(P67&gt;=$C$9,1,0)</x:f>
        <x:v>0</x:v>
      </x:c>
      <x:c r="Q71" s="423" t="n">
        <x:f>IF(Q67&gt;=$C$9,1,0)</x:f>
        <x:v>0</x:v>
      </x:c>
      <x:c r="R71" s="423" t="n">
        <x:f>IF(R67&gt;=$C$9,1,0)</x:f>
        <x:v>0</x:v>
      </x:c>
      <x:c r="S71" s="423" t="n">
        <x:f>IF(S67&gt;=$C$9,1,0)</x:f>
        <x:v>0</x:v>
      </x:c>
      <x:c r="T71" s="423" t="n">
        <x:f>IF(T67&gt;=$C$9,1,0)</x:f>
        <x:v>0</x:v>
      </x:c>
      <x:c r="U71" s="423" t="n">
        <x:f>IF(U67&gt;=$C$9,1,0)</x:f>
        <x:v>0</x:v>
      </x:c>
      <x:c r="V71" s="423" t="n">
        <x:f>IF(V67&gt;=$C$9,1,0)</x:f>
        <x:v>0</x:v>
      </x:c>
      <x:c r="W71" s="423" t="n">
        <x:f>IF(W67&gt;=$C$9,1,0)</x:f>
        <x:v>0</x:v>
      </x:c>
      <x:c r="X71" s="423" t="n">
        <x:f>IF(X67&gt;=$C$9,1,0)</x:f>
        <x:v>0</x:v>
      </x:c>
      <x:c r="Y71" s="423" t="n">
        <x:f>IF(Y67&gt;=$C$9,1,0)</x:f>
        <x:v>0</x:v>
      </x:c>
      <x:c r="Z71" s="423" t="n">
        <x:f>IF(Z67&gt;=$C$9,1,0)</x:f>
        <x:v>0</x:v>
      </x:c>
      <x:c r="AA71" s="423" t="n">
        <x:f>IF(AA67&gt;=$C$9,1,0)</x:f>
        <x:v>0</x:v>
      </x:c>
      <x:c r="AB71" s="423" t="n">
        <x:f>IF(AB67&gt;=$C$9,1,0)</x:f>
        <x:v>0</x:v>
      </x:c>
      <x:c r="AC71" s="423" t="n">
        <x:f>IF(AC67&gt;=$C$9,1,0)</x:f>
        <x:v>1</x:v>
      </x:c>
      <x:c r="AD71" s="423" t="n">
        <x:f>IF(AD67&gt;=$C$9,1,0)</x:f>
        <x:v>1</x:v>
      </x:c>
      <x:c r="AE71" s="423" t="n">
        <x:f>IF(AE67&gt;=$C$9,1,0)</x:f>
        <x:v>1</x:v>
      </x:c>
      <x:c r="AF71" s="423" t="n">
        <x:f>IF(AF67&gt;=$C$9,1,0)</x:f>
        <x:v>1</x:v>
      </x:c>
      <x:c r="AG71" s="423" t="n">
        <x:f>IF(AG67&gt;=$C$9,1,0)</x:f>
        <x:v>1</x:v>
      </x:c>
      <x:c r="AH71" s="423" t="n">
        <x:f>IF(AH67&gt;=$C$9,1,0)</x:f>
        <x:v>1</x:v>
      </x:c>
      <x:c r="AI71" s="423" t="n">
        <x:f>IF(AI67&gt;=$C$9,1,0)</x:f>
        <x:v>1</x:v>
      </x:c>
      <x:c r="AJ71" s="423" t="n">
        <x:f>IF(AJ67&gt;=$C$9,1,0)</x:f>
        <x:v>1</x:v>
      </x:c>
      <x:c r="AK71" s="423" t="n">
        <x:f>IF(AK67&gt;=$C$9,1,0)</x:f>
        <x:v>1</x:v>
      </x:c>
      <x:c r="AL71" s="423" t="n">
        <x:f>IF(AL67&gt;=$C$9,1,0)</x:f>
        <x:v>1</x:v>
      </x:c>
      <x:c r="AM71" s="399"/>
      <x:c r="AN71" s="399"/>
    </x:row>
    <x:row r="72">
      <x:c r="A72" s="399"/>
      <x:c r="B72" s="399"/>
      <x:c r="C72" s="399"/>
      <x:c r="D72" s="399"/>
      <x:c r="E72" s="399"/>
      <x:c r="F72" s="399"/>
      <x:c r="G72" s="399"/>
      <x:c r="H72" s="399"/>
      <x:c r="I72" s="399"/>
      <x:c r="J72" s="399"/>
      <x:c r="K72" s="399"/>
      <x:c r="L72" s="399"/>
      <x:c r="M72" s="399"/>
      <x:c r="N72" s="399"/>
      <x:c r="O72" s="399"/>
      <x:c r="P72" s="399"/>
      <x:c r="Q72" s="399"/>
      <x:c r="R72" s="399"/>
      <x:c r="S72" s="399"/>
      <x:c r="T72" s="399"/>
      <x:c r="U72" s="399"/>
      <x:c r="V72" s="399"/>
      <x:c r="W72" s="399"/>
      <x:c r="X72" s="399"/>
      <x:c r="Y72" s="399"/>
      <x:c r="Z72" s="399"/>
      <x:c r="AA72" s="399"/>
      <x:c r="AB72" s="399"/>
      <x:c r="AC72" s="399"/>
      <x:c r="AD72" s="399"/>
      <x:c r="AE72" s="399"/>
      <x:c r="AF72" s="399"/>
      <x:c r="AG72" s="399"/>
      <x:c r="AH72" s="399"/>
      <x:c r="AI72" s="399"/>
      <x:c r="AJ72" s="399"/>
      <x:c r="AK72" s="399"/>
      <x:c r="AL72" s="399"/>
      <x:c r="AM72" s="399"/>
      <x:c r="AN72" s="399"/>
    </x:row>
    <x:row r="73">
      <x:c r="A73" s="399"/>
      <x:c r="B73" s="399"/>
      <x:c r="C73" s="399"/>
      <x:c r="D73" s="399"/>
      <x:c r="E73" s="399"/>
      <x:c r="F73" s="399"/>
      <x:c r="G73" s="399"/>
      <x:c r="H73" s="399"/>
      <x:c r="I73" s="399"/>
      <x:c r="J73" s="399"/>
      <x:c r="K73" s="399"/>
      <x:c r="L73" s="399"/>
      <x:c r="M73" s="399"/>
      <x:c r="N73" s="399"/>
      <x:c r="O73" s="399"/>
      <x:c r="P73" s="399"/>
      <x:c r="Q73" s="399"/>
      <x:c r="R73" s="399"/>
      <x:c r="S73" s="399"/>
      <x:c r="T73" s="399"/>
      <x:c r="U73" s="399"/>
      <x:c r="V73" s="399"/>
      <x:c r="W73" s="399"/>
      <x:c r="X73" s="399"/>
      <x:c r="Y73" s="399"/>
      <x:c r="Z73" s="399"/>
      <x:c r="AA73" s="399"/>
      <x:c r="AB73" s="399"/>
      <x:c r="AC73" s="399"/>
      <x:c r="AD73" s="399"/>
      <x:c r="AE73" s="399"/>
      <x:c r="AF73" s="399"/>
      <x:c r="AG73" s="399"/>
      <x:c r="AH73" s="399"/>
      <x:c r="AI73" s="399"/>
      <x:c r="AJ73" s="399"/>
      <x:c r="AK73" s="399"/>
      <x:c r="AL73" s="399"/>
      <x:c r="AM73" s="399"/>
      <x:c r="AN73" s="399"/>
    </x:row>
    <x:row r="74" ht="34" customHeight="1">
      <x:c r="A74" s="399"/>
      <x:c r="B74" s="405" t="str">
        <x:v>Кошти — сукупний бюджет проєкту, а не банківська виписка. Навчання може оплачуватися особисто; податкову класифікацію та прийнятність власного внеску треба підтвердити.</x:v>
      </x:c>
      <x:c r="C74" s="405"/>
      <x:c r="D74" s="405"/>
      <x:c r="E74" s="405"/>
      <x:c r="F74" s="405"/>
      <x:c r="G74" s="405"/>
      <x:c r="H74" s="405"/>
      <x:c r="I74" s="405"/>
      <x:c r="J74" s="405"/>
      <x:c r="K74" s="405"/>
      <x:c r="L74" s="405"/>
      <x:c r="M74" s="405"/>
      <x:c r="N74" s="405"/>
      <x:c r="O74" s="405"/>
      <x:c r="P74" s="405"/>
      <x:c r="Q74" s="405"/>
      <x:c r="R74" s="405"/>
      <x:c r="S74" s="405"/>
      <x:c r="T74" s="405"/>
      <x:c r="U74" s="405"/>
      <x:c r="V74" s="405"/>
      <x:c r="W74" s="405"/>
      <x:c r="X74" s="405"/>
      <x:c r="Y74" s="405"/>
      <x:c r="Z74" s="405"/>
      <x:c r="AA74" s="405"/>
      <x:c r="AB74" s="405"/>
      <x:c r="AC74" s="405"/>
      <x:c r="AD74" s="405"/>
      <x:c r="AE74" s="405"/>
      <x:c r="AF74" s="405"/>
      <x:c r="AG74" s="405"/>
      <x:c r="AH74" s="405"/>
      <x:c r="AI74" s="405"/>
      <x:c r="AJ74" s="405"/>
      <x:c r="AK74" s="405"/>
      <x:c r="AL74" s="405"/>
      <x:c r="AM74" s="399"/>
      <x:c r="AN74" s="399"/>
    </x:row>
    <x:row r="75" ht="34" customHeight="1">
      <x:c r="A75" s="399"/>
      <x:c r="B75" s="405" t="str">
        <x:v>При режимі оренди 0 модель діагностує невитрачений грант на М3, але не моделює його повернення. Такий сценарій непридатний для подання без нового бюджету.</x:v>
      </x:c>
      <x:c r="C75" s="405"/>
      <x:c r="D75" s="405"/>
      <x:c r="E75" s="405"/>
      <x:c r="F75" s="405"/>
      <x:c r="G75" s="405"/>
      <x:c r="H75" s="405"/>
      <x:c r="I75" s="405"/>
      <x:c r="J75" s="405"/>
      <x:c r="K75" s="405"/>
      <x:c r="L75" s="405"/>
      <x:c r="M75" s="405"/>
      <x:c r="N75" s="405"/>
      <x:c r="O75" s="405"/>
      <x:c r="P75" s="405"/>
      <x:c r="Q75" s="405"/>
      <x:c r="R75" s="405"/>
      <x:c r="S75" s="405"/>
      <x:c r="T75" s="405"/>
      <x:c r="U75" s="405"/>
      <x:c r="V75" s="405"/>
      <x:c r="W75" s="405"/>
      <x:c r="X75" s="405"/>
      <x:c r="Y75" s="405"/>
      <x:c r="Z75" s="405"/>
      <x:c r="AA75" s="405"/>
      <x:c r="AB75" s="405"/>
      <x:c r="AC75" s="405"/>
      <x:c r="AD75" s="405"/>
      <x:c r="AE75" s="405"/>
      <x:c r="AF75" s="405"/>
      <x:c r="AG75" s="405"/>
      <x:c r="AH75" s="405"/>
      <x:c r="AI75" s="405"/>
      <x:c r="AJ75" s="405"/>
      <x:c r="AK75" s="405"/>
      <x:c r="AL75" s="405"/>
      <x:c r="AM75" s="399"/>
      <x:c r="AN75" s="399"/>
    </x:row>
    <x:row r="76" ht="34" customHeight="1">
      <x:c r="A76" s="399"/>
      <x:c r="B76" s="405" t="str">
        <x:v>Рядок 64 — допоміжний касовий показник з місячною орендою; не бухгалтерський прибуток. Для ROI/IRR та рентабельності потрібні окремі правила визнання витрат і амортизації.</x:v>
      </x:c>
      <x:c r="C76" s="405"/>
      <x:c r="D76" s="405"/>
      <x:c r="E76" s="405"/>
      <x:c r="F76" s="405"/>
      <x:c r="G76" s="405"/>
      <x:c r="H76" s="405"/>
      <x:c r="I76" s="405"/>
      <x:c r="J76" s="405"/>
      <x:c r="K76" s="405"/>
      <x:c r="L76" s="405"/>
      <x:c r="M76" s="405"/>
      <x:c r="N76" s="405"/>
      <x:c r="O76" s="405"/>
      <x:c r="P76" s="405"/>
      <x:c r="Q76" s="405"/>
      <x:c r="R76" s="405"/>
      <x:c r="S76" s="405"/>
      <x:c r="T76" s="405"/>
      <x:c r="U76" s="405"/>
      <x:c r="V76" s="405"/>
      <x:c r="W76" s="405"/>
      <x:c r="X76" s="405"/>
      <x:c r="Y76" s="405"/>
      <x:c r="Z76" s="405"/>
      <x:c r="AA76" s="405"/>
      <x:c r="AB76" s="405"/>
      <x:c r="AC76" s="405"/>
      <x:c r="AD76" s="405"/>
      <x:c r="AE76" s="405"/>
      <x:c r="AF76" s="405"/>
      <x:c r="AG76" s="405"/>
      <x:c r="AH76" s="405"/>
      <x:c r="AI76" s="405"/>
      <x:c r="AJ76" s="405"/>
      <x:c r="AK76" s="405"/>
      <x:c r="AL76" s="405"/>
      <x:c r="AM76" s="399"/>
      <x:c r="AN76" s="399"/>
    </x:row>
    <x:row r="77">
      <x:c r="A77" s="399"/>
      <x:c r="B77" s="399"/>
      <x:c r="C77" s="399"/>
      <x:c r="D77" s="399"/>
      <x:c r="E77" s="399"/>
      <x:c r="F77" s="399"/>
      <x:c r="G77" s="399"/>
      <x:c r="H77" s="399"/>
      <x:c r="I77" s="399"/>
      <x:c r="J77" s="399"/>
      <x:c r="K77" s="399"/>
      <x:c r="L77" s="399"/>
      <x:c r="M77" s="399"/>
      <x:c r="N77" s="399"/>
      <x:c r="O77" s="399"/>
      <x:c r="P77" s="399"/>
      <x:c r="Q77" s="399"/>
      <x:c r="R77" s="399"/>
      <x:c r="S77" s="399"/>
      <x:c r="T77" s="399"/>
      <x:c r="U77" s="399"/>
      <x:c r="V77" s="399"/>
      <x:c r="W77" s="399"/>
      <x:c r="X77" s="399"/>
      <x:c r="Y77" s="399"/>
      <x:c r="Z77" s="399"/>
      <x:c r="AA77" s="399"/>
      <x:c r="AB77" s="399"/>
      <x:c r="AC77" s="399"/>
      <x:c r="AD77" s="399"/>
      <x:c r="AE77" s="399"/>
      <x:c r="AF77" s="399"/>
      <x:c r="AG77" s="399"/>
      <x:c r="AH77" s="399"/>
      <x:c r="AI77" s="399"/>
      <x:c r="AJ77" s="399"/>
      <x:c r="AK77" s="399"/>
      <x:c r="AL77" s="399"/>
      <x:c r="AM77" s="399"/>
      <x:c r="AN77" s="399"/>
    </x:row>
    <x:row r="78">
      <x:c r="A78" s="399"/>
      <x:c r="B78" s="399"/>
      <x:c r="C78" s="399"/>
      <x:c r="D78" s="399"/>
      <x:c r="E78" s="399"/>
      <x:c r="F78" s="399"/>
      <x:c r="G78" s="399"/>
      <x:c r="H78" s="399"/>
      <x:c r="I78" s="399"/>
      <x:c r="J78" s="399"/>
      <x:c r="K78" s="399"/>
      <x:c r="L78" s="399"/>
      <x:c r="M78" s="399"/>
      <x:c r="N78" s="399"/>
      <x:c r="O78" s="399"/>
      <x:c r="P78" s="399"/>
      <x:c r="Q78" s="399"/>
      <x:c r="R78" s="399"/>
      <x:c r="S78" s="399"/>
      <x:c r="T78" s="399"/>
      <x:c r="U78" s="399"/>
      <x:c r="V78" s="399"/>
      <x:c r="W78" s="399"/>
      <x:c r="X78" s="399"/>
      <x:c r="Y78" s="399"/>
      <x:c r="Z78" s="399"/>
      <x:c r="AA78" s="399"/>
      <x:c r="AB78" s="399"/>
      <x:c r="AC78" s="399"/>
      <x:c r="AD78" s="399"/>
      <x:c r="AE78" s="399"/>
      <x:c r="AF78" s="399"/>
      <x:c r="AG78" s="399"/>
      <x:c r="AH78" s="399"/>
      <x:c r="AI78" s="399"/>
      <x:c r="AJ78" s="399"/>
      <x:c r="AK78" s="399"/>
      <x:c r="AL78" s="399"/>
      <x:c r="AM78" s="399"/>
      <x:c r="AN78" s="399"/>
    </x:row>
    <x:row r="79">
      <x:c r="A79" s="399"/>
      <x:c r="B79" s="399"/>
      <x:c r="C79" s="399"/>
      <x:c r="D79" s="399"/>
      <x:c r="E79" s="399"/>
      <x:c r="F79" s="399"/>
      <x:c r="G79" s="399"/>
      <x:c r="H79" s="399"/>
      <x:c r="I79" s="399"/>
      <x:c r="J79" s="399"/>
      <x:c r="K79" s="399"/>
      <x:c r="L79" s="399"/>
      <x:c r="M79" s="399"/>
      <x:c r="N79" s="399"/>
      <x:c r="O79" s="399"/>
      <x:c r="P79" s="399"/>
      <x:c r="Q79" s="399"/>
      <x:c r="R79" s="399"/>
      <x:c r="S79" s="399"/>
      <x:c r="T79" s="399"/>
      <x:c r="U79" s="399"/>
      <x:c r="V79" s="399"/>
      <x:c r="W79" s="399"/>
      <x:c r="X79" s="399"/>
      <x:c r="Y79" s="399"/>
      <x:c r="Z79" s="399"/>
      <x:c r="AA79" s="399"/>
      <x:c r="AB79" s="399"/>
      <x:c r="AC79" s="399"/>
      <x:c r="AD79" s="399"/>
      <x:c r="AE79" s="399"/>
      <x:c r="AF79" s="399"/>
      <x:c r="AG79" s="399"/>
      <x:c r="AH79" s="399"/>
      <x:c r="AI79" s="399"/>
      <x:c r="AJ79" s="399"/>
      <x:c r="AK79" s="399"/>
      <x:c r="AL79" s="399"/>
      <x:c r="AM79" s="399"/>
      <x:c r="AN79" s="399"/>
    </x:row>
    <x:row r="80">
      <x:c r="A80" s="399"/>
      <x:c r="B80" s="399"/>
      <x:c r="C80" s="399"/>
      <x:c r="D80" s="399"/>
      <x:c r="E80" s="399"/>
      <x:c r="F80" s="399"/>
      <x:c r="G80" s="399"/>
      <x:c r="H80" s="399"/>
      <x:c r="I80" s="399"/>
      <x:c r="J80" s="399"/>
      <x:c r="K80" s="399"/>
      <x:c r="L80" s="399"/>
      <x:c r="M80" s="399"/>
      <x:c r="N80" s="399"/>
      <x:c r="O80" s="399"/>
      <x:c r="P80" s="399"/>
      <x:c r="Q80" s="399"/>
      <x:c r="R80" s="399"/>
      <x:c r="S80" s="399"/>
      <x:c r="T80" s="399"/>
      <x:c r="U80" s="399"/>
      <x:c r="V80" s="399"/>
      <x:c r="W80" s="399"/>
      <x:c r="X80" s="399"/>
      <x:c r="Y80" s="399"/>
      <x:c r="Z80" s="399"/>
      <x:c r="AA80" s="399"/>
      <x:c r="AB80" s="399"/>
      <x:c r="AC80" s="399"/>
      <x:c r="AD80" s="399"/>
      <x:c r="AE80" s="399"/>
      <x:c r="AF80" s="399"/>
      <x:c r="AG80" s="399"/>
      <x:c r="AH80" s="399"/>
      <x:c r="AI80" s="399"/>
      <x:c r="AJ80" s="399"/>
      <x:c r="AK80" s="399"/>
      <x:c r="AL80" s="399"/>
      <x:c r="AM80" s="399"/>
      <x:c r="AN80" s="399"/>
    </x:row>
    <x:row r="81">
      <x:c r="A81" s="399"/>
      <x:c r="B81" s="399"/>
      <x:c r="C81" s="399"/>
      <x:c r="D81" s="399"/>
      <x:c r="E81" s="399"/>
      <x:c r="F81" s="399"/>
      <x:c r="G81" s="399"/>
      <x:c r="H81" s="399"/>
      <x:c r="I81" s="399"/>
      <x:c r="J81" s="399"/>
      <x:c r="K81" s="399"/>
      <x:c r="L81" s="399"/>
      <x:c r="M81" s="399"/>
      <x:c r="N81" s="399"/>
      <x:c r="O81" s="399"/>
      <x:c r="P81" s="399"/>
      <x:c r="Q81" s="399"/>
      <x:c r="R81" s="399"/>
      <x:c r="S81" s="399"/>
      <x:c r="T81" s="399"/>
      <x:c r="U81" s="399"/>
      <x:c r="V81" s="399"/>
      <x:c r="W81" s="399"/>
      <x:c r="X81" s="399"/>
      <x:c r="Y81" s="399"/>
      <x:c r="Z81" s="399"/>
      <x:c r="AA81" s="399"/>
      <x:c r="AB81" s="399"/>
      <x:c r="AC81" s="399"/>
      <x:c r="AD81" s="399"/>
      <x:c r="AE81" s="399"/>
      <x:c r="AF81" s="399"/>
      <x:c r="AG81" s="399"/>
      <x:c r="AH81" s="399"/>
      <x:c r="AI81" s="399"/>
      <x:c r="AJ81" s="399"/>
      <x:c r="AK81" s="399"/>
      <x:c r="AL81" s="399"/>
      <x:c r="AM81" s="399"/>
      <x:c r="AN81" s="399"/>
    </x:row>
    <x:row r="82">
      <x:c r="A82" s="399"/>
      <x:c r="B82" s="399"/>
      <x:c r="C82" s="399"/>
      <x:c r="D82" s="399"/>
      <x:c r="E82" s="399"/>
      <x:c r="F82" s="399"/>
      <x:c r="G82" s="399"/>
      <x:c r="H82" s="399"/>
      <x:c r="I82" s="399"/>
      <x:c r="J82" s="399"/>
      <x:c r="K82" s="399"/>
      <x:c r="L82" s="399"/>
      <x:c r="M82" s="399"/>
      <x:c r="N82" s="399"/>
      <x:c r="O82" s="399"/>
      <x:c r="P82" s="399"/>
      <x:c r="Q82" s="399"/>
      <x:c r="R82" s="399"/>
      <x:c r="S82" s="399"/>
      <x:c r="T82" s="399"/>
      <x:c r="U82" s="399"/>
      <x:c r="V82" s="399"/>
      <x:c r="W82" s="399"/>
      <x:c r="X82" s="399"/>
      <x:c r="Y82" s="399"/>
      <x:c r="Z82" s="399"/>
      <x:c r="AA82" s="399"/>
      <x:c r="AB82" s="399"/>
      <x:c r="AC82" s="399"/>
      <x:c r="AD82" s="399"/>
      <x:c r="AE82" s="399"/>
      <x:c r="AF82" s="399"/>
      <x:c r="AG82" s="399"/>
      <x:c r="AH82" s="399"/>
      <x:c r="AI82" s="399"/>
      <x:c r="AJ82" s="399"/>
      <x:c r="AK82" s="399"/>
      <x:c r="AL82" s="399"/>
      <x:c r="AM82" s="399"/>
      <x:c r="AN82" s="399"/>
    </x:row>
    <x:row r="83">
      <x:c r="A83" s="399"/>
      <x:c r="B83" s="399"/>
      <x:c r="C83" s="399"/>
      <x:c r="D83" s="399"/>
      <x:c r="E83" s="399"/>
      <x:c r="F83" s="399"/>
      <x:c r="G83" s="399"/>
      <x:c r="H83" s="399"/>
      <x:c r="I83" s="399"/>
      <x:c r="J83" s="399"/>
      <x:c r="K83" s="399"/>
      <x:c r="L83" s="399"/>
      <x:c r="M83" s="399"/>
      <x:c r="N83" s="399"/>
      <x:c r="O83" s="399"/>
      <x:c r="P83" s="399"/>
      <x:c r="Q83" s="399"/>
      <x:c r="R83" s="399"/>
      <x:c r="S83" s="399"/>
      <x:c r="T83" s="399"/>
      <x:c r="U83" s="399"/>
      <x:c r="V83" s="399"/>
      <x:c r="W83" s="399"/>
      <x:c r="X83" s="399"/>
      <x:c r="Y83" s="399"/>
      <x:c r="Z83" s="399"/>
      <x:c r="AA83" s="399"/>
      <x:c r="AB83" s="399"/>
      <x:c r="AC83" s="399"/>
      <x:c r="AD83" s="399"/>
      <x:c r="AE83" s="399"/>
      <x:c r="AF83" s="399"/>
      <x:c r="AG83" s="399"/>
      <x:c r="AH83" s="399"/>
      <x:c r="AI83" s="399"/>
      <x:c r="AJ83" s="399"/>
      <x:c r="AK83" s="399"/>
      <x:c r="AL83" s="399"/>
      <x:c r="AM83" s="399"/>
      <x:c r="AN83" s="399"/>
    </x:row>
    <x:row r="84">
      <x:c r="A84" s="399"/>
      <x:c r="B84" s="399"/>
      <x:c r="C84" s="399"/>
      <x:c r="D84" s="399"/>
      <x:c r="E84" s="399"/>
      <x:c r="F84" s="399"/>
      <x:c r="G84" s="399"/>
      <x:c r="H84" s="399"/>
      <x:c r="I84" s="399"/>
      <x:c r="J84" s="399"/>
      <x:c r="K84" s="399"/>
      <x:c r="L84" s="399"/>
      <x:c r="M84" s="399"/>
      <x:c r="N84" s="399"/>
      <x:c r="O84" s="399"/>
      <x:c r="P84" s="399"/>
      <x:c r="Q84" s="399"/>
      <x:c r="R84" s="399"/>
      <x:c r="S84" s="399"/>
      <x:c r="T84" s="399"/>
      <x:c r="U84" s="399"/>
      <x:c r="V84" s="399"/>
      <x:c r="W84" s="399"/>
      <x:c r="X84" s="399"/>
      <x:c r="Y84" s="399"/>
      <x:c r="Z84" s="399"/>
      <x:c r="AA84" s="399"/>
      <x:c r="AB84" s="399"/>
      <x:c r="AC84" s="399"/>
      <x:c r="AD84" s="399"/>
      <x:c r="AE84" s="399"/>
      <x:c r="AF84" s="399"/>
      <x:c r="AG84" s="399"/>
      <x:c r="AH84" s="399"/>
      <x:c r="AI84" s="399"/>
      <x:c r="AJ84" s="399"/>
      <x:c r="AK84" s="399"/>
      <x:c r="AL84" s="399"/>
      <x:c r="AM84" s="399"/>
      <x:c r="AN84" s="399"/>
    </x:row>
    <x:row r="85">
      <x:c r="A85" s="399"/>
      <x:c r="B85" s="399"/>
      <x:c r="C85" s="399"/>
      <x:c r="D85" s="399"/>
      <x:c r="E85" s="399"/>
      <x:c r="F85" s="399"/>
      <x:c r="G85" s="399"/>
      <x:c r="H85" s="399"/>
      <x:c r="I85" s="399"/>
      <x:c r="J85" s="399"/>
      <x:c r="K85" s="399"/>
      <x:c r="L85" s="399"/>
      <x:c r="M85" s="399"/>
      <x:c r="N85" s="399"/>
      <x:c r="O85" s="399"/>
      <x:c r="P85" s="399"/>
      <x:c r="Q85" s="399"/>
      <x:c r="R85" s="399"/>
      <x:c r="S85" s="399"/>
      <x:c r="T85" s="399"/>
      <x:c r="U85" s="399"/>
      <x:c r="V85" s="399"/>
      <x:c r="W85" s="399"/>
      <x:c r="X85" s="399"/>
      <x:c r="Y85" s="399"/>
      <x:c r="Z85" s="399"/>
      <x:c r="AA85" s="399"/>
      <x:c r="AB85" s="399"/>
      <x:c r="AC85" s="399"/>
      <x:c r="AD85" s="399"/>
      <x:c r="AE85" s="399"/>
      <x:c r="AF85" s="399"/>
      <x:c r="AG85" s="399"/>
      <x:c r="AH85" s="399"/>
      <x:c r="AI85" s="399"/>
      <x:c r="AJ85" s="399"/>
      <x:c r="AK85" s="399"/>
      <x:c r="AL85" s="399"/>
      <x:c r="AM85" s="399"/>
      <x:c r="AN85" s="399"/>
    </x:row>
    <x:row r="86">
      <x:c r="A86" s="399"/>
      <x:c r="B86" s="399"/>
      <x:c r="C86" s="399"/>
      <x:c r="D86" s="399"/>
      <x:c r="E86" s="399"/>
      <x:c r="F86" s="399"/>
      <x:c r="G86" s="399"/>
      <x:c r="H86" s="399"/>
      <x:c r="I86" s="399"/>
      <x:c r="J86" s="399"/>
      <x:c r="K86" s="399"/>
      <x:c r="L86" s="399"/>
      <x:c r="M86" s="399"/>
      <x:c r="N86" s="399"/>
      <x:c r="O86" s="399"/>
      <x:c r="P86" s="399"/>
      <x:c r="Q86" s="399"/>
      <x:c r="R86" s="399"/>
      <x:c r="S86" s="399"/>
      <x:c r="T86" s="399"/>
      <x:c r="U86" s="399"/>
      <x:c r="V86" s="399"/>
      <x:c r="W86" s="399"/>
      <x:c r="X86" s="399"/>
      <x:c r="Y86" s="399"/>
      <x:c r="Z86" s="399"/>
      <x:c r="AA86" s="399"/>
      <x:c r="AB86" s="399"/>
      <x:c r="AC86" s="399"/>
      <x:c r="AD86" s="399"/>
      <x:c r="AE86" s="399"/>
      <x:c r="AF86" s="399"/>
      <x:c r="AG86" s="399"/>
      <x:c r="AH86" s="399"/>
      <x:c r="AI86" s="399"/>
      <x:c r="AJ86" s="399"/>
      <x:c r="AK86" s="399"/>
      <x:c r="AL86" s="399"/>
      <x:c r="AM86" s="399"/>
      <x:c r="AN86" s="399"/>
    </x:row>
    <x:row r="87">
      <x:c r="A87" s="399"/>
      <x:c r="B87" s="399"/>
      <x:c r="C87" s="399"/>
      <x:c r="D87" s="399"/>
      <x:c r="E87" s="399"/>
      <x:c r="F87" s="399"/>
      <x:c r="G87" s="399"/>
      <x:c r="H87" s="399"/>
      <x:c r="I87" s="399"/>
      <x:c r="J87" s="399"/>
      <x:c r="K87" s="399"/>
      <x:c r="L87" s="399"/>
      <x:c r="M87" s="399"/>
      <x:c r="N87" s="399"/>
      <x:c r="O87" s="399"/>
      <x:c r="P87" s="399"/>
      <x:c r="Q87" s="399"/>
      <x:c r="R87" s="399"/>
      <x:c r="S87" s="399"/>
      <x:c r="T87" s="399"/>
      <x:c r="U87" s="399"/>
      <x:c r="V87" s="399"/>
      <x:c r="W87" s="399"/>
      <x:c r="X87" s="399"/>
      <x:c r="Y87" s="399"/>
      <x:c r="Z87" s="399"/>
      <x:c r="AA87" s="399"/>
      <x:c r="AB87" s="399"/>
      <x:c r="AC87" s="399"/>
      <x:c r="AD87" s="399"/>
      <x:c r="AE87" s="399"/>
      <x:c r="AF87" s="399"/>
      <x:c r="AG87" s="399"/>
      <x:c r="AH87" s="399"/>
      <x:c r="AI87" s="399"/>
      <x:c r="AJ87" s="399"/>
      <x:c r="AK87" s="399"/>
      <x:c r="AL87" s="399"/>
      <x:c r="AM87" s="399"/>
      <x:c r="AN87" s="399"/>
    </x:row>
    <x:row r="88">
      <x:c r="A88" s="399"/>
      <x:c r="B88" s="399"/>
      <x:c r="C88" s="399"/>
      <x:c r="D88" s="399"/>
      <x:c r="E88" s="399"/>
      <x:c r="F88" s="399"/>
      <x:c r="G88" s="399"/>
      <x:c r="H88" s="399"/>
      <x:c r="I88" s="399"/>
      <x:c r="J88" s="399"/>
      <x:c r="K88" s="399"/>
      <x:c r="L88" s="399"/>
      <x:c r="M88" s="399"/>
      <x:c r="N88" s="399"/>
      <x:c r="O88" s="399"/>
      <x:c r="P88" s="399"/>
      <x:c r="Q88" s="399"/>
      <x:c r="R88" s="399"/>
      <x:c r="S88" s="399"/>
      <x:c r="T88" s="399"/>
      <x:c r="U88" s="399"/>
      <x:c r="V88" s="399"/>
      <x:c r="W88" s="399"/>
      <x:c r="X88" s="399"/>
      <x:c r="Y88" s="399"/>
      <x:c r="Z88" s="399"/>
      <x:c r="AA88" s="399"/>
      <x:c r="AB88" s="399"/>
      <x:c r="AC88" s="399"/>
      <x:c r="AD88" s="399"/>
      <x:c r="AE88" s="399"/>
      <x:c r="AF88" s="399"/>
      <x:c r="AG88" s="399"/>
      <x:c r="AH88" s="399"/>
      <x:c r="AI88" s="399"/>
      <x:c r="AJ88" s="399"/>
      <x:c r="AK88" s="399"/>
      <x:c r="AL88" s="399"/>
      <x:c r="AM88" s="399"/>
      <x:c r="AN88" s="399"/>
    </x:row>
    <x:row r="89">
      <x:c r="A89" s="399"/>
      <x:c r="B89" s="399"/>
      <x:c r="C89" s="399"/>
      <x:c r="D89" s="399"/>
      <x:c r="E89" s="399"/>
      <x:c r="F89" s="399"/>
      <x:c r="G89" s="399"/>
      <x:c r="H89" s="399"/>
      <x:c r="I89" s="399"/>
      <x:c r="J89" s="399"/>
      <x:c r="K89" s="399"/>
      <x:c r="L89" s="399"/>
      <x:c r="M89" s="399"/>
      <x:c r="N89" s="399"/>
      <x:c r="O89" s="399"/>
      <x:c r="P89" s="399"/>
      <x:c r="Q89" s="399"/>
      <x:c r="R89" s="399"/>
      <x:c r="S89" s="399"/>
      <x:c r="T89" s="399"/>
      <x:c r="U89" s="399"/>
      <x:c r="V89" s="399"/>
      <x:c r="W89" s="399"/>
      <x:c r="X89" s="399"/>
      <x:c r="Y89" s="399"/>
      <x:c r="Z89" s="399"/>
      <x:c r="AA89" s="399"/>
      <x:c r="AB89" s="399"/>
      <x:c r="AC89" s="399"/>
      <x:c r="AD89" s="399"/>
      <x:c r="AE89" s="399"/>
      <x:c r="AF89" s="399"/>
      <x:c r="AG89" s="399"/>
      <x:c r="AH89" s="399"/>
      <x:c r="AI89" s="399"/>
      <x:c r="AJ89" s="399"/>
      <x:c r="AK89" s="399"/>
      <x:c r="AL89" s="399"/>
      <x:c r="AM89" s="399"/>
      <x:c r="AN89" s="399"/>
    </x:row>
    <x:row r="90">
      <x:c r="A90" s="399"/>
      <x:c r="B90" s="399"/>
      <x:c r="C90" s="399"/>
      <x:c r="D90" s="399"/>
      <x:c r="E90" s="399"/>
      <x:c r="F90" s="399"/>
      <x:c r="G90" s="399"/>
      <x:c r="H90" s="399"/>
      <x:c r="I90" s="399"/>
      <x:c r="J90" s="399"/>
      <x:c r="K90" s="399"/>
      <x:c r="L90" s="399"/>
      <x:c r="M90" s="399"/>
      <x:c r="N90" s="399"/>
      <x:c r="O90" s="399"/>
      <x:c r="P90" s="399"/>
      <x:c r="Q90" s="399"/>
      <x:c r="R90" s="399"/>
      <x:c r="S90" s="399"/>
      <x:c r="T90" s="399"/>
      <x:c r="U90" s="399"/>
      <x:c r="V90" s="399"/>
      <x:c r="W90" s="399"/>
      <x:c r="X90" s="399"/>
      <x:c r="Y90" s="399"/>
      <x:c r="Z90" s="399"/>
      <x:c r="AA90" s="399"/>
      <x:c r="AB90" s="399"/>
      <x:c r="AC90" s="399"/>
      <x:c r="AD90" s="399"/>
      <x:c r="AE90" s="399"/>
      <x:c r="AF90" s="399"/>
      <x:c r="AG90" s="399"/>
      <x:c r="AH90" s="399"/>
      <x:c r="AI90" s="399"/>
      <x:c r="AJ90" s="399"/>
      <x:c r="AK90" s="399"/>
      <x:c r="AL90" s="399"/>
      <x:c r="AM90" s="399"/>
      <x:c r="AN90" s="399"/>
    </x:row>
    <x:row r="91">
      <x:c r="A91" s="399"/>
      <x:c r="B91" s="399"/>
      <x:c r="C91" s="399"/>
      <x:c r="D91" s="399"/>
      <x:c r="E91" s="399"/>
      <x:c r="F91" s="399"/>
      <x:c r="G91" s="399"/>
      <x:c r="H91" s="399"/>
      <x:c r="I91" s="399"/>
      <x:c r="J91" s="399"/>
      <x:c r="K91" s="399"/>
      <x:c r="L91" s="399"/>
      <x:c r="M91" s="399"/>
      <x:c r="N91" s="399"/>
      <x:c r="O91" s="399"/>
      <x:c r="P91" s="399"/>
      <x:c r="Q91" s="399"/>
      <x:c r="R91" s="399"/>
      <x:c r="S91" s="399"/>
      <x:c r="T91" s="399"/>
      <x:c r="U91" s="399"/>
      <x:c r="V91" s="399"/>
      <x:c r="W91" s="399"/>
      <x:c r="X91" s="399"/>
      <x:c r="Y91" s="399"/>
      <x:c r="Z91" s="399"/>
      <x:c r="AA91" s="399"/>
      <x:c r="AB91" s="399"/>
      <x:c r="AC91" s="399"/>
      <x:c r="AD91" s="399"/>
      <x:c r="AE91" s="399"/>
      <x:c r="AF91" s="399"/>
      <x:c r="AG91" s="399"/>
      <x:c r="AH91" s="399"/>
      <x:c r="AI91" s="399"/>
      <x:c r="AJ91" s="399"/>
      <x:c r="AK91" s="399"/>
      <x:c r="AL91" s="399"/>
      <x:c r="AM91" s="399"/>
      <x:c r="AN91" s="399"/>
    </x:row>
    <x:row r="92">
      <x:c r="A92" s="399"/>
      <x:c r="B92" s="399"/>
      <x:c r="C92" s="399"/>
      <x:c r="D92" s="399"/>
      <x:c r="E92" s="399"/>
      <x:c r="F92" s="399"/>
      <x:c r="G92" s="399"/>
      <x:c r="H92" s="399"/>
      <x:c r="I92" s="399"/>
      <x:c r="J92" s="399"/>
      <x:c r="K92" s="399"/>
      <x:c r="L92" s="399"/>
      <x:c r="M92" s="399"/>
      <x:c r="N92" s="399"/>
      <x:c r="O92" s="399"/>
      <x:c r="P92" s="399"/>
      <x:c r="Q92" s="399"/>
      <x:c r="R92" s="399"/>
      <x:c r="S92" s="399"/>
      <x:c r="T92" s="399"/>
      <x:c r="U92" s="399"/>
      <x:c r="V92" s="399"/>
      <x:c r="W92" s="399"/>
      <x:c r="X92" s="399"/>
      <x:c r="Y92" s="399"/>
      <x:c r="Z92" s="399"/>
      <x:c r="AA92" s="399"/>
      <x:c r="AB92" s="399"/>
      <x:c r="AC92" s="399"/>
      <x:c r="AD92" s="399"/>
      <x:c r="AE92" s="399"/>
      <x:c r="AF92" s="399"/>
      <x:c r="AG92" s="399"/>
      <x:c r="AH92" s="399"/>
      <x:c r="AI92" s="399"/>
      <x:c r="AJ92" s="399"/>
      <x:c r="AK92" s="399"/>
      <x:c r="AL92" s="399"/>
      <x:c r="AM92" s="399"/>
      <x:c r="AN92" s="399"/>
    </x:row>
    <x:row r="93">
      <x:c r="A93" s="399"/>
      <x:c r="B93" s="399"/>
      <x:c r="C93" s="399"/>
      <x:c r="D93" s="399"/>
      <x:c r="E93" s="399"/>
      <x:c r="F93" s="399"/>
      <x:c r="G93" s="399"/>
      <x:c r="H93" s="399"/>
      <x:c r="I93" s="399"/>
      <x:c r="J93" s="399"/>
      <x:c r="K93" s="399"/>
      <x:c r="L93" s="399"/>
      <x:c r="M93" s="399"/>
      <x:c r="N93" s="399"/>
      <x:c r="O93" s="399"/>
      <x:c r="P93" s="399"/>
      <x:c r="Q93" s="399"/>
      <x:c r="R93" s="399"/>
      <x:c r="S93" s="399"/>
      <x:c r="T93" s="399"/>
      <x:c r="U93" s="399"/>
      <x:c r="V93" s="399"/>
      <x:c r="W93" s="399"/>
      <x:c r="X93" s="399"/>
      <x:c r="Y93" s="399"/>
      <x:c r="Z93" s="399"/>
      <x:c r="AA93" s="399"/>
      <x:c r="AB93" s="399"/>
      <x:c r="AC93" s="399"/>
      <x:c r="AD93" s="399"/>
      <x:c r="AE93" s="399"/>
      <x:c r="AF93" s="399"/>
      <x:c r="AG93" s="399"/>
      <x:c r="AH93" s="399"/>
      <x:c r="AI93" s="399"/>
      <x:c r="AJ93" s="399"/>
      <x:c r="AK93" s="399"/>
      <x:c r="AL93" s="399"/>
      <x:c r="AM93" s="399"/>
      <x:c r="AN93" s="399"/>
    </x:row>
    <x:row r="94">
      <x:c r="A94" s="399"/>
      <x:c r="B94" s="399"/>
      <x:c r="C94" s="399"/>
      <x:c r="D94" s="399"/>
      <x:c r="E94" s="399"/>
      <x:c r="F94" s="399"/>
      <x:c r="G94" s="399"/>
      <x:c r="H94" s="399"/>
      <x:c r="I94" s="399"/>
      <x:c r="J94" s="399"/>
      <x:c r="K94" s="399"/>
      <x:c r="L94" s="399"/>
      <x:c r="M94" s="399"/>
      <x:c r="N94" s="399"/>
      <x:c r="O94" s="399"/>
      <x:c r="P94" s="399"/>
      <x:c r="Q94" s="399"/>
      <x:c r="R94" s="399"/>
      <x:c r="S94" s="399"/>
      <x:c r="T94" s="399"/>
      <x:c r="U94" s="399"/>
      <x:c r="V94" s="399"/>
      <x:c r="W94" s="399"/>
      <x:c r="X94" s="399"/>
      <x:c r="Y94" s="399"/>
      <x:c r="Z94" s="399"/>
      <x:c r="AA94" s="399"/>
      <x:c r="AB94" s="399"/>
      <x:c r="AC94" s="399"/>
      <x:c r="AD94" s="399"/>
      <x:c r="AE94" s="399"/>
      <x:c r="AF94" s="399"/>
      <x:c r="AG94" s="399"/>
      <x:c r="AH94" s="399"/>
      <x:c r="AI94" s="399"/>
      <x:c r="AJ94" s="399"/>
      <x:c r="AK94" s="399"/>
      <x:c r="AL94" s="399"/>
      <x:c r="AM94" s="399"/>
      <x:c r="AN94" s="399"/>
    </x:row>
    <x:row r="95">
      <x:c r="A95" s="399"/>
      <x:c r="B95" s="399"/>
      <x:c r="C95" s="399"/>
      <x:c r="D95" s="399"/>
      <x:c r="E95" s="399"/>
      <x:c r="F95" s="399"/>
      <x:c r="G95" s="399"/>
      <x:c r="H95" s="399"/>
      <x:c r="I95" s="399"/>
      <x:c r="J95" s="399"/>
      <x:c r="K95" s="399"/>
      <x:c r="L95" s="399"/>
      <x:c r="M95" s="399"/>
      <x:c r="N95" s="399"/>
      <x:c r="O95" s="399"/>
      <x:c r="P95" s="399"/>
      <x:c r="Q95" s="399"/>
      <x:c r="R95" s="399"/>
      <x:c r="S95" s="399"/>
      <x:c r="T95" s="399"/>
      <x:c r="U95" s="399"/>
      <x:c r="V95" s="399"/>
      <x:c r="W95" s="399"/>
      <x:c r="X95" s="399"/>
      <x:c r="Y95" s="399"/>
      <x:c r="Z95" s="399"/>
      <x:c r="AA95" s="399"/>
      <x:c r="AB95" s="399"/>
      <x:c r="AC95" s="399"/>
      <x:c r="AD95" s="399"/>
      <x:c r="AE95" s="399"/>
      <x:c r="AF95" s="399"/>
      <x:c r="AG95" s="399"/>
      <x:c r="AH95" s="399"/>
      <x:c r="AI95" s="399"/>
      <x:c r="AJ95" s="399"/>
      <x:c r="AK95" s="399"/>
      <x:c r="AL95" s="399"/>
      <x:c r="AM95" s="399"/>
      <x:c r="AN95" s="399"/>
    </x:row>
    <x:row r="96">
      <x:c r="A96" s="399"/>
      <x:c r="B96" s="399"/>
      <x:c r="C96" s="399"/>
      <x:c r="D96" s="399"/>
      <x:c r="E96" s="399"/>
      <x:c r="F96" s="399"/>
      <x:c r="G96" s="399"/>
      <x:c r="H96" s="399"/>
      <x:c r="I96" s="399"/>
      <x:c r="J96" s="399"/>
      <x:c r="K96" s="399"/>
      <x:c r="L96" s="399"/>
      <x:c r="M96" s="399"/>
      <x:c r="N96" s="399"/>
      <x:c r="O96" s="399"/>
      <x:c r="P96" s="399"/>
      <x:c r="Q96" s="399"/>
      <x:c r="R96" s="399"/>
      <x:c r="S96" s="399"/>
      <x:c r="T96" s="399"/>
      <x:c r="U96" s="399"/>
      <x:c r="V96" s="399"/>
      <x:c r="W96" s="399"/>
      <x:c r="X96" s="399"/>
      <x:c r="Y96" s="399"/>
      <x:c r="Z96" s="399"/>
      <x:c r="AA96" s="399"/>
      <x:c r="AB96" s="399"/>
      <x:c r="AC96" s="399"/>
      <x:c r="AD96" s="399"/>
      <x:c r="AE96" s="399"/>
      <x:c r="AF96" s="399"/>
      <x:c r="AG96" s="399"/>
      <x:c r="AH96" s="399"/>
      <x:c r="AI96" s="399"/>
      <x:c r="AJ96" s="399"/>
      <x:c r="AK96" s="399"/>
      <x:c r="AL96" s="399"/>
      <x:c r="AM96" s="399"/>
      <x:c r="AN96" s="399"/>
    </x:row>
    <x:row r="97">
      <x:c r="A97" s="399"/>
      <x:c r="B97" s="399"/>
      <x:c r="C97" s="399"/>
      <x:c r="D97" s="399"/>
      <x:c r="E97" s="399"/>
      <x:c r="F97" s="399"/>
      <x:c r="G97" s="399"/>
      <x:c r="H97" s="399"/>
      <x:c r="I97" s="399"/>
      <x:c r="J97" s="399"/>
      <x:c r="K97" s="399"/>
      <x:c r="L97" s="399"/>
      <x:c r="M97" s="399"/>
      <x:c r="N97" s="399"/>
      <x:c r="O97" s="399"/>
      <x:c r="P97" s="399"/>
      <x:c r="Q97" s="399"/>
      <x:c r="R97" s="399"/>
      <x:c r="S97" s="399"/>
      <x:c r="T97" s="399"/>
      <x:c r="U97" s="399"/>
      <x:c r="V97" s="399"/>
      <x:c r="W97" s="399"/>
      <x:c r="X97" s="399"/>
      <x:c r="Y97" s="399"/>
      <x:c r="Z97" s="399"/>
      <x:c r="AA97" s="399"/>
      <x:c r="AB97" s="399"/>
      <x:c r="AC97" s="399"/>
      <x:c r="AD97" s="399"/>
      <x:c r="AE97" s="399"/>
      <x:c r="AF97" s="399"/>
      <x:c r="AG97" s="399"/>
      <x:c r="AH97" s="399"/>
      <x:c r="AI97" s="399"/>
      <x:c r="AJ97" s="399"/>
      <x:c r="AK97" s="399"/>
      <x:c r="AL97" s="399"/>
      <x:c r="AM97" s="399"/>
      <x:c r="AN97" s="399"/>
    </x:row>
    <x:row r="98">
      <x:c r="A98" s="399"/>
      <x:c r="B98" s="399"/>
      <x:c r="C98" s="399"/>
      <x:c r="D98" s="399"/>
      <x:c r="E98" s="399"/>
      <x:c r="F98" s="399"/>
      <x:c r="G98" s="399"/>
      <x:c r="H98" s="399"/>
      <x:c r="I98" s="399"/>
      <x:c r="J98" s="399"/>
      <x:c r="K98" s="399"/>
      <x:c r="L98" s="399"/>
      <x:c r="M98" s="399"/>
      <x:c r="N98" s="399"/>
      <x:c r="O98" s="399"/>
      <x:c r="P98" s="399"/>
      <x:c r="Q98" s="399"/>
      <x:c r="R98" s="399"/>
      <x:c r="S98" s="399"/>
      <x:c r="T98" s="399"/>
      <x:c r="U98" s="399"/>
      <x:c r="V98" s="399"/>
      <x:c r="W98" s="399"/>
      <x:c r="X98" s="399"/>
      <x:c r="Y98" s="399"/>
      <x:c r="Z98" s="399"/>
      <x:c r="AA98" s="399"/>
      <x:c r="AB98" s="399"/>
      <x:c r="AC98" s="399"/>
      <x:c r="AD98" s="399"/>
      <x:c r="AE98" s="399"/>
      <x:c r="AF98" s="399"/>
      <x:c r="AG98" s="399"/>
      <x:c r="AH98" s="399"/>
      <x:c r="AI98" s="399"/>
      <x:c r="AJ98" s="399"/>
      <x:c r="AK98" s="399"/>
      <x:c r="AL98" s="399"/>
      <x:c r="AM98" s="399"/>
      <x:c r="AN98" s="399"/>
    </x:row>
    <x:row r="99">
      <x:c r="A99" s="399"/>
      <x:c r="B99" s="399"/>
      <x:c r="C99" s="399"/>
      <x:c r="D99" s="399"/>
      <x:c r="E99" s="399"/>
      <x:c r="F99" s="399"/>
      <x:c r="G99" s="399"/>
      <x:c r="H99" s="399"/>
      <x:c r="I99" s="399"/>
      <x:c r="J99" s="399"/>
      <x:c r="K99" s="399"/>
      <x:c r="L99" s="399"/>
      <x:c r="M99" s="399"/>
      <x:c r="N99" s="399"/>
      <x:c r="O99" s="399"/>
      <x:c r="P99" s="399"/>
      <x:c r="Q99" s="399"/>
      <x:c r="R99" s="399"/>
      <x:c r="S99" s="399"/>
      <x:c r="T99" s="399"/>
      <x:c r="U99" s="399"/>
      <x:c r="V99" s="399"/>
      <x:c r="W99" s="399"/>
      <x:c r="X99" s="399"/>
      <x:c r="Y99" s="399"/>
      <x:c r="Z99" s="399"/>
      <x:c r="AA99" s="399"/>
      <x:c r="AB99" s="399"/>
      <x:c r="AC99" s="399"/>
      <x:c r="AD99" s="399"/>
      <x:c r="AE99" s="399"/>
      <x:c r="AF99" s="399"/>
      <x:c r="AG99" s="399"/>
      <x:c r="AH99" s="399"/>
      <x:c r="AI99" s="399"/>
      <x:c r="AJ99" s="399"/>
      <x:c r="AK99" s="399"/>
      <x:c r="AL99" s="399"/>
      <x:c r="AM99" s="399"/>
      <x:c r="AN99" s="399"/>
    </x:row>
    <x:row r="100">
      <x:c r="A100" s="399"/>
      <x:c r="B100" s="399"/>
      <x:c r="C100" s="399"/>
      <x:c r="D100" s="399"/>
      <x:c r="E100" s="399"/>
      <x:c r="F100" s="399"/>
      <x:c r="G100" s="399"/>
      <x:c r="H100" s="399"/>
      <x:c r="I100" s="399"/>
      <x:c r="J100" s="399"/>
      <x:c r="K100" s="399"/>
      <x:c r="L100" s="399"/>
      <x:c r="M100" s="399"/>
      <x:c r="N100" s="399"/>
      <x:c r="O100" s="399"/>
      <x:c r="P100" s="399"/>
      <x:c r="Q100" s="399"/>
      <x:c r="R100" s="399"/>
      <x:c r="S100" s="399"/>
      <x:c r="T100" s="399"/>
      <x:c r="U100" s="399"/>
      <x:c r="V100" s="399"/>
      <x:c r="W100" s="399"/>
      <x:c r="X100" s="399"/>
      <x:c r="Y100" s="399"/>
      <x:c r="Z100" s="399"/>
      <x:c r="AA100" s="399"/>
      <x:c r="AB100" s="399"/>
      <x:c r="AC100" s="399"/>
      <x:c r="AD100" s="399"/>
      <x:c r="AE100" s="399"/>
      <x:c r="AF100" s="399"/>
      <x:c r="AG100" s="399"/>
      <x:c r="AH100" s="399"/>
      <x:c r="AI100" s="399"/>
      <x:c r="AJ100" s="399"/>
      <x:c r="AK100" s="399"/>
      <x:c r="AL100" s="399"/>
      <x:c r="AM100" s="399"/>
      <x:c r="AN100" s="399"/>
    </x:row>
  </x:sheetData>
  <x:mergeCells>
    <x:mergeCell ref="B1:AL1"/>
    <x:mergeCell ref="B2:AL2"/>
    <x:mergeCell ref="D4:K4"/>
    <x:mergeCell ref="D5:K5"/>
    <x:mergeCell ref="D6:K6"/>
    <x:mergeCell ref="D7:K7"/>
    <x:mergeCell ref="D8:K8"/>
    <x:mergeCell ref="D9:K9"/>
    <x:mergeCell ref="D10:K10"/>
    <x:mergeCell ref="D11:K11"/>
    <x:mergeCell ref="D12:K12"/>
    <x:mergeCell ref="D13:K13"/>
    <x:mergeCell ref="D14:K14"/>
    <x:mergeCell ref="D15:K15"/>
    <x:mergeCell ref="D16:K16"/>
    <x:mergeCell ref="D17:K17"/>
    <x:mergeCell ref="D18:K18"/>
    <x:mergeCell ref="D19:K19"/>
    <x:mergeCell ref="D20:K20"/>
    <x:mergeCell ref="D21:K21"/>
    <x:mergeCell ref="D22:K22"/>
    <x:mergeCell ref="D23:K23"/>
    <x:mergeCell ref="D24:K24"/>
    <x:mergeCell ref="D25:K25"/>
    <x:mergeCell ref="M4:Q4"/>
    <x:mergeCell ref="M6:O6"/>
    <x:mergeCell ref="P6:Q6"/>
    <x:mergeCell ref="M7:O7"/>
    <x:mergeCell ref="P7:Q7"/>
    <x:mergeCell ref="M8:O8"/>
    <x:mergeCell ref="P8:Q8"/>
    <x:mergeCell ref="M9:O9"/>
    <x:mergeCell ref="P9:Q9"/>
    <x:mergeCell ref="M10:O10"/>
    <x:mergeCell ref="P10:Q10"/>
    <x:mergeCell ref="M11:O11"/>
    <x:mergeCell ref="P11:Q11"/>
    <x:mergeCell ref="M12:O12"/>
    <x:mergeCell ref="P12:Q12"/>
    <x:mergeCell ref="M13:O13"/>
    <x:mergeCell ref="P13:Q13"/>
    <x:mergeCell ref="M14:O14"/>
    <x:mergeCell ref="P14:Q14"/>
    <x:mergeCell ref="M15:O15"/>
    <x:mergeCell ref="P15:Q15"/>
    <x:mergeCell ref="M16:O16"/>
    <x:mergeCell ref="P16:Q16"/>
    <x:mergeCell ref="M17:O17"/>
    <x:mergeCell ref="P17:Q17"/>
    <x:mergeCell ref="M19:Q25"/>
    <x:mergeCell ref="B26:AL26"/>
    <x:mergeCell ref="B74:AL74"/>
    <x:mergeCell ref="B75:AL75"/>
    <x:mergeCell ref="B76:AL76"/>
  </x:mergeCells>
  <x:conditionalFormatting sqref="C63:AL63">
    <x:cfRule type="cellIs" dxfId="6" priority="1" operator="lessThan">
      <x:formula>0</x:formula>
    </x:cfRule>
  </x:conditionalFormatting>
  <x:conditionalFormatting sqref="E62:E62">
    <x:cfRule type="cellIs" dxfId="7" priority="2" operator="greaterThan">
      <x:formula>0.01</x:formula>
    </x:cfRule>
  </x:conditionalFormatting>
  <x:dataValidations count="4">
    <x:dataValidation type="whole" operator="between" sqref="C4">
      <x:formula1>1</x:formula1>
      <x:formula2>6</x:formula2>
    </x:dataValidation>
    <x:dataValidation type="whole" operator="between" sqref="C19:C21">
      <x:formula1>0</x:formula1>
      <x:formula2>1</x:formula2>
    </x:dataValidation>
    <x:dataValidation type="whole" operator="between" sqref="C23:C25">
      <x:formula1>0</x:formula1>
      <x:formula2>1</x:formula2>
    </x:dataValidation>
    <x:dataValidation type="whole" operator="between" sqref="C18">
      <x:formula1>1</x:formula1>
      <x:formula2>36</x:formula2>
    </x:dataValidation>
  </x:dataValidations>
  <x:pageMargins left="0.7" right="0.7" top="0.75" bottom="0.75" header="0.3" footer="0.3"/>
</x:worksheet>
</file>

<file path=xl/worksheets/sheet8.xml><?xml version="1.0" encoding="utf-8"?>
<x:worksheet xmlns:x="http://schemas.openxmlformats.org/spreadsheetml/2006/main">
  <x:sheetPr>
    <x:tabColor rgb="FF087F8C"/>
  </x:sheetPr>
  <x:sheetViews>
    <x:sheetView showGridLines="0" workbookViewId="0">
      <x:pane xSplit="2" ySplit="4" topLeftCell="C5" activePane="bottomRight" state="frozen"/>
    </x:sheetView>
  </x:sheetViews>
  <x:sheetFormatPr defaultRowHeight="15"/>
  <x:cols>
    <x:col min="1" max="1" width="2" hidden="0" customWidth="1"/>
    <x:col min="2" max="2" width="4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s>
  <x:sheetData>
    <x:row r="1" ht="30" customHeight="1">
      <x:c r="A1" s="399"/>
      <x:c r="B1" s="402" t="str">
        <x:v>ВХІДНІ ДАНІ • прогноз заявниці, не підтверджений договорами</x:v>
      </x:c>
      <x:c r="C1" s="402"/>
      <x:c r="D1" s="402"/>
      <x:c r="E1" s="402"/>
      <x:c r="F1" s="402"/>
      <x:c r="G1" s="402"/>
      <x:c r="H1" s="402"/>
      <x:c r="I1" s="402"/>
      <x:c r="J1" s="402"/>
      <x:c r="K1" s="402"/>
      <x:c r="L1" s="402"/>
      <x:c r="M1" s="402"/>
      <x:c r="N1" s="402"/>
      <x:c r="O1" s="402"/>
      <x:c r="P1" s="402"/>
      <x:c r="Q1" s="402"/>
      <x:c r="R1" s="402"/>
      <x:c r="S1" s="402"/>
      <x:c r="T1" s="402"/>
      <x:c r="U1" s="402"/>
      <x:c r="V1" s="402"/>
      <x:c r="W1" s="402"/>
      <x:c r="X1" s="402"/>
      <x:c r="Y1" s="402"/>
      <x:c r="Z1" s="402"/>
      <x:c r="AA1" s="402"/>
      <x:c r="AB1" s="402"/>
      <x:c r="AC1" s="402"/>
      <x:c r="AD1" s="402"/>
      <x:c r="AE1" s="402"/>
      <x:c r="AF1" s="402"/>
      <x:c r="AG1" s="402"/>
      <x:c r="AH1" s="402"/>
      <x:c r="AI1" s="402"/>
      <x:c r="AJ1" s="402"/>
      <x:c r="AK1" s="402"/>
      <x:c r="AL1" s="402"/>
      <x:c r="AM1" s="399"/>
      <x:c r="AN1" s="399"/>
    </x:row>
    <x:row r="2" ht="34" customHeight="1">
      <x:c r="A2" s="399"/>
      <x:c r="B2" s="405" t="str">
        <x:v>Сині числа — припущення. Нулі в додаткових витратах означають прогалини бюджету, а не підтверджену відсутність витрат. Валюта: гривня.</x:v>
      </x:c>
      <x:c r="C2" s="405"/>
      <x:c r="D2" s="405"/>
      <x:c r="E2" s="405"/>
      <x:c r="F2" s="405"/>
      <x:c r="G2" s="405"/>
      <x:c r="H2" s="405"/>
      <x:c r="I2" s="405"/>
      <x:c r="J2" s="405"/>
      <x:c r="K2" s="405"/>
      <x:c r="L2" s="405"/>
      <x:c r="M2" s="405"/>
      <x:c r="N2" s="405"/>
      <x:c r="O2" s="405"/>
      <x:c r="P2" s="405"/>
      <x:c r="Q2" s="405"/>
      <x:c r="R2" s="405"/>
      <x:c r="S2" s="405"/>
      <x:c r="T2" s="405"/>
      <x:c r="U2" s="405"/>
      <x:c r="V2" s="405"/>
      <x:c r="W2" s="405"/>
      <x:c r="X2" s="405"/>
      <x:c r="Y2" s="405"/>
      <x:c r="Z2" s="405"/>
      <x:c r="AA2" s="405"/>
      <x:c r="AB2" s="405"/>
      <x:c r="AC2" s="405"/>
      <x:c r="AD2" s="405"/>
      <x:c r="AE2" s="405"/>
      <x:c r="AF2" s="405"/>
      <x:c r="AG2" s="405"/>
      <x:c r="AH2" s="405"/>
      <x:c r="AI2" s="405"/>
      <x:c r="AJ2" s="405"/>
      <x:c r="AK2" s="405"/>
      <x:c r="AL2" s="405"/>
      <x:c r="AM2" s="399"/>
      <x:c r="AN2" s="399"/>
    </x:row>
    <x:row r="3">
      <x:c r="A3" s="399"/>
      <x:c r="B3" s="399"/>
      <x:c r="C3" s="399"/>
      <x:c r="D3" s="399"/>
      <x:c r="E3" s="399"/>
      <x:c r="F3" s="399"/>
      <x:c r="G3" s="399"/>
      <x:c r="H3" s="399"/>
      <x:c r="I3" s="399"/>
      <x:c r="J3" s="399"/>
      <x:c r="K3" s="399"/>
      <x:c r="L3" s="399"/>
      <x:c r="M3" s="399"/>
      <x:c r="N3" s="399"/>
      <x:c r="O3" s="399"/>
      <x:c r="P3" s="399"/>
      <x:c r="Q3" s="399"/>
      <x:c r="R3" s="399"/>
      <x:c r="S3" s="399"/>
      <x:c r="T3" s="399"/>
      <x:c r="U3" s="399"/>
      <x:c r="V3" s="399"/>
      <x:c r="W3" s="399"/>
      <x:c r="X3" s="399"/>
      <x:c r="Y3" s="399"/>
      <x:c r="Z3" s="399"/>
      <x:c r="AA3" s="399"/>
      <x:c r="AB3" s="399"/>
      <x:c r="AC3" s="399"/>
      <x:c r="AD3" s="399"/>
      <x:c r="AE3" s="399"/>
      <x:c r="AF3" s="399"/>
      <x:c r="AG3" s="399"/>
      <x:c r="AH3" s="399"/>
      <x:c r="AI3" s="399"/>
      <x:c r="AJ3" s="399"/>
      <x:c r="AK3" s="399"/>
      <x:c r="AL3" s="399"/>
      <x:c r="AM3" s="399"/>
      <x:c r="AN3" s="399"/>
    </x:row>
    <x:row r="4">
      <x:c r="A4" s="399"/>
      <x:c r="B4" s="409" t="str">
        <x:v>Відносний місяць</x:v>
      </x:c>
      <x:c r="C4" s="409" t="n">
        <x:v>1</x:v>
      </x:c>
      <x:c r="D4" s="409" t="n">
        <x:v>2</x:v>
      </x:c>
      <x:c r="E4" s="409" t="n">
        <x:v>3</x:v>
      </x:c>
      <x:c r="F4" s="409" t="n">
        <x:v>4</x:v>
      </x:c>
      <x:c r="G4" s="409" t="n">
        <x:v>5</x:v>
      </x:c>
      <x:c r="H4" s="409" t="n">
        <x:v>6</x:v>
      </x:c>
      <x:c r="I4" s="409" t="n">
        <x:v>7</x:v>
      </x:c>
      <x:c r="J4" s="409" t="n">
        <x:v>8</x:v>
      </x:c>
      <x:c r="K4" s="409" t="n">
        <x:v>9</x:v>
      </x:c>
      <x:c r="L4" s="409" t="n">
        <x:v>10</x:v>
      </x:c>
      <x:c r="M4" s="409" t="n">
        <x:v>11</x:v>
      </x:c>
      <x:c r="N4" s="409" t="n">
        <x:v>12</x:v>
      </x:c>
      <x:c r="O4" s="409" t="n">
        <x:v>13</x:v>
      </x:c>
      <x:c r="P4" s="409" t="n">
        <x:v>14</x:v>
      </x:c>
      <x:c r="Q4" s="409" t="n">
        <x:v>15</x:v>
      </x:c>
      <x:c r="R4" s="409" t="n">
        <x:v>16</x:v>
      </x:c>
      <x:c r="S4" s="409" t="n">
        <x:v>17</x:v>
      </x:c>
      <x:c r="T4" s="409" t="n">
        <x:v>18</x:v>
      </x:c>
      <x:c r="U4" s="409" t="n">
        <x:v>19</x:v>
      </x:c>
      <x:c r="V4" s="409" t="n">
        <x:v>20</x:v>
      </x:c>
      <x:c r="W4" s="409" t="n">
        <x:v>21</x:v>
      </x:c>
      <x:c r="X4" s="409" t="n">
        <x:v>22</x:v>
      </x:c>
      <x:c r="Y4" s="409" t="n">
        <x:v>23</x:v>
      </x:c>
      <x:c r="Z4" s="409" t="n">
        <x:v>24</x:v>
      </x:c>
      <x:c r="AA4" s="409" t="n">
        <x:v>25</x:v>
      </x:c>
      <x:c r="AB4" s="409" t="n">
        <x:v>26</x:v>
      </x:c>
      <x:c r="AC4" s="409" t="n">
        <x:v>27</x:v>
      </x:c>
      <x:c r="AD4" s="409" t="n">
        <x:v>28</x:v>
      </x:c>
      <x:c r="AE4" s="409" t="n">
        <x:v>29</x:v>
      </x:c>
      <x:c r="AF4" s="409" t="n">
        <x:v>30</x:v>
      </x:c>
      <x:c r="AG4" s="409" t="n">
        <x:v>31</x:v>
      </x:c>
      <x:c r="AH4" s="409" t="n">
        <x:v>32</x:v>
      </x:c>
      <x:c r="AI4" s="409" t="n">
        <x:v>33</x:v>
      </x:c>
      <x:c r="AJ4" s="409" t="n">
        <x:v>34</x:v>
      </x:c>
      <x:c r="AK4" s="409" t="n">
        <x:v>35</x:v>
      </x:c>
      <x:c r="AL4" s="409" t="n">
        <x:v>36</x:v>
      </x:c>
      <x:c r="AM4" s="399"/>
      <x:c r="AN4" s="399"/>
    </x:row>
    <x:row r="5">
      <x:c r="A5" s="399"/>
      <x:c r="B5" s="399" t="str">
        <x:v>Консалтинг — виручка за послугами</x:v>
      </x:c>
      <x:c r="C5" s="407" t="n">
        <x:v>150000</x:v>
      </x:c>
      <x:c r="D5" s="407" t="n">
        <x:v>150000</x:v>
      </x:c>
      <x:c r="E5" s="407" t="n">
        <x:v>150000</x:v>
      </x:c>
      <x:c r="F5" s="407" t="n">
        <x:v>200000</x:v>
      </x:c>
      <x:c r="G5" s="407" t="n">
        <x:v>200000</x:v>
      </x:c>
      <x:c r="H5" s="407" t="n">
        <x:v>200000</x:v>
      </x:c>
      <x:c r="I5" s="407" t="n">
        <x:v>200000</x:v>
      </x:c>
      <x:c r="J5" s="407" t="n">
        <x:v>200000</x:v>
      </x:c>
      <x:c r="K5" s="407" t="n">
        <x:v>200000</x:v>
      </x:c>
      <x:c r="L5" s="407" t="n">
        <x:v>200000</x:v>
      </x:c>
      <x:c r="M5" s="407" t="n">
        <x:v>280000</x:v>
      </x:c>
      <x:c r="N5" s="407" t="n">
        <x:v>280000</x:v>
      </x:c>
      <x:c r="O5" s="407" t="n">
        <x:v>280000</x:v>
      </x:c>
      <x:c r="P5" s="407" t="n">
        <x:v>300000</x:v>
      </x:c>
      <x:c r="Q5" s="407" t="n">
        <x:v>300000</x:v>
      </x:c>
      <x:c r="R5" s="407" t="n">
        <x:v>300000</x:v>
      </x:c>
      <x:c r="S5" s="407" t="n">
        <x:v>350000</x:v>
      </x:c>
      <x:c r="T5" s="407" t="n">
        <x:v>350000</x:v>
      </x:c>
      <x:c r="U5" s="407" t="n">
        <x:v>350000</x:v>
      </x:c>
      <x:c r="V5" s="407" t="n">
        <x:v>350000</x:v>
      </x:c>
      <x:c r="W5" s="407" t="n">
        <x:v>400000</x:v>
      </x:c>
      <x:c r="X5" s="407" t="n">
        <x:v>420000</x:v>
      </x:c>
      <x:c r="Y5" s="407" t="n">
        <x:v>420000</x:v>
      </x:c>
      <x:c r="Z5" s="407" t="n">
        <x:v>450000</x:v>
      </x:c>
      <x:c r="AA5" s="407" t="n">
        <x:v>450000</x:v>
      </x:c>
      <x:c r="AB5" s="407" t="n">
        <x:v>450000</x:v>
      </x:c>
      <x:c r="AC5" s="407" t="n">
        <x:v>450000</x:v>
      </x:c>
      <x:c r="AD5" s="407" t="n">
        <x:v>450000</x:v>
      </x:c>
      <x:c r="AE5" s="407" t="n">
        <x:v>450000</x:v>
      </x:c>
      <x:c r="AF5" s="407" t="n">
        <x:v>450000</x:v>
      </x:c>
      <x:c r="AG5" s="407" t="n">
        <x:v>450000</x:v>
      </x:c>
      <x:c r="AH5" s="407" t="n">
        <x:v>450000</x:v>
      </x:c>
      <x:c r="AI5" s="407" t="n">
        <x:v>450000</x:v>
      </x:c>
      <x:c r="AJ5" s="407" t="n">
        <x:v>450000</x:v>
      </x:c>
      <x:c r="AK5" s="407" t="n">
        <x:v>450000</x:v>
      </x:c>
      <x:c r="AL5" s="407" t="n">
        <x:v>450000</x:v>
      </x:c>
      <x:c r="AM5" s="399"/>
      <x:c r="AN5" s="399"/>
    </x:row>
    <x:row r="6">
      <x:c r="A6" s="399"/>
      <x:c r="B6" s="399" t="str">
        <x:v>Юридичні послуги — умовна виручка</x:v>
      </x:c>
      <x:c r="C6" s="407" t="n">
        <x:v>50000</x:v>
      </x:c>
      <x:c r="D6" s="407" t="n">
        <x:v>50000</x:v>
      </x:c>
      <x:c r="E6" s="407" t="n">
        <x:v>50000</x:v>
      </x:c>
      <x:c r="F6" s="407" t="n">
        <x:v>80000</x:v>
      </x:c>
      <x:c r="G6" s="407" t="n">
        <x:v>80000</x:v>
      </x:c>
      <x:c r="H6" s="407" t="n">
        <x:v>100000</x:v>
      </x:c>
      <x:c r="I6" s="407" t="n">
        <x:v>100000</x:v>
      </x:c>
      <x:c r="J6" s="407" t="n">
        <x:v>150000</x:v>
      </x:c>
      <x:c r="K6" s="407" t="n">
        <x:v>180000</x:v>
      </x:c>
      <x:c r="L6" s="407" t="n">
        <x:v>180000</x:v>
      </x:c>
      <x:c r="M6" s="407" t="n">
        <x:v>200000</x:v>
      </x:c>
      <x:c r="N6" s="407" t="n">
        <x:v>200000</x:v>
      </x:c>
      <x:c r="O6" s="407" t="n">
        <x:v>200000</x:v>
      </x:c>
      <x:c r="P6" s="407" t="n">
        <x:v>250000</x:v>
      </x:c>
      <x:c r="Q6" s="407" t="n">
        <x:v>250000</x:v>
      </x:c>
      <x:c r="R6" s="407" t="n">
        <x:v>250000</x:v>
      </x:c>
      <x:c r="S6" s="407" t="n">
        <x:v>250000</x:v>
      </x:c>
      <x:c r="T6" s="407" t="n">
        <x:v>250000</x:v>
      </x:c>
      <x:c r="U6" s="407" t="n">
        <x:v>250000</x:v>
      </x:c>
      <x:c r="V6" s="407" t="n">
        <x:v>280000</x:v>
      </x:c>
      <x:c r="W6" s="407" t="n">
        <x:v>280000</x:v>
      </x:c>
      <x:c r="X6" s="407" t="n">
        <x:v>280000</x:v>
      </x:c>
      <x:c r="Y6" s="407" t="n">
        <x:v>280000</x:v>
      </x:c>
      <x:c r="Z6" s="407" t="n">
        <x:v>300000</x:v>
      </x:c>
      <x:c r="AA6" s="407" t="n">
        <x:v>300000</x:v>
      </x:c>
      <x:c r="AB6" s="407" t="n">
        <x:v>300000</x:v>
      </x:c>
      <x:c r="AC6" s="407" t="n">
        <x:v>300000</x:v>
      </x:c>
      <x:c r="AD6" s="407" t="n">
        <x:v>300000</x:v>
      </x:c>
      <x:c r="AE6" s="407" t="n">
        <x:v>300000</x:v>
      </x:c>
      <x:c r="AF6" s="407" t="n">
        <x:v>300000</x:v>
      </x:c>
      <x:c r="AG6" s="407" t="n">
        <x:v>300000</x:v>
      </x:c>
      <x:c r="AH6" s="407" t="n">
        <x:v>300000</x:v>
      </x:c>
      <x:c r="AI6" s="407" t="n">
        <x:v>300000</x:v>
      </x:c>
      <x:c r="AJ6" s="407" t="n">
        <x:v>300000</x:v>
      </x:c>
      <x:c r="AK6" s="407" t="n">
        <x:v>300000</x:v>
      </x:c>
      <x:c r="AL6" s="407" t="n">
        <x:v>300000</x:v>
      </x:c>
      <x:c r="AM6" s="399"/>
      <x:c r="AN6" s="399"/>
    </x:row>
    <x:row r="7">
      <x:c r="A7" s="399"/>
      <x:c r="B7" s="399" t="str">
        <x:v>Нарахована зарплата 3 працівників</x:v>
      </x:c>
      <x:c r="C7" s="407" t="n">
        <x:v>75000</x:v>
      </x:c>
      <x:c r="D7" s="407" t="n">
        <x:v>75000</x:v>
      </x:c>
      <x:c r="E7" s="407" t="n">
        <x:v>75000</x:v>
      </x:c>
      <x:c r="F7" s="407" t="n">
        <x:v>75000</x:v>
      </x:c>
      <x:c r="G7" s="407" t="n">
        <x:v>75000</x:v>
      </x:c>
      <x:c r="H7" s="407" t="n">
        <x:v>75000</x:v>
      </x:c>
      <x:c r="I7" s="407" t="n">
        <x:v>75000</x:v>
      </x:c>
      <x:c r="J7" s="407" t="n">
        <x:v>75000</x:v>
      </x:c>
      <x:c r="K7" s="407" t="n">
        <x:v>80000</x:v>
      </x:c>
      <x:c r="L7" s="407" t="n">
        <x:v>80000</x:v>
      </x:c>
      <x:c r="M7" s="407" t="n">
        <x:v>80000</x:v>
      </x:c>
      <x:c r="N7" s="407" t="n">
        <x:v>80000</x:v>
      </x:c>
      <x:c r="O7" s="407" t="n">
        <x:v>85000</x:v>
      </x:c>
      <x:c r="P7" s="407" t="n">
        <x:v>85000</x:v>
      </x:c>
      <x:c r="Q7" s="407" t="n">
        <x:v>85000</x:v>
      </x:c>
      <x:c r="R7" s="407" t="n">
        <x:v>85000</x:v>
      </x:c>
      <x:c r="S7" s="407" t="n">
        <x:v>90000</x:v>
      </x:c>
      <x:c r="T7" s="407" t="n">
        <x:v>90000</x:v>
      </x:c>
      <x:c r="U7" s="407" t="n">
        <x:v>90000</x:v>
      </x:c>
      <x:c r="V7" s="407" t="n">
        <x:v>90000</x:v>
      </x:c>
      <x:c r="W7" s="407" t="n">
        <x:v>90000</x:v>
      </x:c>
      <x:c r="X7" s="407" t="n">
        <x:v>100000</x:v>
      </x:c>
      <x:c r="Y7" s="407" t="n">
        <x:v>100000</x:v>
      </x:c>
      <x:c r="Z7" s="407" t="n">
        <x:v>100000</x:v>
      </x:c>
      <x:c r="AA7" s="407" t="n">
        <x:v>100000</x:v>
      </x:c>
      <x:c r="AB7" s="407" t="n">
        <x:v>100000</x:v>
      </x:c>
      <x:c r="AC7" s="407" t="n">
        <x:v>100000</x:v>
      </x:c>
      <x:c r="AD7" s="407" t="n">
        <x:v>105000</x:v>
      </x:c>
      <x:c r="AE7" s="407" t="n">
        <x:v>105000</x:v>
      </x:c>
      <x:c r="AF7" s="407" t="n">
        <x:v>105000</x:v>
      </x:c>
      <x:c r="AG7" s="407" t="n">
        <x:v>105000</x:v>
      </x:c>
      <x:c r="AH7" s="407" t="n">
        <x:v>105000</x:v>
      </x:c>
      <x:c r="AI7" s="407" t="n">
        <x:v>105000</x:v>
      </x:c>
      <x:c r="AJ7" s="407" t="n">
        <x:v>105000</x:v>
      </x:c>
      <x:c r="AK7" s="407" t="n">
        <x:v>110000</x:v>
      </x:c>
      <x:c r="AL7" s="407" t="n">
        <x:v>110000</x:v>
      </x:c>
      <x:c r="AM7" s="399"/>
      <x:c r="AN7" s="399"/>
    </x:row>
    <x:row r="8">
      <x:c r="A8" s="399"/>
      <x:c r="B8" s="399" t="str">
        <x:v>Канцелярія / обслуговування</x:v>
      </x:c>
      <x:c r="C8" s="407" t="n">
        <x:v>1500</x:v>
      </x:c>
      <x:c r="D8" s="407" t="n">
        <x:v>1500</x:v>
      </x:c>
      <x:c r="E8" s="407" t="n">
        <x:v>1500</x:v>
      </x:c>
      <x:c r="F8" s="407" t="n">
        <x:v>2000</x:v>
      </x:c>
      <x:c r="G8" s="407" t="n">
        <x:v>2000</x:v>
      </x:c>
      <x:c r="H8" s="407" t="n">
        <x:v>2000</x:v>
      </x:c>
      <x:c r="I8" s="407" t="n">
        <x:v>2000</x:v>
      </x:c>
      <x:c r="J8" s="407" t="n">
        <x:v>2000</x:v>
      </x:c>
      <x:c r="K8" s="407" t="n">
        <x:v>2500</x:v>
      </x:c>
      <x:c r="L8" s="407" t="n">
        <x:v>2500</x:v>
      </x:c>
      <x:c r="M8" s="407" t="n">
        <x:v>2500</x:v>
      </x:c>
      <x:c r="N8" s="407" t="n">
        <x:v>2500</x:v>
      </x:c>
      <x:c r="O8" s="407" t="n">
        <x:v>2500</x:v>
      </x:c>
      <x:c r="P8" s="407" t="n">
        <x:v>2500</x:v>
      </x:c>
      <x:c r="Q8" s="407" t="n">
        <x:v>3000</x:v>
      </x:c>
      <x:c r="R8" s="407" t="n">
        <x:v>3000</x:v>
      </x:c>
      <x:c r="S8" s="407" t="n">
        <x:v>3000</x:v>
      </x:c>
      <x:c r="T8" s="407" t="n">
        <x:v>3000</x:v>
      </x:c>
      <x:c r="U8" s="407" t="n">
        <x:v>3000</x:v>
      </x:c>
      <x:c r="V8" s="407" t="n">
        <x:v>3000</x:v>
      </x:c>
      <x:c r="W8" s="407" t="n">
        <x:v>3500</x:v>
      </x:c>
      <x:c r="X8" s="407" t="n">
        <x:v>3500</x:v>
      </x:c>
      <x:c r="Y8" s="407" t="n">
        <x:v>3500</x:v>
      </x:c>
      <x:c r="Z8" s="407" t="n">
        <x:v>3500</x:v>
      </x:c>
      <x:c r="AA8" s="407" t="n">
        <x:v>3500</x:v>
      </x:c>
      <x:c r="AB8" s="407" t="n">
        <x:v>3500</x:v>
      </x:c>
      <x:c r="AC8" s="407" t="n">
        <x:v>3500</x:v>
      </x:c>
      <x:c r="AD8" s="407" t="n">
        <x:v>3500</x:v>
      </x:c>
      <x:c r="AE8" s="407" t="n">
        <x:v>3500</x:v>
      </x:c>
      <x:c r="AF8" s="407" t="n">
        <x:v>3500</x:v>
      </x:c>
      <x:c r="AG8" s="407" t="n">
        <x:v>3500</x:v>
      </x:c>
      <x:c r="AH8" s="407" t="n">
        <x:v>3500</x:v>
      </x:c>
      <x:c r="AI8" s="407" t="n">
        <x:v>3500</x:v>
      </x:c>
      <x:c r="AJ8" s="407" t="n">
        <x:v>3500</x:v>
      </x:c>
      <x:c r="AK8" s="407" t="n">
        <x:v>3500</x:v>
      </x:c>
      <x:c r="AL8" s="407" t="n">
        <x:v>3500</x:v>
      </x:c>
      <x:c r="AM8" s="399"/>
      <x:c r="AN8" s="399"/>
    </x:row>
    <x:row r="9">
      <x:c r="A9" s="399"/>
      <x:c r="B9" s="399" t="str">
        <x:v>Банківські послуги</x:v>
      </x:c>
      <x:c r="C9" s="407" t="n">
        <x:v>300</x:v>
      </x:c>
      <x:c r="D9" s="407" t="n">
        <x:v>300</x:v>
      </x:c>
      <x:c r="E9" s="407" t="n">
        <x:v>300</x:v>
      </x:c>
      <x:c r="F9" s="407" t="n">
        <x:v>300</x:v>
      </x:c>
      <x:c r="G9" s="407" t="n">
        <x:v>300</x:v>
      </x:c>
      <x:c r="H9" s="407" t="n">
        <x:v>300</x:v>
      </x:c>
      <x:c r="I9" s="407" t="n">
        <x:v>300</x:v>
      </x:c>
      <x:c r="J9" s="407" t="n">
        <x:v>300</x:v>
      </x:c>
      <x:c r="K9" s="407" t="n">
        <x:v>300</x:v>
      </x:c>
      <x:c r="L9" s="407" t="n">
        <x:v>300</x:v>
      </x:c>
      <x:c r="M9" s="407" t="n">
        <x:v>300</x:v>
      </x:c>
      <x:c r="N9" s="407" t="n">
        <x:v>300</x:v>
      </x:c>
      <x:c r="O9" s="407" t="n">
        <x:v>300</x:v>
      </x:c>
      <x:c r="P9" s="407" t="n">
        <x:v>300</x:v>
      </x:c>
      <x:c r="Q9" s="407" t="n">
        <x:v>300</x:v>
      </x:c>
      <x:c r="R9" s="407" t="n">
        <x:v>300</x:v>
      </x:c>
      <x:c r="S9" s="407" t="n">
        <x:v>300</x:v>
      </x:c>
      <x:c r="T9" s="407" t="n">
        <x:v>300</x:v>
      </x:c>
      <x:c r="U9" s="407" t="n">
        <x:v>300</x:v>
      </x:c>
      <x:c r="V9" s="407" t="n">
        <x:v>300</x:v>
      </x:c>
      <x:c r="W9" s="407" t="n">
        <x:v>300</x:v>
      </x:c>
      <x:c r="X9" s="407" t="n">
        <x:v>300</x:v>
      </x:c>
      <x:c r="Y9" s="407" t="n">
        <x:v>300</x:v>
      </x:c>
      <x:c r="Z9" s="407" t="n">
        <x:v>300</x:v>
      </x:c>
      <x:c r="AA9" s="407" t="n">
        <x:v>300</x:v>
      </x:c>
      <x:c r="AB9" s="407" t="n">
        <x:v>300</x:v>
      </x:c>
      <x:c r="AC9" s="407" t="n">
        <x:v>300</x:v>
      </x:c>
      <x:c r="AD9" s="407" t="n">
        <x:v>300</x:v>
      </x:c>
      <x:c r="AE9" s="407" t="n">
        <x:v>300</x:v>
      </x:c>
      <x:c r="AF9" s="407" t="n">
        <x:v>300</x:v>
      </x:c>
      <x:c r="AG9" s="407" t="n">
        <x:v>300</x:v>
      </x:c>
      <x:c r="AH9" s="407" t="n">
        <x:v>300</x:v>
      </x:c>
      <x:c r="AI9" s="407" t="n">
        <x:v>300</x:v>
      </x:c>
      <x:c r="AJ9" s="407" t="n">
        <x:v>300</x:v>
      </x:c>
      <x:c r="AK9" s="407" t="n">
        <x:v>300</x:v>
      </x:c>
      <x:c r="AL9" s="407" t="n">
        <x:v>300</x:v>
      </x:c>
      <x:c r="AM9" s="399"/>
      <x:c r="AN9" s="399"/>
    </x:row>
    <x:row r="10">
      <x:c r="A10" s="399"/>
      <x:c r="B10" s="399" t="str">
        <x:v>Комунальні послуги</x:v>
      </x:c>
      <x:c r="C10" s="407" t="n">
        <x:v>3000</x:v>
      </x:c>
      <x:c r="D10" s="407" t="n">
        <x:v>2000</x:v>
      </x:c>
      <x:c r="E10" s="407" t="n">
        <x:v>2000</x:v>
      </x:c>
      <x:c r="F10" s="407" t="n">
        <x:v>2000</x:v>
      </x:c>
      <x:c r="G10" s="407" t="n">
        <x:v>2200</x:v>
      </x:c>
      <x:c r="H10" s="407" t="n">
        <x:v>2200</x:v>
      </x:c>
      <x:c r="I10" s="407" t="n">
        <x:v>2000</x:v>
      </x:c>
      <x:c r="J10" s="407" t="n">
        <x:v>2000</x:v>
      </x:c>
      <x:c r="K10" s="407" t="n">
        <x:v>1800</x:v>
      </x:c>
      <x:c r="L10" s="407" t="n">
        <x:v>1800</x:v>
      </x:c>
      <x:c r="M10" s="407" t="n">
        <x:v>1800</x:v>
      </x:c>
      <x:c r="N10" s="407" t="n">
        <x:v>1800</x:v>
      </x:c>
      <x:c r="O10" s="407" t="n">
        <x:v>1800</x:v>
      </x:c>
      <x:c r="P10" s="407" t="n">
        <x:v>2500</x:v>
      </x:c>
      <x:c r="Q10" s="407" t="n">
        <x:v>2500</x:v>
      </x:c>
      <x:c r="R10" s="407" t="n">
        <x:v>2500</x:v>
      </x:c>
      <x:c r="S10" s="407" t="n">
        <x:v>2500</x:v>
      </x:c>
      <x:c r="T10" s="407" t="n">
        <x:v>2500</x:v>
      </x:c>
      <x:c r="U10" s="407" t="n">
        <x:v>2200</x:v>
      </x:c>
      <x:c r="V10" s="407" t="n">
        <x:v>2200</x:v>
      </x:c>
      <x:c r="W10" s="407" t="n">
        <x:v>2000</x:v>
      </x:c>
      <x:c r="X10" s="407" t="n">
        <x:v>2000</x:v>
      </x:c>
      <x:c r="Y10" s="407" t="n">
        <x:v>2000</x:v>
      </x:c>
      <x:c r="Z10" s="407" t="n">
        <x:v>2000</x:v>
      </x:c>
      <x:c r="AA10" s="407" t="n">
        <x:v>2200</x:v>
      </x:c>
      <x:c r="AB10" s="407" t="n">
        <x:v>2200</x:v>
      </x:c>
      <x:c r="AC10" s="407" t="n">
        <x:v>2500</x:v>
      </x:c>
      <x:c r="AD10" s="407" t="n">
        <x:v>2500</x:v>
      </x:c>
      <x:c r="AE10" s="407" t="n">
        <x:v>2500</x:v>
      </x:c>
      <x:c r="AF10" s="407" t="n">
        <x:v>2500</x:v>
      </x:c>
      <x:c r="AG10" s="407" t="n">
        <x:v>2500</x:v>
      </x:c>
      <x:c r="AH10" s="407" t="n">
        <x:v>2500</x:v>
      </x:c>
      <x:c r="AI10" s="407" t="n">
        <x:v>2500</x:v>
      </x:c>
      <x:c r="AJ10" s="407" t="n">
        <x:v>2500</x:v>
      </x:c>
      <x:c r="AK10" s="407" t="n">
        <x:v>2500</x:v>
      </x:c>
      <x:c r="AL10" s="407" t="n">
        <x:v>2500</x:v>
      </x:c>
      <x:c r="AM10" s="399"/>
      <x:c r="AN10" s="399"/>
    </x:row>
    <x:row r="11">
      <x:c r="A11" s="399"/>
      <x:c r="B11" s="399" t="str">
        <x:v>Інтернет / зв’язок</x:v>
      </x:c>
      <x:c r="C11" s="407" t="n">
        <x:v>350</x:v>
      </x:c>
      <x:c r="D11" s="407" t="n">
        <x:v>350</x:v>
      </x:c>
      <x:c r="E11" s="407" t="n">
        <x:v>350</x:v>
      </x:c>
      <x:c r="F11" s="407" t="n">
        <x:v>350</x:v>
      </x:c>
      <x:c r="G11" s="407" t="n">
        <x:v>350</x:v>
      </x:c>
      <x:c r="H11" s="407" t="n">
        <x:v>350</x:v>
      </x:c>
      <x:c r="I11" s="407" t="n">
        <x:v>350</x:v>
      </x:c>
      <x:c r="J11" s="407" t="n">
        <x:v>350</x:v>
      </x:c>
      <x:c r="K11" s="407" t="n">
        <x:v>400</x:v>
      </x:c>
      <x:c r="L11" s="407" t="n">
        <x:v>400</x:v>
      </x:c>
      <x:c r="M11" s="407" t="n">
        <x:v>400</x:v>
      </x:c>
      <x:c r="N11" s="407" t="n">
        <x:v>400</x:v>
      </x:c>
      <x:c r="O11" s="407" t="n">
        <x:v>400</x:v>
      </x:c>
      <x:c r="P11" s="407" t="n">
        <x:v>400</x:v>
      </x:c>
      <x:c r="Q11" s="407" t="n">
        <x:v>450</x:v>
      </x:c>
      <x:c r="R11" s="407" t="n">
        <x:v>450</x:v>
      </x:c>
      <x:c r="S11" s="407" t="n">
        <x:v>450</x:v>
      </x:c>
      <x:c r="T11" s="407" t="n">
        <x:v>450</x:v>
      </x:c>
      <x:c r="U11" s="407" t="n">
        <x:v>450</x:v>
      </x:c>
      <x:c r="V11" s="407" t="n">
        <x:v>450</x:v>
      </x:c>
      <x:c r="W11" s="407" t="n">
        <x:v>450</x:v>
      </x:c>
      <x:c r="X11" s="407" t="n">
        <x:v>450</x:v>
      </x:c>
      <x:c r="Y11" s="407" t="n">
        <x:v>450</x:v>
      </x:c>
      <x:c r="Z11" s="407" t="n">
        <x:v>450</x:v>
      </x:c>
      <x:c r="AA11" s="407" t="n">
        <x:v>450</x:v>
      </x:c>
      <x:c r="AB11" s="407" t="n">
        <x:v>450</x:v>
      </x:c>
      <x:c r="AC11" s="407" t="n">
        <x:v>450</x:v>
      </x:c>
      <x:c r="AD11" s="407" t="n">
        <x:v>450</x:v>
      </x:c>
      <x:c r="AE11" s="407" t="n">
        <x:v>450</x:v>
      </x:c>
      <x:c r="AF11" s="407" t="n">
        <x:v>450</x:v>
      </x:c>
      <x:c r="AG11" s="407" t="n">
        <x:v>450</x:v>
      </x:c>
      <x:c r="AH11" s="407" t="n">
        <x:v>450</x:v>
      </x:c>
      <x:c r="AI11" s="407" t="n">
        <x:v>450</x:v>
      </x:c>
      <x:c r="AJ11" s="407" t="n">
        <x:v>450</x:v>
      </x:c>
      <x:c r="AK11" s="407" t="n">
        <x:v>450</x:v>
      </x:c>
      <x:c r="AL11" s="407" t="n">
        <x:v>450</x:v>
      </x:c>
      <x:c r="AM11" s="399"/>
      <x:c r="AN11" s="399"/>
    </x:row>
    <x:row r="12">
      <x:c r="A12" s="399"/>
      <x:c r="B12" s="399" t="str">
        <x:v>Особисті вилучення ФОП — уточнити</x:v>
      </x:c>
      <x:c r="C12" s="407" t="n">
        <x:v>0</x:v>
      </x:c>
      <x:c r="D12" s="407" t="n">
        <x:v>0</x:v>
      </x:c>
      <x:c r="E12" s="407" t="n">
        <x:v>0</x:v>
      </x:c>
      <x:c r="F12" s="407" t="n">
        <x:v>0</x:v>
      </x:c>
      <x:c r="G12" s="407" t="n">
        <x:v>0</x:v>
      </x:c>
      <x:c r="H12" s="407" t="n">
        <x:v>0</x:v>
      </x:c>
      <x:c r="I12" s="407" t="n">
        <x:v>0</x:v>
      </x:c>
      <x:c r="J12" s="407" t="n">
        <x:v>0</x:v>
      </x:c>
      <x:c r="K12" s="407" t="n">
        <x:v>0</x:v>
      </x:c>
      <x:c r="L12" s="407" t="n">
        <x:v>0</x:v>
      </x:c>
      <x:c r="M12" s="407" t="n">
        <x:v>0</x:v>
      </x:c>
      <x:c r="N12" s="407" t="n">
        <x:v>0</x:v>
      </x:c>
      <x:c r="O12" s="407" t="n">
        <x:v>0</x:v>
      </x:c>
      <x:c r="P12" s="407" t="n">
        <x:v>0</x:v>
      </x:c>
      <x:c r="Q12" s="407" t="n">
        <x:v>0</x:v>
      </x:c>
      <x:c r="R12" s="407" t="n">
        <x:v>0</x:v>
      </x:c>
      <x:c r="S12" s="407" t="n">
        <x:v>0</x:v>
      </x:c>
      <x:c r="T12" s="407" t="n">
        <x:v>0</x:v>
      </x:c>
      <x:c r="U12" s="407" t="n">
        <x:v>0</x:v>
      </x:c>
      <x:c r="V12" s="407" t="n">
        <x:v>0</x:v>
      </x:c>
      <x:c r="W12" s="407" t="n">
        <x:v>0</x:v>
      </x:c>
      <x:c r="X12" s="407" t="n">
        <x:v>0</x:v>
      </x:c>
      <x:c r="Y12" s="407" t="n">
        <x:v>0</x:v>
      </x:c>
      <x:c r="Z12" s="407" t="n">
        <x:v>0</x:v>
      </x:c>
      <x:c r="AA12" s="407" t="n">
        <x:v>0</x:v>
      </x:c>
      <x:c r="AB12" s="407" t="n">
        <x:v>0</x:v>
      </x:c>
      <x:c r="AC12" s="407" t="n">
        <x:v>0</x:v>
      </x:c>
      <x:c r="AD12" s="407" t="n">
        <x:v>0</x:v>
      </x:c>
      <x:c r="AE12" s="407" t="n">
        <x:v>0</x:v>
      </x:c>
      <x:c r="AF12" s="407" t="n">
        <x:v>0</x:v>
      </x:c>
      <x:c r="AG12" s="407" t="n">
        <x:v>0</x:v>
      </x:c>
      <x:c r="AH12" s="407" t="n">
        <x:v>0</x:v>
      </x:c>
      <x:c r="AI12" s="407" t="n">
        <x:v>0</x:v>
      </x:c>
      <x:c r="AJ12" s="407" t="n">
        <x:v>0</x:v>
      </x:c>
      <x:c r="AK12" s="407" t="n">
        <x:v>0</x:v>
      </x:c>
      <x:c r="AL12" s="407" t="n">
        <x:v>0</x:v>
      </x:c>
      <x:c r="AM12" s="399"/>
      <x:c r="AN12" s="399"/>
    </x:row>
    <x:row r="13">
      <x:c r="A13" s="399"/>
      <x:c r="B13" s="399" t="str">
        <x:v>Страхування — оцінити потребу</x:v>
      </x:c>
      <x:c r="C13" s="407" t="n">
        <x:v>0</x:v>
      </x:c>
      <x:c r="D13" s="407" t="n">
        <x:v>0</x:v>
      </x:c>
      <x:c r="E13" s="407" t="n">
        <x:v>0</x:v>
      </x:c>
      <x:c r="F13" s="407" t="n">
        <x:v>0</x:v>
      </x:c>
      <x:c r="G13" s="407" t="n">
        <x:v>0</x:v>
      </x:c>
      <x:c r="H13" s="407" t="n">
        <x:v>0</x:v>
      </x:c>
      <x:c r="I13" s="407" t="n">
        <x:v>0</x:v>
      </x:c>
      <x:c r="J13" s="407" t="n">
        <x:v>0</x:v>
      </x:c>
      <x:c r="K13" s="407" t="n">
        <x:v>0</x:v>
      </x:c>
      <x:c r="L13" s="407" t="n">
        <x:v>0</x:v>
      </x:c>
      <x:c r="M13" s="407" t="n">
        <x:v>0</x:v>
      </x:c>
      <x:c r="N13" s="407" t="n">
        <x:v>0</x:v>
      </x:c>
      <x:c r="O13" s="407" t="n">
        <x:v>0</x:v>
      </x:c>
      <x:c r="P13" s="407" t="n">
        <x:v>0</x:v>
      </x:c>
      <x:c r="Q13" s="407" t="n">
        <x:v>0</x:v>
      </x:c>
      <x:c r="R13" s="407" t="n">
        <x:v>0</x:v>
      </x:c>
      <x:c r="S13" s="407" t="n">
        <x:v>0</x:v>
      </x:c>
      <x:c r="T13" s="407" t="n">
        <x:v>0</x:v>
      </x:c>
      <x:c r="U13" s="407" t="n">
        <x:v>0</x:v>
      </x:c>
      <x:c r="V13" s="407" t="n">
        <x:v>0</x:v>
      </x:c>
      <x:c r="W13" s="407" t="n">
        <x:v>0</x:v>
      </x:c>
      <x:c r="X13" s="407" t="n">
        <x:v>0</x:v>
      </x:c>
      <x:c r="Y13" s="407" t="n">
        <x:v>0</x:v>
      </x:c>
      <x:c r="Z13" s="407" t="n">
        <x:v>0</x:v>
      </x:c>
      <x:c r="AA13" s="407" t="n">
        <x:v>0</x:v>
      </x:c>
      <x:c r="AB13" s="407" t="n">
        <x:v>0</x:v>
      </x:c>
      <x:c r="AC13" s="407" t="n">
        <x:v>0</x:v>
      </x:c>
      <x:c r="AD13" s="407" t="n">
        <x:v>0</x:v>
      </x:c>
      <x:c r="AE13" s="407" t="n">
        <x:v>0</x:v>
      </x:c>
      <x:c r="AF13" s="407" t="n">
        <x:v>0</x:v>
      </x:c>
      <x:c r="AG13" s="407" t="n">
        <x:v>0</x:v>
      </x:c>
      <x:c r="AH13" s="407" t="n">
        <x:v>0</x:v>
      </x:c>
      <x:c r="AI13" s="407" t="n">
        <x:v>0</x:v>
      </x:c>
      <x:c r="AJ13" s="407" t="n">
        <x:v>0</x:v>
      </x:c>
      <x:c r="AK13" s="407" t="n">
        <x:v>0</x:v>
      </x:c>
      <x:c r="AL13" s="407" t="n">
        <x:v>0</x:v>
      </x:c>
      <x:c r="AM13" s="399"/>
      <x:c r="AN13" s="399"/>
    </x:row>
    <x:row r="14">
      <x:c r="A14" s="399"/>
      <x:c r="B14" s="399" t="str">
        <x:v>Поновлення ліцензій ПЗ — заповнити</x:v>
      </x:c>
      <x:c r="C14" s="407" t="n">
        <x:v>0</x:v>
      </x:c>
      <x:c r="D14" s="407" t="n">
        <x:v>0</x:v>
      </x:c>
      <x:c r="E14" s="407" t="n">
        <x:v>0</x:v>
      </x:c>
      <x:c r="F14" s="407" t="n">
        <x:v>0</x:v>
      </x:c>
      <x:c r="G14" s="407" t="n">
        <x:v>0</x:v>
      </x:c>
      <x:c r="H14" s="407" t="n">
        <x:v>0</x:v>
      </x:c>
      <x:c r="I14" s="407" t="n">
        <x:v>0</x:v>
      </x:c>
      <x:c r="J14" s="407" t="n">
        <x:v>0</x:v>
      </x:c>
      <x:c r="K14" s="407" t="n">
        <x:v>0</x:v>
      </x:c>
      <x:c r="L14" s="407" t="n">
        <x:v>0</x:v>
      </x:c>
      <x:c r="M14" s="407" t="n">
        <x:v>0</x:v>
      </x:c>
      <x:c r="N14" s="407" t="n">
        <x:v>0</x:v>
      </x:c>
      <x:c r="O14" s="407" t="n">
        <x:v>0</x:v>
      </x:c>
      <x:c r="P14" s="407" t="n">
        <x:v>0</x:v>
      </x:c>
      <x:c r="Q14" s="407" t="n">
        <x:v>0</x:v>
      </x:c>
      <x:c r="R14" s="407" t="n">
        <x:v>0</x:v>
      </x:c>
      <x:c r="S14" s="407" t="n">
        <x:v>0</x:v>
      </x:c>
      <x:c r="T14" s="407" t="n">
        <x:v>0</x:v>
      </x:c>
      <x:c r="U14" s="407" t="n">
        <x:v>0</x:v>
      </x:c>
      <x:c r="V14" s="407" t="n">
        <x:v>0</x:v>
      </x:c>
      <x:c r="W14" s="407" t="n">
        <x:v>0</x:v>
      </x:c>
      <x:c r="X14" s="407" t="n">
        <x:v>0</x:v>
      </x:c>
      <x:c r="Y14" s="407" t="n">
        <x:v>0</x:v>
      </x:c>
      <x:c r="Z14" s="407" t="n">
        <x:v>0</x:v>
      </x:c>
      <x:c r="AA14" s="407" t="n">
        <x:v>0</x:v>
      </x:c>
      <x:c r="AB14" s="407" t="n">
        <x:v>0</x:v>
      </x:c>
      <x:c r="AC14" s="407" t="n">
        <x:v>0</x:v>
      </x:c>
      <x:c r="AD14" s="407" t="n">
        <x:v>0</x:v>
      </x:c>
      <x:c r="AE14" s="407" t="n">
        <x:v>0</x:v>
      </x:c>
      <x:c r="AF14" s="407" t="n">
        <x:v>0</x:v>
      </x:c>
      <x:c r="AG14" s="407" t="n">
        <x:v>0</x:v>
      </x:c>
      <x:c r="AH14" s="407" t="n">
        <x:v>0</x:v>
      </x:c>
      <x:c r="AI14" s="407" t="n">
        <x:v>0</x:v>
      </x:c>
      <x:c r="AJ14" s="407" t="n">
        <x:v>0</x:v>
      </x:c>
      <x:c r="AK14" s="407" t="n">
        <x:v>0</x:v>
      </x:c>
      <x:c r="AL14" s="407" t="n">
        <x:v>0</x:v>
      </x:c>
      <x:c r="AM14" s="399"/>
      <x:c r="AN14" s="399"/>
    </x:row>
    <x:row r="15">
      <x:c r="A15" s="399"/>
      <x:c r="B15" s="399" t="str">
        <x:v>Хостинг / підтримка сайту — заповнити</x:v>
      </x:c>
      <x:c r="C15" s="407" t="n">
        <x:v>0</x:v>
      </x:c>
      <x:c r="D15" s="407" t="n">
        <x:v>0</x:v>
      </x:c>
      <x:c r="E15" s="407" t="n">
        <x:v>0</x:v>
      </x:c>
      <x:c r="F15" s="407" t="n">
        <x:v>0</x:v>
      </x:c>
      <x:c r="G15" s="407" t="n">
        <x:v>0</x:v>
      </x:c>
      <x:c r="H15" s="407" t="n">
        <x:v>0</x:v>
      </x:c>
      <x:c r="I15" s="407" t="n">
        <x:v>0</x:v>
      </x:c>
      <x:c r="J15" s="407" t="n">
        <x:v>0</x:v>
      </x:c>
      <x:c r="K15" s="407" t="n">
        <x:v>0</x:v>
      </x:c>
      <x:c r="L15" s="407" t="n">
        <x:v>0</x:v>
      </x:c>
      <x:c r="M15" s="407" t="n">
        <x:v>0</x:v>
      </x:c>
      <x:c r="N15" s="407" t="n">
        <x:v>0</x:v>
      </x:c>
      <x:c r="O15" s="407" t="n">
        <x:v>0</x:v>
      </x:c>
      <x:c r="P15" s="407" t="n">
        <x:v>0</x:v>
      </x:c>
      <x:c r="Q15" s="407" t="n">
        <x:v>0</x:v>
      </x:c>
      <x:c r="R15" s="407" t="n">
        <x:v>0</x:v>
      </x:c>
      <x:c r="S15" s="407" t="n">
        <x:v>0</x:v>
      </x:c>
      <x:c r="T15" s="407" t="n">
        <x:v>0</x:v>
      </x:c>
      <x:c r="U15" s="407" t="n">
        <x:v>0</x:v>
      </x:c>
      <x:c r="V15" s="407" t="n">
        <x:v>0</x:v>
      </x:c>
      <x:c r="W15" s="407" t="n">
        <x:v>0</x:v>
      </x:c>
      <x:c r="X15" s="407" t="n">
        <x:v>0</x:v>
      </x:c>
      <x:c r="Y15" s="407" t="n">
        <x:v>0</x:v>
      </x:c>
      <x:c r="Z15" s="407" t="n">
        <x:v>0</x:v>
      </x:c>
      <x:c r="AA15" s="407" t="n">
        <x:v>0</x:v>
      </x:c>
      <x:c r="AB15" s="407" t="n">
        <x:v>0</x:v>
      </x:c>
      <x:c r="AC15" s="407" t="n">
        <x:v>0</x:v>
      </x:c>
      <x:c r="AD15" s="407" t="n">
        <x:v>0</x:v>
      </x:c>
      <x:c r="AE15" s="407" t="n">
        <x:v>0</x:v>
      </x:c>
      <x:c r="AF15" s="407" t="n">
        <x:v>0</x:v>
      </x:c>
      <x:c r="AG15" s="407" t="n">
        <x:v>0</x:v>
      </x:c>
      <x:c r="AH15" s="407" t="n">
        <x:v>0</x:v>
      </x:c>
      <x:c r="AI15" s="407" t="n">
        <x:v>0</x:v>
      </x:c>
      <x:c r="AJ15" s="407" t="n">
        <x:v>0</x:v>
      </x:c>
      <x:c r="AK15" s="407" t="n">
        <x:v>0</x:v>
      </x:c>
      <x:c r="AL15" s="407" t="n">
        <x:v>0</x:v>
      </x:c>
      <x:c r="AM15" s="399"/>
      <x:c r="AN15" s="399"/>
    </x:row>
    <x:row r="16">
      <x:c r="A16" s="399"/>
      <x:c r="B16" s="399" t="str">
        <x:v>Повторна реклама — заповнити</x:v>
      </x:c>
      <x:c r="C16" s="407" t="n">
        <x:v>0</x:v>
      </x:c>
      <x:c r="D16" s="407" t="n">
        <x:v>0</x:v>
      </x:c>
      <x:c r="E16" s="407" t="n">
        <x:v>0</x:v>
      </x:c>
      <x:c r="F16" s="407" t="n">
        <x:v>0</x:v>
      </x:c>
      <x:c r="G16" s="407" t="n">
        <x:v>0</x:v>
      </x:c>
      <x:c r="H16" s="407" t="n">
        <x:v>0</x:v>
      </x:c>
      <x:c r="I16" s="407" t="n">
        <x:v>0</x:v>
      </x:c>
      <x:c r="J16" s="407" t="n">
        <x:v>0</x:v>
      </x:c>
      <x:c r="K16" s="407" t="n">
        <x:v>0</x:v>
      </x:c>
      <x:c r="L16" s="407" t="n">
        <x:v>0</x:v>
      </x:c>
      <x:c r="M16" s="407" t="n">
        <x:v>0</x:v>
      </x:c>
      <x:c r="N16" s="407" t="n">
        <x:v>0</x:v>
      </x:c>
      <x:c r="O16" s="407" t="n">
        <x:v>0</x:v>
      </x:c>
      <x:c r="P16" s="407" t="n">
        <x:v>0</x:v>
      </x:c>
      <x:c r="Q16" s="407" t="n">
        <x:v>0</x:v>
      </x:c>
      <x:c r="R16" s="407" t="n">
        <x:v>0</x:v>
      </x:c>
      <x:c r="S16" s="407" t="n">
        <x:v>0</x:v>
      </x:c>
      <x:c r="T16" s="407" t="n">
        <x:v>0</x:v>
      </x:c>
      <x:c r="U16" s="407" t="n">
        <x:v>0</x:v>
      </x:c>
      <x:c r="V16" s="407" t="n">
        <x:v>0</x:v>
      </x:c>
      <x:c r="W16" s="407" t="n">
        <x:v>0</x:v>
      </x:c>
      <x:c r="X16" s="407" t="n">
        <x:v>0</x:v>
      </x:c>
      <x:c r="Y16" s="407" t="n">
        <x:v>0</x:v>
      </x:c>
      <x:c r="Z16" s="407" t="n">
        <x:v>0</x:v>
      </x:c>
      <x:c r="AA16" s="407" t="n">
        <x:v>0</x:v>
      </x:c>
      <x:c r="AB16" s="407" t="n">
        <x:v>0</x:v>
      </x:c>
      <x:c r="AC16" s="407" t="n">
        <x:v>0</x:v>
      </x:c>
      <x:c r="AD16" s="407" t="n">
        <x:v>0</x:v>
      </x:c>
      <x:c r="AE16" s="407" t="n">
        <x:v>0</x:v>
      </x:c>
      <x:c r="AF16" s="407" t="n">
        <x:v>0</x:v>
      </x:c>
      <x:c r="AG16" s="407" t="n">
        <x:v>0</x:v>
      </x:c>
      <x:c r="AH16" s="407" t="n">
        <x:v>0</x:v>
      </x:c>
      <x:c r="AI16" s="407" t="n">
        <x:v>0</x:v>
      </x:c>
      <x:c r="AJ16" s="407" t="n">
        <x:v>0</x:v>
      </x:c>
      <x:c r="AK16" s="407" t="n">
        <x:v>0</x:v>
      </x:c>
      <x:c r="AL16" s="407" t="n">
        <x:v>0</x:v>
      </x:c>
      <x:c r="AM16" s="399"/>
      <x:c r="AN16" s="399"/>
    </x:row>
    <x:row r="17">
      <x:c r="A17" s="399"/>
      <x:c r="B17" s="399" t="str">
        <x:v>Інші поточні витрати — заповнити</x:v>
      </x:c>
      <x:c r="C17" s="407" t="n">
        <x:v>0</x:v>
      </x:c>
      <x:c r="D17" s="407" t="n">
        <x:v>0</x:v>
      </x:c>
      <x:c r="E17" s="407" t="n">
        <x:v>0</x:v>
      </x:c>
      <x:c r="F17" s="407" t="n">
        <x:v>0</x:v>
      </x:c>
      <x:c r="G17" s="407" t="n">
        <x:v>0</x:v>
      </x:c>
      <x:c r="H17" s="407" t="n">
        <x:v>0</x:v>
      </x:c>
      <x:c r="I17" s="407" t="n">
        <x:v>0</x:v>
      </x:c>
      <x:c r="J17" s="407" t="n">
        <x:v>0</x:v>
      </x:c>
      <x:c r="K17" s="407" t="n">
        <x:v>0</x:v>
      </x:c>
      <x:c r="L17" s="407" t="n">
        <x:v>0</x:v>
      </x:c>
      <x:c r="M17" s="407" t="n">
        <x:v>0</x:v>
      </x:c>
      <x:c r="N17" s="407" t="n">
        <x:v>0</x:v>
      </x:c>
      <x:c r="O17" s="407" t="n">
        <x:v>0</x:v>
      </x:c>
      <x:c r="P17" s="407" t="n">
        <x:v>0</x:v>
      </x:c>
      <x:c r="Q17" s="407" t="n">
        <x:v>0</x:v>
      </x:c>
      <x:c r="R17" s="407" t="n">
        <x:v>0</x:v>
      </x:c>
      <x:c r="S17" s="407" t="n">
        <x:v>0</x:v>
      </x:c>
      <x:c r="T17" s="407" t="n">
        <x:v>0</x:v>
      </x:c>
      <x:c r="U17" s="407" t="n">
        <x:v>0</x:v>
      </x:c>
      <x:c r="V17" s="407" t="n">
        <x:v>0</x:v>
      </x:c>
      <x:c r="W17" s="407" t="n">
        <x:v>0</x:v>
      </x:c>
      <x:c r="X17" s="407" t="n">
        <x:v>0</x:v>
      </x:c>
      <x:c r="Y17" s="407" t="n">
        <x:v>0</x:v>
      </x:c>
      <x:c r="Z17" s="407" t="n">
        <x:v>0</x:v>
      </x:c>
      <x:c r="AA17" s="407" t="n">
        <x:v>0</x:v>
      </x:c>
      <x:c r="AB17" s="407" t="n">
        <x:v>0</x:v>
      </x:c>
      <x:c r="AC17" s="407" t="n">
        <x:v>0</x:v>
      </x:c>
      <x:c r="AD17" s="407" t="n">
        <x:v>0</x:v>
      </x:c>
      <x:c r="AE17" s="407" t="n">
        <x:v>0</x:v>
      </x:c>
      <x:c r="AF17" s="407" t="n">
        <x:v>0</x:v>
      </x:c>
      <x:c r="AG17" s="407" t="n">
        <x:v>0</x:v>
      </x:c>
      <x:c r="AH17" s="407" t="n">
        <x:v>0</x:v>
      </x:c>
      <x:c r="AI17" s="407" t="n">
        <x:v>0</x:v>
      </x:c>
      <x:c r="AJ17" s="407" t="n">
        <x:v>0</x:v>
      </x:c>
      <x:c r="AK17" s="407" t="n">
        <x:v>0</x:v>
      </x:c>
      <x:c r="AL17" s="407" t="n">
        <x:v>0</x:v>
      </x:c>
      <x:c r="AM17" s="399"/>
      <x:c r="AN17" s="399"/>
    </x:row>
    <x:row r="18">
      <x:c r="A18" s="399"/>
      <x:c r="B18" s="399"/>
      <x:c r="C18" s="399"/>
      <x:c r="D18" s="399"/>
      <x:c r="E18" s="399"/>
      <x:c r="F18" s="399"/>
      <x:c r="G18" s="399"/>
      <x:c r="H18" s="399"/>
      <x:c r="I18" s="399"/>
      <x:c r="J18" s="399"/>
      <x:c r="K18" s="399"/>
      <x:c r="L18" s="399"/>
      <x:c r="M18" s="399"/>
      <x:c r="N18" s="399"/>
      <x:c r="O18" s="399"/>
      <x:c r="P18" s="399"/>
      <x:c r="Q18" s="399"/>
      <x:c r="R18" s="399"/>
      <x:c r="S18" s="399"/>
      <x:c r="T18" s="399"/>
      <x:c r="U18" s="399"/>
      <x:c r="V18" s="399"/>
      <x:c r="W18" s="399"/>
      <x:c r="X18" s="399"/>
      <x:c r="Y18" s="399"/>
      <x:c r="Z18" s="399"/>
      <x:c r="AA18" s="399"/>
      <x:c r="AB18" s="399"/>
      <x:c r="AC18" s="399"/>
      <x:c r="AD18" s="399"/>
      <x:c r="AE18" s="399"/>
      <x:c r="AF18" s="399"/>
      <x:c r="AG18" s="399"/>
      <x:c r="AH18" s="399"/>
      <x:c r="AI18" s="399"/>
      <x:c r="AJ18" s="399"/>
      <x:c r="AK18" s="399"/>
      <x:c r="AL18" s="399"/>
      <x:c r="AM18" s="399"/>
      <x:c r="AN18" s="399"/>
    </x:row>
    <x:row r="19" ht="34" customHeight="1">
      <x:c r="A19" s="399"/>
      <x:c r="B19" s="405" t="str">
        <x:v>Джерело рядків 5–11: поданий XLSX, аркуш «Прибутки та збитки», E:AN. Виручку збережено для порівнянності; підтвердження попиту немає.</x:v>
      </x:c>
      <x:c r="C19" s="405"/>
      <x:c r="D19" s="405"/>
      <x:c r="E19" s="405"/>
      <x:c r="F19" s="405"/>
      <x:c r="G19" s="405"/>
      <x:c r="H19" s="405"/>
      <x:c r="I19" s="405"/>
      <x:c r="J19" s="405"/>
      <x:c r="K19" s="405"/>
      <x:c r="L19" s="405"/>
      <x:c r="M19" s="405"/>
      <x:c r="N19" s="405"/>
      <x:c r="O19" s="405"/>
      <x:c r="P19" s="405"/>
      <x:c r="Q19" s="405"/>
      <x:c r="R19" s="405"/>
      <x:c r="S19" s="405"/>
      <x:c r="T19" s="405"/>
      <x:c r="U19" s="405"/>
      <x:c r="V19" s="405"/>
      <x:c r="W19" s="405"/>
      <x:c r="X19" s="405"/>
      <x:c r="Y19" s="405"/>
      <x:c r="Z19" s="405"/>
      <x:c r="AA19" s="405"/>
      <x:c r="AB19" s="405"/>
      <x:c r="AC19" s="405"/>
      <x:c r="AD19" s="405"/>
      <x:c r="AE19" s="405"/>
      <x:c r="AF19" s="405"/>
      <x:c r="AG19" s="405"/>
      <x:c r="AH19" s="405"/>
      <x:c r="AI19" s="405"/>
      <x:c r="AJ19" s="405"/>
      <x:c r="AK19" s="405"/>
      <x:c r="AL19" s="405"/>
      <x:c r="AM19" s="399"/>
      <x:c r="AN19" s="399"/>
    </x:row>
    <x:row r="20" ht="34" customHeight="1">
      <x:c r="A20" s="399"/>
      <x:c r="B20" s="405" t="str">
        <x:v>Юридична виручка допускається лише після перевірки КВЕД, податкового статусу, предмета послуг і компетенцій. Увімкнення цієї виручки не означає правового підтвердження.</x:v>
      </x:c>
      <x:c r="C20" s="405"/>
      <x:c r="D20" s="405"/>
      <x:c r="E20" s="405"/>
      <x:c r="F20" s="405"/>
      <x:c r="G20" s="405"/>
      <x:c r="H20" s="405"/>
      <x:c r="I20" s="405"/>
      <x:c r="J20" s="405"/>
      <x:c r="K20" s="405"/>
      <x:c r="L20" s="405"/>
      <x:c r="M20" s="405"/>
      <x:c r="N20" s="405"/>
      <x:c r="O20" s="405"/>
      <x:c r="P20" s="405"/>
      <x:c r="Q20" s="405"/>
      <x:c r="R20" s="405"/>
      <x:c r="S20" s="405"/>
      <x:c r="T20" s="405"/>
      <x:c r="U20" s="405"/>
      <x:c r="V20" s="405"/>
      <x:c r="W20" s="405"/>
      <x:c r="X20" s="405"/>
      <x:c r="Y20" s="405"/>
      <x:c r="Z20" s="405"/>
      <x:c r="AA20" s="405"/>
      <x:c r="AB20" s="405"/>
      <x:c r="AC20" s="405"/>
      <x:c r="AD20" s="405"/>
      <x:c r="AE20" s="405"/>
      <x:c r="AF20" s="405"/>
      <x:c r="AG20" s="405"/>
      <x:c r="AH20" s="405"/>
      <x:c r="AI20" s="405"/>
      <x:c r="AJ20" s="405"/>
      <x:c r="AK20" s="405"/>
      <x:c r="AL20" s="405"/>
      <x:c r="AM20" s="399"/>
      <x:c r="AN20" s="399"/>
    </x:row>
    <x:row r="21" ht="34" customHeight="1">
      <x:c r="A21" s="399"/>
      <x:c r="B21" s="405" t="str">
        <x:v>Внесок на навчання — джерело фінансування сукупного бюджету проєкту. Це не рекомендація переказати власні кошти на рахунок ФОП без перевірки їх податкового режиму.</x:v>
      </x:c>
      <x:c r="C21" s="405"/>
      <x:c r="D21" s="405"/>
      <x:c r="E21" s="405"/>
      <x:c r="F21" s="405"/>
      <x:c r="G21" s="405"/>
      <x:c r="H21" s="405"/>
      <x:c r="I21" s="405"/>
      <x:c r="J21" s="405"/>
      <x:c r="K21" s="405"/>
      <x:c r="L21" s="405"/>
      <x:c r="M21" s="405"/>
      <x:c r="N21" s="405"/>
      <x:c r="O21" s="405"/>
      <x:c r="P21" s="405"/>
      <x:c r="Q21" s="405"/>
      <x:c r="R21" s="405"/>
      <x:c r="S21" s="405"/>
      <x:c r="T21" s="405"/>
      <x:c r="U21" s="405"/>
      <x:c r="V21" s="405"/>
      <x:c r="W21" s="405"/>
      <x:c r="X21" s="405"/>
      <x:c r="Y21" s="405"/>
      <x:c r="Z21" s="405"/>
      <x:c r="AA21" s="405"/>
      <x:c r="AB21" s="405"/>
      <x:c r="AC21" s="405"/>
      <x:c r="AD21" s="405"/>
      <x:c r="AE21" s="405"/>
      <x:c r="AF21" s="405"/>
      <x:c r="AG21" s="405"/>
      <x:c r="AH21" s="405"/>
      <x:c r="AI21" s="405"/>
      <x:c r="AJ21" s="405"/>
      <x:c r="AK21" s="405"/>
      <x:c r="AL21" s="405"/>
      <x:c r="AM21" s="399"/>
      <x:c r="AN21" s="399"/>
    </x:row>
    <x:row r="22">
      <x:c r="A22" s="399"/>
      <x:c r="B22" s="399"/>
      <x:c r="C22" s="399"/>
      <x:c r="D22" s="399"/>
      <x:c r="E22" s="399"/>
      <x:c r="F22" s="399"/>
      <x:c r="G22" s="399"/>
      <x:c r="H22" s="399"/>
      <x:c r="I22" s="399"/>
      <x:c r="J22" s="399"/>
      <x:c r="K22" s="399"/>
      <x:c r="L22" s="399"/>
      <x:c r="M22" s="399"/>
      <x:c r="N22" s="399"/>
      <x:c r="O22" s="399"/>
      <x:c r="P22" s="399"/>
      <x:c r="Q22" s="399"/>
      <x:c r="R22" s="399"/>
      <x:c r="S22" s="399"/>
      <x:c r="T22" s="399"/>
      <x:c r="U22" s="399"/>
      <x:c r="V22" s="399"/>
      <x:c r="W22" s="399"/>
      <x:c r="X22" s="399"/>
      <x:c r="Y22" s="399"/>
      <x:c r="Z22" s="399"/>
      <x:c r="AA22" s="399"/>
      <x:c r="AB22" s="399"/>
      <x:c r="AC22" s="399"/>
      <x:c r="AD22" s="399"/>
      <x:c r="AE22" s="399"/>
      <x:c r="AF22" s="399"/>
      <x:c r="AG22" s="399"/>
      <x:c r="AH22" s="399"/>
      <x:c r="AI22" s="399"/>
      <x:c r="AJ22" s="399"/>
      <x:c r="AK22" s="399"/>
      <x:c r="AL22" s="399"/>
      <x:c r="AM22" s="399"/>
      <x:c r="AN22" s="399"/>
    </x:row>
    <x:row r="23">
      <x:c r="A23" s="399"/>
      <x:c r="B23" s="399"/>
      <x:c r="C23" s="399"/>
      <x:c r="D23" s="399"/>
      <x:c r="E23" s="399"/>
      <x:c r="F23" s="399"/>
      <x:c r="G23" s="399"/>
      <x:c r="H23" s="399"/>
      <x:c r="I23" s="399"/>
      <x:c r="J23" s="399"/>
      <x:c r="K23" s="399"/>
      <x:c r="L23" s="399"/>
      <x:c r="M23" s="399"/>
      <x:c r="N23" s="399"/>
      <x:c r="O23" s="399"/>
      <x:c r="P23" s="399"/>
      <x:c r="Q23" s="399"/>
      <x:c r="R23" s="399"/>
      <x:c r="S23" s="399"/>
      <x:c r="T23" s="399"/>
      <x:c r="U23" s="399"/>
      <x:c r="V23" s="399"/>
      <x:c r="W23" s="399"/>
      <x:c r="X23" s="399"/>
      <x:c r="Y23" s="399"/>
      <x:c r="Z23" s="399"/>
      <x:c r="AA23" s="399"/>
      <x:c r="AB23" s="399"/>
      <x:c r="AC23" s="399"/>
      <x:c r="AD23" s="399"/>
      <x:c r="AE23" s="399"/>
      <x:c r="AF23" s="399"/>
      <x:c r="AG23" s="399"/>
      <x:c r="AH23" s="399"/>
      <x:c r="AI23" s="399"/>
      <x:c r="AJ23" s="399"/>
      <x:c r="AK23" s="399"/>
      <x:c r="AL23" s="399"/>
      <x:c r="AM23" s="399"/>
      <x:c r="AN23" s="399"/>
    </x:row>
    <x:row r="24">
      <x:c r="A24" s="399"/>
      <x:c r="B24" s="399"/>
      <x:c r="C24" s="399"/>
      <x:c r="D24" s="399"/>
      <x:c r="E24" s="399"/>
      <x:c r="F24" s="399"/>
      <x:c r="G24" s="399"/>
      <x:c r="H24" s="399"/>
      <x:c r="I24" s="399"/>
      <x:c r="J24" s="399"/>
      <x:c r="K24" s="399"/>
      <x:c r="L24" s="399"/>
      <x:c r="M24" s="399"/>
      <x:c r="N24" s="399"/>
      <x:c r="O24" s="399"/>
      <x:c r="P24" s="399"/>
      <x:c r="Q24" s="399"/>
      <x:c r="R24" s="399"/>
      <x:c r="S24" s="399"/>
      <x:c r="T24" s="399"/>
      <x:c r="U24" s="399"/>
      <x:c r="V24" s="399"/>
      <x:c r="W24" s="399"/>
      <x:c r="X24" s="399"/>
      <x:c r="Y24" s="399"/>
      <x:c r="Z24" s="399"/>
      <x:c r="AA24" s="399"/>
      <x:c r="AB24" s="399"/>
      <x:c r="AC24" s="399"/>
      <x:c r="AD24" s="399"/>
      <x:c r="AE24" s="399"/>
      <x:c r="AF24" s="399"/>
      <x:c r="AG24" s="399"/>
      <x:c r="AH24" s="399"/>
      <x:c r="AI24" s="399"/>
      <x:c r="AJ24" s="399"/>
      <x:c r="AK24" s="399"/>
      <x:c r="AL24" s="399"/>
      <x:c r="AM24" s="399"/>
      <x:c r="AN24" s="399"/>
    </x:row>
    <x:row r="25">
      <x:c r="A25" s="399"/>
      <x:c r="B25" s="399"/>
      <x:c r="C25" s="399"/>
      <x:c r="D25" s="399"/>
      <x:c r="E25" s="399"/>
      <x:c r="F25" s="399"/>
      <x:c r="G25" s="399"/>
      <x:c r="H25" s="399"/>
      <x:c r="I25" s="399"/>
      <x:c r="J25" s="399"/>
      <x:c r="K25" s="399"/>
      <x:c r="L25" s="399"/>
      <x:c r="M25" s="399"/>
      <x:c r="N25" s="399"/>
      <x:c r="O25" s="399"/>
      <x:c r="P25" s="399"/>
      <x:c r="Q25" s="399"/>
      <x:c r="R25" s="399"/>
      <x:c r="S25" s="399"/>
      <x:c r="T25" s="399"/>
      <x:c r="U25" s="399"/>
      <x:c r="V25" s="399"/>
      <x:c r="W25" s="399"/>
      <x:c r="X25" s="399"/>
      <x:c r="Y25" s="399"/>
      <x:c r="Z25" s="399"/>
      <x:c r="AA25" s="399"/>
      <x:c r="AB25" s="399"/>
      <x:c r="AC25" s="399"/>
      <x:c r="AD25" s="399"/>
      <x:c r="AE25" s="399"/>
      <x:c r="AF25" s="399"/>
      <x:c r="AG25" s="399"/>
      <x:c r="AH25" s="399"/>
      <x:c r="AI25" s="399"/>
      <x:c r="AJ25" s="399"/>
      <x:c r="AK25" s="399"/>
      <x:c r="AL25" s="399"/>
      <x:c r="AM25" s="399"/>
      <x:c r="AN25" s="399"/>
    </x:row>
    <x:row r="26">
      <x:c r="A26" s="399"/>
      <x:c r="B26" s="399"/>
      <x:c r="C26" s="399"/>
      <x:c r="D26" s="399"/>
      <x:c r="E26" s="399"/>
      <x:c r="F26" s="399"/>
      <x:c r="G26" s="399"/>
      <x:c r="H26" s="399"/>
      <x:c r="I26" s="399"/>
      <x:c r="J26" s="399"/>
      <x:c r="K26" s="399"/>
      <x:c r="L26" s="399"/>
      <x:c r="M26" s="399"/>
      <x:c r="N26" s="399"/>
      <x:c r="O26" s="399"/>
      <x:c r="P26" s="399"/>
      <x:c r="Q26" s="399"/>
      <x:c r="R26" s="399"/>
      <x:c r="S26" s="399"/>
      <x:c r="T26" s="399"/>
      <x:c r="U26" s="399"/>
      <x:c r="V26" s="399"/>
      <x:c r="W26" s="399"/>
      <x:c r="X26" s="399"/>
      <x:c r="Y26" s="399"/>
      <x:c r="Z26" s="399"/>
      <x:c r="AA26" s="399"/>
      <x:c r="AB26" s="399"/>
      <x:c r="AC26" s="399"/>
      <x:c r="AD26" s="399"/>
      <x:c r="AE26" s="399"/>
      <x:c r="AF26" s="399"/>
      <x:c r="AG26" s="399"/>
      <x:c r="AH26" s="399"/>
      <x:c r="AI26" s="399"/>
      <x:c r="AJ26" s="399"/>
      <x:c r="AK26" s="399"/>
      <x:c r="AL26" s="399"/>
      <x:c r="AM26" s="399"/>
      <x:c r="AN26" s="399"/>
    </x:row>
    <x:row r="27">
      <x:c r="A27" s="399"/>
      <x:c r="B27" s="399"/>
      <x:c r="C27" s="399"/>
      <x:c r="D27" s="399"/>
      <x:c r="E27" s="399"/>
      <x:c r="F27" s="399"/>
      <x:c r="G27" s="399"/>
      <x:c r="H27" s="399"/>
      <x:c r="I27" s="399"/>
      <x:c r="J27" s="399"/>
      <x:c r="K27" s="399"/>
      <x:c r="L27" s="399"/>
      <x:c r="M27" s="399"/>
      <x:c r="N27" s="399"/>
      <x:c r="O27" s="399"/>
      <x:c r="P27" s="399"/>
      <x:c r="Q27" s="399"/>
      <x:c r="R27" s="399"/>
      <x:c r="S27" s="399"/>
      <x:c r="T27" s="399"/>
      <x:c r="U27" s="399"/>
      <x:c r="V27" s="399"/>
      <x:c r="W27" s="399"/>
      <x:c r="X27" s="399"/>
      <x:c r="Y27" s="399"/>
      <x:c r="Z27" s="399"/>
      <x:c r="AA27" s="399"/>
      <x:c r="AB27" s="399"/>
      <x:c r="AC27" s="399"/>
      <x:c r="AD27" s="399"/>
      <x:c r="AE27" s="399"/>
      <x:c r="AF27" s="399"/>
      <x:c r="AG27" s="399"/>
      <x:c r="AH27" s="399"/>
      <x:c r="AI27" s="399"/>
      <x:c r="AJ27" s="399"/>
      <x:c r="AK27" s="399"/>
      <x:c r="AL27" s="399"/>
      <x:c r="AM27" s="399"/>
      <x:c r="AN27" s="399"/>
    </x:row>
    <x:row r="28">
      <x:c r="A28" s="399"/>
      <x:c r="B28" s="399"/>
      <x:c r="C28" s="399"/>
      <x:c r="D28" s="399"/>
      <x:c r="E28" s="399"/>
      <x:c r="F28" s="399"/>
      <x:c r="G28" s="399"/>
      <x:c r="H28" s="399"/>
      <x:c r="I28" s="399"/>
      <x:c r="J28" s="399"/>
      <x:c r="K28" s="399"/>
      <x:c r="L28" s="399"/>
      <x:c r="M28" s="399"/>
      <x:c r="N28" s="399"/>
      <x:c r="O28" s="399"/>
      <x:c r="P28" s="399"/>
      <x:c r="Q28" s="399"/>
      <x:c r="R28" s="399"/>
      <x:c r="S28" s="399"/>
      <x:c r="T28" s="399"/>
      <x:c r="U28" s="399"/>
      <x:c r="V28" s="399"/>
      <x:c r="W28" s="399"/>
      <x:c r="X28" s="399"/>
      <x:c r="Y28" s="399"/>
      <x:c r="Z28" s="399"/>
      <x:c r="AA28" s="399"/>
      <x:c r="AB28" s="399"/>
      <x:c r="AC28" s="399"/>
      <x:c r="AD28" s="399"/>
      <x:c r="AE28" s="399"/>
      <x:c r="AF28" s="399"/>
      <x:c r="AG28" s="399"/>
      <x:c r="AH28" s="399"/>
      <x:c r="AI28" s="399"/>
      <x:c r="AJ28" s="399"/>
      <x:c r="AK28" s="399"/>
      <x:c r="AL28" s="399"/>
      <x:c r="AM28" s="399"/>
      <x:c r="AN28" s="399"/>
    </x:row>
    <x:row r="29">
      <x:c r="A29" s="399"/>
      <x:c r="B29" s="399"/>
      <x:c r="C29" s="399"/>
      <x:c r="D29" s="399"/>
      <x:c r="E29" s="399"/>
      <x:c r="F29" s="399"/>
      <x:c r="G29" s="399"/>
      <x:c r="H29" s="399"/>
      <x:c r="I29" s="399"/>
      <x:c r="J29" s="399"/>
      <x:c r="K29" s="399"/>
      <x:c r="L29" s="399"/>
      <x:c r="M29" s="399"/>
      <x:c r="N29" s="399"/>
      <x:c r="O29" s="399"/>
      <x:c r="P29" s="399"/>
      <x:c r="Q29" s="399"/>
      <x:c r="R29" s="399"/>
      <x:c r="S29" s="399"/>
      <x:c r="T29" s="399"/>
      <x:c r="U29" s="399"/>
      <x:c r="V29" s="399"/>
      <x:c r="W29" s="399"/>
      <x:c r="X29" s="399"/>
      <x:c r="Y29" s="399"/>
      <x:c r="Z29" s="399"/>
      <x:c r="AA29" s="399"/>
      <x:c r="AB29" s="399"/>
      <x:c r="AC29" s="399"/>
      <x:c r="AD29" s="399"/>
      <x:c r="AE29" s="399"/>
      <x:c r="AF29" s="399"/>
      <x:c r="AG29" s="399"/>
      <x:c r="AH29" s="399"/>
      <x:c r="AI29" s="399"/>
      <x:c r="AJ29" s="399"/>
      <x:c r="AK29" s="399"/>
      <x:c r="AL29" s="399"/>
      <x:c r="AM29" s="399"/>
      <x:c r="AN29" s="399"/>
    </x:row>
    <x:row r="30">
      <x:c r="A30" s="399"/>
      <x:c r="B30" s="399"/>
      <x:c r="C30" s="399"/>
      <x:c r="D30" s="399"/>
      <x:c r="E30" s="399"/>
      <x:c r="F30" s="399"/>
      <x:c r="G30" s="399"/>
      <x:c r="H30" s="399"/>
      <x:c r="I30" s="399"/>
      <x:c r="J30" s="399"/>
      <x:c r="K30" s="399"/>
      <x:c r="L30" s="399"/>
      <x:c r="M30" s="399"/>
      <x:c r="N30" s="399"/>
      <x:c r="O30" s="399"/>
      <x:c r="P30" s="399"/>
      <x:c r="Q30" s="399"/>
      <x:c r="R30" s="399"/>
      <x:c r="S30" s="399"/>
      <x:c r="T30" s="399"/>
      <x:c r="U30" s="399"/>
      <x:c r="V30" s="399"/>
      <x:c r="W30" s="399"/>
      <x:c r="X30" s="399"/>
      <x:c r="Y30" s="399"/>
      <x:c r="Z30" s="399"/>
      <x:c r="AA30" s="399"/>
      <x:c r="AB30" s="399"/>
      <x:c r="AC30" s="399"/>
      <x:c r="AD30" s="399"/>
      <x:c r="AE30" s="399"/>
      <x:c r="AF30" s="399"/>
      <x:c r="AG30" s="399"/>
      <x:c r="AH30" s="399"/>
      <x:c r="AI30" s="399"/>
      <x:c r="AJ30" s="399"/>
      <x:c r="AK30" s="399"/>
      <x:c r="AL30" s="399"/>
      <x:c r="AM30" s="399"/>
      <x:c r="AN30" s="399"/>
    </x:row>
    <x:row r="31">
      <x:c r="A31" s="399"/>
      <x:c r="B31" s="399"/>
      <x:c r="C31" s="399"/>
      <x:c r="D31" s="399"/>
      <x:c r="E31" s="399"/>
      <x:c r="F31" s="399"/>
      <x:c r="G31" s="399"/>
      <x:c r="H31" s="399"/>
      <x:c r="I31" s="399"/>
      <x:c r="J31" s="399"/>
      <x:c r="K31" s="399"/>
      <x:c r="L31" s="399"/>
      <x:c r="M31" s="399"/>
      <x:c r="N31" s="399"/>
      <x:c r="O31" s="399"/>
      <x:c r="P31" s="399"/>
      <x:c r="Q31" s="399"/>
      <x:c r="R31" s="399"/>
      <x:c r="S31" s="399"/>
      <x:c r="T31" s="399"/>
      <x:c r="U31" s="399"/>
      <x:c r="V31" s="399"/>
      <x:c r="W31" s="399"/>
      <x:c r="X31" s="399"/>
      <x:c r="Y31" s="399"/>
      <x:c r="Z31" s="399"/>
      <x:c r="AA31" s="399"/>
      <x:c r="AB31" s="399"/>
      <x:c r="AC31" s="399"/>
      <x:c r="AD31" s="399"/>
      <x:c r="AE31" s="399"/>
      <x:c r="AF31" s="399"/>
      <x:c r="AG31" s="399"/>
      <x:c r="AH31" s="399"/>
      <x:c r="AI31" s="399"/>
      <x:c r="AJ31" s="399"/>
      <x:c r="AK31" s="399"/>
      <x:c r="AL31" s="399"/>
      <x:c r="AM31" s="399"/>
      <x:c r="AN31" s="399"/>
    </x:row>
    <x:row r="32">
      <x:c r="A32" s="399"/>
      <x:c r="B32" s="399"/>
      <x:c r="C32" s="399"/>
      <x:c r="D32" s="399"/>
      <x:c r="E32" s="399"/>
      <x:c r="F32" s="399"/>
      <x:c r="G32" s="399"/>
      <x:c r="H32" s="399"/>
      <x:c r="I32" s="399"/>
      <x:c r="J32" s="399"/>
      <x:c r="K32" s="399"/>
      <x:c r="L32" s="399"/>
      <x:c r="M32" s="399"/>
      <x:c r="N32" s="399"/>
      <x:c r="O32" s="399"/>
      <x:c r="P32" s="399"/>
      <x:c r="Q32" s="399"/>
      <x:c r="R32" s="399"/>
      <x:c r="S32" s="399"/>
      <x:c r="T32" s="399"/>
      <x:c r="U32" s="399"/>
      <x:c r="V32" s="399"/>
      <x:c r="W32" s="399"/>
      <x:c r="X32" s="399"/>
      <x:c r="Y32" s="399"/>
      <x:c r="Z32" s="399"/>
      <x:c r="AA32" s="399"/>
      <x:c r="AB32" s="399"/>
      <x:c r="AC32" s="399"/>
      <x:c r="AD32" s="399"/>
      <x:c r="AE32" s="399"/>
      <x:c r="AF32" s="399"/>
      <x:c r="AG32" s="399"/>
      <x:c r="AH32" s="399"/>
      <x:c r="AI32" s="399"/>
      <x:c r="AJ32" s="399"/>
      <x:c r="AK32" s="399"/>
      <x:c r="AL32" s="399"/>
      <x:c r="AM32" s="399"/>
      <x:c r="AN32" s="399"/>
    </x:row>
    <x:row r="33">
      <x:c r="A33" s="399"/>
      <x:c r="B33" s="399"/>
      <x:c r="C33" s="399"/>
      <x:c r="D33" s="399"/>
      <x:c r="E33" s="399"/>
      <x:c r="F33" s="399"/>
      <x:c r="G33" s="399"/>
      <x:c r="H33" s="399"/>
      <x:c r="I33" s="399"/>
      <x:c r="J33" s="399"/>
      <x:c r="K33" s="399"/>
      <x:c r="L33" s="399"/>
      <x:c r="M33" s="399"/>
      <x:c r="N33" s="399"/>
      <x:c r="O33" s="399"/>
      <x:c r="P33" s="399"/>
      <x:c r="Q33" s="399"/>
      <x:c r="R33" s="399"/>
      <x:c r="S33" s="399"/>
      <x:c r="T33" s="399"/>
      <x:c r="U33" s="399"/>
      <x:c r="V33" s="399"/>
      <x:c r="W33" s="399"/>
      <x:c r="X33" s="399"/>
      <x:c r="Y33" s="399"/>
      <x:c r="Z33" s="399"/>
      <x:c r="AA33" s="399"/>
      <x:c r="AB33" s="399"/>
      <x:c r="AC33" s="399"/>
      <x:c r="AD33" s="399"/>
      <x:c r="AE33" s="399"/>
      <x:c r="AF33" s="399"/>
      <x:c r="AG33" s="399"/>
      <x:c r="AH33" s="399"/>
      <x:c r="AI33" s="399"/>
      <x:c r="AJ33" s="399"/>
      <x:c r="AK33" s="399"/>
      <x:c r="AL33" s="399"/>
      <x:c r="AM33" s="399"/>
      <x:c r="AN33" s="399"/>
    </x:row>
    <x:row r="34">
      <x:c r="A34" s="399"/>
      <x:c r="B34" s="399"/>
      <x:c r="C34" s="399"/>
      <x:c r="D34" s="399"/>
      <x:c r="E34" s="399"/>
      <x:c r="F34" s="399"/>
      <x:c r="G34" s="399"/>
      <x:c r="H34" s="399"/>
      <x:c r="I34" s="399"/>
      <x:c r="J34" s="399"/>
      <x:c r="K34" s="399"/>
      <x:c r="L34" s="399"/>
      <x:c r="M34" s="399"/>
      <x:c r="N34" s="399"/>
      <x:c r="O34" s="399"/>
      <x:c r="P34" s="399"/>
      <x:c r="Q34" s="399"/>
      <x:c r="R34" s="399"/>
      <x:c r="S34" s="399"/>
      <x:c r="T34" s="399"/>
      <x:c r="U34" s="399"/>
      <x:c r="V34" s="399"/>
      <x:c r="W34" s="399"/>
      <x:c r="X34" s="399"/>
      <x:c r="Y34" s="399"/>
      <x:c r="Z34" s="399"/>
      <x:c r="AA34" s="399"/>
      <x:c r="AB34" s="399"/>
      <x:c r="AC34" s="399"/>
      <x:c r="AD34" s="399"/>
      <x:c r="AE34" s="399"/>
      <x:c r="AF34" s="399"/>
      <x:c r="AG34" s="399"/>
      <x:c r="AH34" s="399"/>
      <x:c r="AI34" s="399"/>
      <x:c r="AJ34" s="399"/>
      <x:c r="AK34" s="399"/>
      <x:c r="AL34" s="399"/>
      <x:c r="AM34" s="399"/>
      <x:c r="AN34" s="399"/>
    </x:row>
    <x:row r="35">
      <x:c r="A35" s="399"/>
      <x:c r="B35" s="399"/>
      <x:c r="C35" s="399"/>
      <x:c r="D35" s="399"/>
      <x:c r="E35" s="399"/>
      <x:c r="F35" s="399"/>
      <x:c r="G35" s="399"/>
      <x:c r="H35" s="399"/>
      <x:c r="I35" s="399"/>
      <x:c r="J35" s="399"/>
      <x:c r="K35" s="399"/>
      <x:c r="L35" s="399"/>
      <x:c r="M35" s="399"/>
      <x:c r="N35" s="399"/>
      <x:c r="O35" s="399"/>
      <x:c r="P35" s="399"/>
      <x:c r="Q35" s="399"/>
      <x:c r="R35" s="399"/>
      <x:c r="S35" s="399"/>
      <x:c r="T35" s="399"/>
      <x:c r="U35" s="399"/>
      <x:c r="V35" s="399"/>
      <x:c r="W35" s="399"/>
      <x:c r="X35" s="399"/>
      <x:c r="Y35" s="399"/>
      <x:c r="Z35" s="399"/>
      <x:c r="AA35" s="399"/>
      <x:c r="AB35" s="399"/>
      <x:c r="AC35" s="399"/>
      <x:c r="AD35" s="399"/>
      <x:c r="AE35" s="399"/>
      <x:c r="AF35" s="399"/>
      <x:c r="AG35" s="399"/>
      <x:c r="AH35" s="399"/>
      <x:c r="AI35" s="399"/>
      <x:c r="AJ35" s="399"/>
      <x:c r="AK35" s="399"/>
      <x:c r="AL35" s="399"/>
      <x:c r="AM35" s="399"/>
      <x:c r="AN35" s="399"/>
    </x:row>
    <x:row r="36">
      <x:c r="A36" s="399"/>
      <x:c r="B36" s="399"/>
      <x:c r="C36" s="399"/>
      <x:c r="D36" s="399"/>
      <x:c r="E36" s="399"/>
      <x:c r="F36" s="399"/>
      <x:c r="G36" s="399"/>
      <x:c r="H36" s="399"/>
      <x:c r="I36" s="399"/>
      <x:c r="J36" s="399"/>
      <x:c r="K36" s="399"/>
      <x:c r="L36" s="399"/>
      <x:c r="M36" s="399"/>
      <x:c r="N36" s="399"/>
      <x:c r="O36" s="399"/>
      <x:c r="P36" s="399"/>
      <x:c r="Q36" s="399"/>
      <x:c r="R36" s="399"/>
      <x:c r="S36" s="399"/>
      <x:c r="T36" s="399"/>
      <x:c r="U36" s="399"/>
      <x:c r="V36" s="399"/>
      <x:c r="W36" s="399"/>
      <x:c r="X36" s="399"/>
      <x:c r="Y36" s="399"/>
      <x:c r="Z36" s="399"/>
      <x:c r="AA36" s="399"/>
      <x:c r="AB36" s="399"/>
      <x:c r="AC36" s="399"/>
      <x:c r="AD36" s="399"/>
      <x:c r="AE36" s="399"/>
      <x:c r="AF36" s="399"/>
      <x:c r="AG36" s="399"/>
      <x:c r="AH36" s="399"/>
      <x:c r="AI36" s="399"/>
      <x:c r="AJ36" s="399"/>
      <x:c r="AK36" s="399"/>
      <x:c r="AL36" s="399"/>
      <x:c r="AM36" s="399"/>
      <x:c r="AN36" s="399"/>
    </x:row>
    <x:row r="37">
      <x:c r="A37" s="399"/>
      <x:c r="B37" s="399"/>
      <x:c r="C37" s="399"/>
      <x:c r="D37" s="399"/>
      <x:c r="E37" s="399"/>
      <x:c r="F37" s="399"/>
      <x:c r="G37" s="399"/>
      <x:c r="H37" s="399"/>
      <x:c r="I37" s="399"/>
      <x:c r="J37" s="399"/>
      <x:c r="K37" s="399"/>
      <x:c r="L37" s="399"/>
      <x:c r="M37" s="399"/>
      <x:c r="N37" s="399"/>
      <x:c r="O37" s="399"/>
      <x:c r="P37" s="399"/>
      <x:c r="Q37" s="399"/>
      <x:c r="R37" s="399"/>
      <x:c r="S37" s="399"/>
      <x:c r="T37" s="399"/>
      <x:c r="U37" s="399"/>
      <x:c r="V37" s="399"/>
      <x:c r="W37" s="399"/>
      <x:c r="X37" s="399"/>
      <x:c r="Y37" s="399"/>
      <x:c r="Z37" s="399"/>
      <x:c r="AA37" s="399"/>
      <x:c r="AB37" s="399"/>
      <x:c r="AC37" s="399"/>
      <x:c r="AD37" s="399"/>
      <x:c r="AE37" s="399"/>
      <x:c r="AF37" s="399"/>
      <x:c r="AG37" s="399"/>
      <x:c r="AH37" s="399"/>
      <x:c r="AI37" s="399"/>
      <x:c r="AJ37" s="399"/>
      <x:c r="AK37" s="399"/>
      <x:c r="AL37" s="399"/>
      <x:c r="AM37" s="399"/>
      <x:c r="AN37" s="399"/>
    </x:row>
    <x:row r="38">
      <x:c r="A38" s="399"/>
      <x:c r="B38" s="399"/>
      <x:c r="C38" s="399"/>
      <x:c r="D38" s="399"/>
      <x:c r="E38" s="399"/>
      <x:c r="F38" s="399"/>
      <x:c r="G38" s="399"/>
      <x:c r="H38" s="399"/>
      <x:c r="I38" s="399"/>
      <x:c r="J38" s="399"/>
      <x:c r="K38" s="399"/>
      <x:c r="L38" s="399"/>
      <x:c r="M38" s="399"/>
      <x:c r="N38" s="399"/>
      <x:c r="O38" s="399"/>
      <x:c r="P38" s="399"/>
      <x:c r="Q38" s="399"/>
      <x:c r="R38" s="399"/>
      <x:c r="S38" s="399"/>
      <x:c r="T38" s="399"/>
      <x:c r="U38" s="399"/>
      <x:c r="V38" s="399"/>
      <x:c r="W38" s="399"/>
      <x:c r="X38" s="399"/>
      <x:c r="Y38" s="399"/>
      <x:c r="Z38" s="399"/>
      <x:c r="AA38" s="399"/>
      <x:c r="AB38" s="399"/>
      <x:c r="AC38" s="399"/>
      <x:c r="AD38" s="399"/>
      <x:c r="AE38" s="399"/>
      <x:c r="AF38" s="399"/>
      <x:c r="AG38" s="399"/>
      <x:c r="AH38" s="399"/>
      <x:c r="AI38" s="399"/>
      <x:c r="AJ38" s="399"/>
      <x:c r="AK38" s="399"/>
      <x:c r="AL38" s="399"/>
      <x:c r="AM38" s="399"/>
      <x:c r="AN38" s="399"/>
    </x:row>
    <x:row r="39">
      <x:c r="A39" s="399"/>
      <x:c r="B39" s="399"/>
      <x:c r="C39" s="399"/>
      <x:c r="D39" s="399"/>
      <x:c r="E39" s="399"/>
      <x:c r="F39" s="399"/>
      <x:c r="G39" s="399"/>
      <x:c r="H39" s="399"/>
      <x:c r="I39" s="399"/>
      <x:c r="J39" s="399"/>
      <x:c r="K39" s="399"/>
      <x:c r="L39" s="399"/>
      <x:c r="M39" s="399"/>
      <x:c r="N39" s="399"/>
      <x:c r="O39" s="399"/>
      <x:c r="P39" s="399"/>
      <x:c r="Q39" s="399"/>
      <x:c r="R39" s="399"/>
      <x:c r="S39" s="399"/>
      <x:c r="T39" s="399"/>
      <x:c r="U39" s="399"/>
      <x:c r="V39" s="399"/>
      <x:c r="W39" s="399"/>
      <x:c r="X39" s="399"/>
      <x:c r="Y39" s="399"/>
      <x:c r="Z39" s="399"/>
      <x:c r="AA39" s="399"/>
      <x:c r="AB39" s="399"/>
      <x:c r="AC39" s="399"/>
      <x:c r="AD39" s="399"/>
      <x:c r="AE39" s="399"/>
      <x:c r="AF39" s="399"/>
      <x:c r="AG39" s="399"/>
      <x:c r="AH39" s="399"/>
      <x:c r="AI39" s="399"/>
      <x:c r="AJ39" s="399"/>
      <x:c r="AK39" s="399"/>
      <x:c r="AL39" s="399"/>
      <x:c r="AM39" s="399"/>
      <x:c r="AN39" s="399"/>
    </x:row>
    <x:row r="40">
      <x:c r="A40" s="399"/>
      <x:c r="B40" s="399"/>
      <x:c r="C40" s="399"/>
      <x:c r="D40" s="399"/>
      <x:c r="E40" s="399"/>
      <x:c r="F40" s="399"/>
      <x:c r="G40" s="399"/>
      <x:c r="H40" s="399"/>
      <x:c r="I40" s="399"/>
      <x:c r="J40" s="399"/>
      <x:c r="K40" s="399"/>
      <x:c r="L40" s="399"/>
      <x:c r="M40" s="399"/>
      <x:c r="N40" s="399"/>
      <x:c r="O40" s="399"/>
      <x:c r="P40" s="399"/>
      <x:c r="Q40" s="399"/>
      <x:c r="R40" s="399"/>
      <x:c r="S40" s="399"/>
      <x:c r="T40" s="399"/>
      <x:c r="U40" s="399"/>
      <x:c r="V40" s="399"/>
      <x:c r="W40" s="399"/>
      <x:c r="X40" s="399"/>
      <x:c r="Y40" s="399"/>
      <x:c r="Z40" s="399"/>
      <x:c r="AA40" s="399"/>
      <x:c r="AB40" s="399"/>
      <x:c r="AC40" s="399"/>
      <x:c r="AD40" s="399"/>
      <x:c r="AE40" s="399"/>
      <x:c r="AF40" s="399"/>
      <x:c r="AG40" s="399"/>
      <x:c r="AH40" s="399"/>
      <x:c r="AI40" s="399"/>
      <x:c r="AJ40" s="399"/>
      <x:c r="AK40" s="399"/>
      <x:c r="AL40" s="399"/>
      <x:c r="AM40" s="399"/>
      <x:c r="AN40" s="399"/>
    </x:row>
    <x:row r="41">
      <x:c r="A41" s="399"/>
      <x:c r="B41" s="399"/>
      <x:c r="C41" s="399"/>
      <x:c r="D41" s="399"/>
      <x:c r="E41" s="399"/>
      <x:c r="F41" s="399"/>
      <x:c r="G41" s="399"/>
      <x:c r="H41" s="399"/>
      <x:c r="I41" s="399"/>
      <x:c r="J41" s="399"/>
      <x:c r="K41" s="399"/>
      <x:c r="L41" s="399"/>
      <x:c r="M41" s="399"/>
      <x:c r="N41" s="399"/>
      <x:c r="O41" s="399"/>
      <x:c r="P41" s="399"/>
      <x:c r="Q41" s="399"/>
      <x:c r="R41" s="399"/>
      <x:c r="S41" s="399"/>
      <x:c r="T41" s="399"/>
      <x:c r="U41" s="399"/>
      <x:c r="V41" s="399"/>
      <x:c r="W41" s="399"/>
      <x:c r="X41" s="399"/>
      <x:c r="Y41" s="399"/>
      <x:c r="Z41" s="399"/>
      <x:c r="AA41" s="399"/>
      <x:c r="AB41" s="399"/>
      <x:c r="AC41" s="399"/>
      <x:c r="AD41" s="399"/>
      <x:c r="AE41" s="399"/>
      <x:c r="AF41" s="399"/>
      <x:c r="AG41" s="399"/>
      <x:c r="AH41" s="399"/>
      <x:c r="AI41" s="399"/>
      <x:c r="AJ41" s="399"/>
      <x:c r="AK41" s="399"/>
      <x:c r="AL41" s="399"/>
      <x:c r="AM41" s="399"/>
      <x:c r="AN41" s="399"/>
    </x:row>
    <x:row r="42">
      <x:c r="A42" s="399"/>
      <x:c r="B42" s="399"/>
      <x:c r="C42" s="399"/>
      <x:c r="D42" s="399"/>
      <x:c r="E42" s="399"/>
      <x:c r="F42" s="399"/>
      <x:c r="G42" s="399"/>
      <x:c r="H42" s="399"/>
      <x:c r="I42" s="399"/>
      <x:c r="J42" s="399"/>
      <x:c r="K42" s="399"/>
      <x:c r="L42" s="399"/>
      <x:c r="M42" s="399"/>
      <x:c r="N42" s="399"/>
      <x:c r="O42" s="399"/>
      <x:c r="P42" s="399"/>
      <x:c r="Q42" s="399"/>
      <x:c r="R42" s="399"/>
      <x:c r="S42" s="399"/>
      <x:c r="T42" s="399"/>
      <x:c r="U42" s="399"/>
      <x:c r="V42" s="399"/>
      <x:c r="W42" s="399"/>
      <x:c r="X42" s="399"/>
      <x:c r="Y42" s="399"/>
      <x:c r="Z42" s="399"/>
      <x:c r="AA42" s="399"/>
      <x:c r="AB42" s="399"/>
      <x:c r="AC42" s="399"/>
      <x:c r="AD42" s="399"/>
      <x:c r="AE42" s="399"/>
      <x:c r="AF42" s="399"/>
      <x:c r="AG42" s="399"/>
      <x:c r="AH42" s="399"/>
      <x:c r="AI42" s="399"/>
      <x:c r="AJ42" s="399"/>
      <x:c r="AK42" s="399"/>
      <x:c r="AL42" s="399"/>
      <x:c r="AM42" s="399"/>
      <x:c r="AN42" s="399"/>
    </x:row>
    <x:row r="43">
      <x:c r="A43" s="399"/>
      <x:c r="B43" s="399"/>
      <x:c r="C43" s="399"/>
      <x:c r="D43" s="399"/>
      <x:c r="E43" s="399"/>
      <x:c r="F43" s="399"/>
      <x:c r="G43" s="399"/>
      <x:c r="H43" s="399"/>
      <x:c r="I43" s="399"/>
      <x:c r="J43" s="399"/>
      <x:c r="K43" s="399"/>
      <x:c r="L43" s="399"/>
      <x:c r="M43" s="399"/>
      <x:c r="N43" s="399"/>
      <x:c r="O43" s="399"/>
      <x:c r="P43" s="399"/>
      <x:c r="Q43" s="399"/>
      <x:c r="R43" s="399"/>
      <x:c r="S43" s="399"/>
      <x:c r="T43" s="399"/>
      <x:c r="U43" s="399"/>
      <x:c r="V43" s="399"/>
      <x:c r="W43" s="399"/>
      <x:c r="X43" s="399"/>
      <x:c r="Y43" s="399"/>
      <x:c r="Z43" s="399"/>
      <x:c r="AA43" s="399"/>
      <x:c r="AB43" s="399"/>
      <x:c r="AC43" s="399"/>
      <x:c r="AD43" s="399"/>
      <x:c r="AE43" s="399"/>
      <x:c r="AF43" s="399"/>
      <x:c r="AG43" s="399"/>
      <x:c r="AH43" s="399"/>
      <x:c r="AI43" s="399"/>
      <x:c r="AJ43" s="399"/>
      <x:c r="AK43" s="399"/>
      <x:c r="AL43" s="399"/>
      <x:c r="AM43" s="399"/>
      <x:c r="AN43" s="399"/>
    </x:row>
    <x:row r="44">
      <x:c r="A44" s="399"/>
      <x:c r="B44" s="399"/>
      <x:c r="C44" s="399"/>
      <x:c r="D44" s="399"/>
      <x:c r="E44" s="399"/>
      <x:c r="F44" s="399"/>
      <x:c r="G44" s="399"/>
      <x:c r="H44" s="399"/>
      <x:c r="I44" s="399"/>
      <x:c r="J44" s="399"/>
      <x:c r="K44" s="399"/>
      <x:c r="L44" s="399"/>
      <x:c r="M44" s="399"/>
      <x:c r="N44" s="399"/>
      <x:c r="O44" s="399"/>
      <x:c r="P44" s="399"/>
      <x:c r="Q44" s="399"/>
      <x:c r="R44" s="399"/>
      <x:c r="S44" s="399"/>
      <x:c r="T44" s="399"/>
      <x:c r="U44" s="399"/>
      <x:c r="V44" s="399"/>
      <x:c r="W44" s="399"/>
      <x:c r="X44" s="399"/>
      <x:c r="Y44" s="399"/>
      <x:c r="Z44" s="399"/>
      <x:c r="AA44" s="399"/>
      <x:c r="AB44" s="399"/>
      <x:c r="AC44" s="399"/>
      <x:c r="AD44" s="399"/>
      <x:c r="AE44" s="399"/>
      <x:c r="AF44" s="399"/>
      <x:c r="AG44" s="399"/>
      <x:c r="AH44" s="399"/>
      <x:c r="AI44" s="399"/>
      <x:c r="AJ44" s="399"/>
      <x:c r="AK44" s="399"/>
      <x:c r="AL44" s="399"/>
      <x:c r="AM44" s="399"/>
      <x:c r="AN44" s="399"/>
    </x:row>
    <x:row r="45">
      <x:c r="A45" s="399"/>
      <x:c r="B45" s="399"/>
      <x:c r="C45" s="399"/>
      <x:c r="D45" s="399"/>
      <x:c r="E45" s="399"/>
      <x:c r="F45" s="399"/>
      <x:c r="G45" s="399"/>
      <x:c r="H45" s="399"/>
      <x:c r="I45" s="399"/>
      <x:c r="J45" s="399"/>
      <x:c r="K45" s="399"/>
      <x:c r="L45" s="399"/>
      <x:c r="M45" s="399"/>
      <x:c r="N45" s="399"/>
      <x:c r="O45" s="399"/>
      <x:c r="P45" s="399"/>
      <x:c r="Q45" s="399"/>
      <x:c r="R45" s="399"/>
      <x:c r="S45" s="399"/>
      <x:c r="T45" s="399"/>
      <x:c r="U45" s="399"/>
      <x:c r="V45" s="399"/>
      <x:c r="W45" s="399"/>
      <x:c r="X45" s="399"/>
      <x:c r="Y45" s="399"/>
      <x:c r="Z45" s="399"/>
      <x:c r="AA45" s="399"/>
      <x:c r="AB45" s="399"/>
      <x:c r="AC45" s="399"/>
      <x:c r="AD45" s="399"/>
      <x:c r="AE45" s="399"/>
      <x:c r="AF45" s="399"/>
      <x:c r="AG45" s="399"/>
      <x:c r="AH45" s="399"/>
      <x:c r="AI45" s="399"/>
      <x:c r="AJ45" s="399"/>
      <x:c r="AK45" s="399"/>
      <x:c r="AL45" s="399"/>
      <x:c r="AM45" s="399"/>
      <x:c r="AN45" s="399"/>
    </x:row>
    <x:row r="46">
      <x:c r="A46" s="399"/>
      <x:c r="B46" s="399"/>
      <x:c r="C46" s="399"/>
      <x:c r="D46" s="399"/>
      <x:c r="E46" s="399"/>
      <x:c r="F46" s="399"/>
      <x:c r="G46" s="399"/>
      <x:c r="H46" s="399"/>
      <x:c r="I46" s="399"/>
      <x:c r="J46" s="399"/>
      <x:c r="K46" s="399"/>
      <x:c r="L46" s="399"/>
      <x:c r="M46" s="399"/>
      <x:c r="N46" s="399"/>
      <x:c r="O46" s="399"/>
      <x:c r="P46" s="399"/>
      <x:c r="Q46" s="399"/>
      <x:c r="R46" s="399"/>
      <x:c r="S46" s="399"/>
      <x:c r="T46" s="399"/>
      <x:c r="U46" s="399"/>
      <x:c r="V46" s="399"/>
      <x:c r="W46" s="399"/>
      <x:c r="X46" s="399"/>
      <x:c r="Y46" s="399"/>
      <x:c r="Z46" s="399"/>
      <x:c r="AA46" s="399"/>
      <x:c r="AB46" s="399"/>
      <x:c r="AC46" s="399"/>
      <x:c r="AD46" s="399"/>
      <x:c r="AE46" s="399"/>
      <x:c r="AF46" s="399"/>
      <x:c r="AG46" s="399"/>
      <x:c r="AH46" s="399"/>
      <x:c r="AI46" s="399"/>
      <x:c r="AJ46" s="399"/>
      <x:c r="AK46" s="399"/>
      <x:c r="AL46" s="399"/>
      <x:c r="AM46" s="399"/>
      <x:c r="AN46" s="399"/>
    </x:row>
    <x:row r="47">
      <x:c r="A47" s="399"/>
      <x:c r="B47" s="399"/>
      <x:c r="C47" s="399"/>
      <x:c r="D47" s="399"/>
      <x:c r="E47" s="399"/>
      <x:c r="F47" s="399"/>
      <x:c r="G47" s="399"/>
      <x:c r="H47" s="399"/>
      <x:c r="I47" s="399"/>
      <x:c r="J47" s="399"/>
      <x:c r="K47" s="399"/>
      <x:c r="L47" s="399"/>
      <x:c r="M47" s="399"/>
      <x:c r="N47" s="399"/>
      <x:c r="O47" s="399"/>
      <x:c r="P47" s="399"/>
      <x:c r="Q47" s="399"/>
      <x:c r="R47" s="399"/>
      <x:c r="S47" s="399"/>
      <x:c r="T47" s="399"/>
      <x:c r="U47" s="399"/>
      <x:c r="V47" s="399"/>
      <x:c r="W47" s="399"/>
      <x:c r="X47" s="399"/>
      <x:c r="Y47" s="399"/>
      <x:c r="Z47" s="399"/>
      <x:c r="AA47" s="399"/>
      <x:c r="AB47" s="399"/>
      <x:c r="AC47" s="399"/>
      <x:c r="AD47" s="399"/>
      <x:c r="AE47" s="399"/>
      <x:c r="AF47" s="399"/>
      <x:c r="AG47" s="399"/>
      <x:c r="AH47" s="399"/>
      <x:c r="AI47" s="399"/>
      <x:c r="AJ47" s="399"/>
      <x:c r="AK47" s="399"/>
      <x:c r="AL47" s="399"/>
      <x:c r="AM47" s="399"/>
      <x:c r="AN47" s="399"/>
    </x:row>
    <x:row r="48">
      <x:c r="A48" s="399"/>
      <x:c r="B48" s="399"/>
      <x:c r="C48" s="399"/>
      <x:c r="D48" s="399"/>
      <x:c r="E48" s="399"/>
      <x:c r="F48" s="399"/>
      <x:c r="G48" s="399"/>
      <x:c r="H48" s="399"/>
      <x:c r="I48" s="399"/>
      <x:c r="J48" s="399"/>
      <x:c r="K48" s="399"/>
      <x:c r="L48" s="399"/>
      <x:c r="M48" s="399"/>
      <x:c r="N48" s="399"/>
      <x:c r="O48" s="399"/>
      <x:c r="P48" s="399"/>
      <x:c r="Q48" s="399"/>
      <x:c r="R48" s="399"/>
      <x:c r="S48" s="399"/>
      <x:c r="T48" s="399"/>
      <x:c r="U48" s="399"/>
      <x:c r="V48" s="399"/>
      <x:c r="W48" s="399"/>
      <x:c r="X48" s="399"/>
      <x:c r="Y48" s="399"/>
      <x:c r="Z48" s="399"/>
      <x:c r="AA48" s="399"/>
      <x:c r="AB48" s="399"/>
      <x:c r="AC48" s="399"/>
      <x:c r="AD48" s="399"/>
      <x:c r="AE48" s="399"/>
      <x:c r="AF48" s="399"/>
      <x:c r="AG48" s="399"/>
      <x:c r="AH48" s="399"/>
      <x:c r="AI48" s="399"/>
      <x:c r="AJ48" s="399"/>
      <x:c r="AK48" s="399"/>
      <x:c r="AL48" s="399"/>
      <x:c r="AM48" s="399"/>
      <x:c r="AN48" s="399"/>
    </x:row>
    <x:row r="49">
      <x:c r="A49" s="399"/>
      <x:c r="B49" s="399"/>
      <x:c r="C49" s="399"/>
      <x:c r="D49" s="399"/>
      <x:c r="E49" s="399"/>
      <x:c r="F49" s="399"/>
      <x:c r="G49" s="399"/>
      <x:c r="H49" s="399"/>
      <x:c r="I49" s="399"/>
      <x:c r="J49" s="399"/>
      <x:c r="K49" s="399"/>
      <x:c r="L49" s="399"/>
      <x:c r="M49" s="399"/>
      <x:c r="N49" s="399"/>
      <x:c r="O49" s="399"/>
      <x:c r="P49" s="399"/>
      <x:c r="Q49" s="399"/>
      <x:c r="R49" s="399"/>
      <x:c r="S49" s="399"/>
      <x:c r="T49" s="399"/>
      <x:c r="U49" s="399"/>
      <x:c r="V49" s="399"/>
      <x:c r="W49" s="399"/>
      <x:c r="X49" s="399"/>
      <x:c r="Y49" s="399"/>
      <x:c r="Z49" s="399"/>
      <x:c r="AA49" s="399"/>
      <x:c r="AB49" s="399"/>
      <x:c r="AC49" s="399"/>
      <x:c r="AD49" s="399"/>
      <x:c r="AE49" s="399"/>
      <x:c r="AF49" s="399"/>
      <x:c r="AG49" s="399"/>
      <x:c r="AH49" s="399"/>
      <x:c r="AI49" s="399"/>
      <x:c r="AJ49" s="399"/>
      <x:c r="AK49" s="399"/>
      <x:c r="AL49" s="399"/>
      <x:c r="AM49" s="399"/>
      <x:c r="AN49" s="399"/>
    </x:row>
    <x:row r="50">
      <x:c r="A50" s="399"/>
      <x:c r="B50" s="399"/>
      <x:c r="C50" s="399"/>
      <x:c r="D50" s="399"/>
      <x:c r="E50" s="399"/>
      <x:c r="F50" s="399"/>
      <x:c r="G50" s="399"/>
      <x:c r="H50" s="399"/>
      <x:c r="I50" s="399"/>
      <x:c r="J50" s="399"/>
      <x:c r="K50" s="399"/>
      <x:c r="L50" s="399"/>
      <x:c r="M50" s="399"/>
      <x:c r="N50" s="399"/>
      <x:c r="O50" s="399"/>
      <x:c r="P50" s="399"/>
      <x:c r="Q50" s="399"/>
      <x:c r="R50" s="399"/>
      <x:c r="S50" s="399"/>
      <x:c r="T50" s="399"/>
      <x:c r="U50" s="399"/>
      <x:c r="V50" s="399"/>
      <x:c r="W50" s="399"/>
      <x:c r="X50" s="399"/>
      <x:c r="Y50" s="399"/>
      <x:c r="Z50" s="399"/>
      <x:c r="AA50" s="399"/>
      <x:c r="AB50" s="399"/>
      <x:c r="AC50" s="399"/>
      <x:c r="AD50" s="399"/>
      <x:c r="AE50" s="399"/>
      <x:c r="AF50" s="399"/>
      <x:c r="AG50" s="399"/>
      <x:c r="AH50" s="399"/>
      <x:c r="AI50" s="399"/>
      <x:c r="AJ50" s="399"/>
      <x:c r="AK50" s="399"/>
      <x:c r="AL50" s="399"/>
      <x:c r="AM50" s="399"/>
      <x:c r="AN50" s="399"/>
    </x:row>
    <x:row r="51">
      <x:c r="A51" s="399"/>
      <x:c r="B51" s="399"/>
      <x:c r="C51" s="399"/>
      <x:c r="D51" s="399"/>
      <x:c r="E51" s="399"/>
      <x:c r="F51" s="399"/>
      <x:c r="G51" s="399"/>
      <x:c r="H51" s="399"/>
      <x:c r="I51" s="399"/>
      <x:c r="J51" s="399"/>
      <x:c r="K51" s="399"/>
      <x:c r="L51" s="399"/>
      <x:c r="M51" s="399"/>
      <x:c r="N51" s="399"/>
      <x:c r="O51" s="399"/>
      <x:c r="P51" s="399"/>
      <x:c r="Q51" s="399"/>
      <x:c r="R51" s="399"/>
      <x:c r="S51" s="399"/>
      <x:c r="T51" s="399"/>
      <x:c r="U51" s="399"/>
      <x:c r="V51" s="399"/>
      <x:c r="W51" s="399"/>
      <x:c r="X51" s="399"/>
      <x:c r="Y51" s="399"/>
      <x:c r="Z51" s="399"/>
      <x:c r="AA51" s="399"/>
      <x:c r="AB51" s="399"/>
      <x:c r="AC51" s="399"/>
      <x:c r="AD51" s="399"/>
      <x:c r="AE51" s="399"/>
      <x:c r="AF51" s="399"/>
      <x:c r="AG51" s="399"/>
      <x:c r="AH51" s="399"/>
      <x:c r="AI51" s="399"/>
      <x:c r="AJ51" s="399"/>
      <x:c r="AK51" s="399"/>
      <x:c r="AL51" s="399"/>
      <x:c r="AM51" s="399"/>
      <x:c r="AN51" s="399"/>
    </x:row>
    <x:row r="52">
      <x:c r="A52" s="399"/>
      <x:c r="B52" s="399"/>
      <x:c r="C52" s="399"/>
      <x:c r="D52" s="399"/>
      <x:c r="E52" s="399"/>
      <x:c r="F52" s="399"/>
      <x:c r="G52" s="399"/>
      <x:c r="H52" s="399"/>
      <x:c r="I52" s="399"/>
      <x:c r="J52" s="399"/>
      <x:c r="K52" s="399"/>
      <x:c r="L52" s="399"/>
      <x:c r="M52" s="399"/>
      <x:c r="N52" s="399"/>
      <x:c r="O52" s="399"/>
      <x:c r="P52" s="399"/>
      <x:c r="Q52" s="399"/>
      <x:c r="R52" s="399"/>
      <x:c r="S52" s="399"/>
      <x:c r="T52" s="399"/>
      <x:c r="U52" s="399"/>
      <x:c r="V52" s="399"/>
      <x:c r="W52" s="399"/>
      <x:c r="X52" s="399"/>
      <x:c r="Y52" s="399"/>
      <x:c r="Z52" s="399"/>
      <x:c r="AA52" s="399"/>
      <x:c r="AB52" s="399"/>
      <x:c r="AC52" s="399"/>
      <x:c r="AD52" s="399"/>
      <x:c r="AE52" s="399"/>
      <x:c r="AF52" s="399"/>
      <x:c r="AG52" s="399"/>
      <x:c r="AH52" s="399"/>
      <x:c r="AI52" s="399"/>
      <x:c r="AJ52" s="399"/>
      <x:c r="AK52" s="399"/>
      <x:c r="AL52" s="399"/>
      <x:c r="AM52" s="399"/>
      <x:c r="AN52" s="399"/>
    </x:row>
    <x:row r="53">
      <x:c r="A53" s="399"/>
      <x:c r="B53" s="399"/>
      <x:c r="C53" s="399"/>
      <x:c r="D53" s="399"/>
      <x:c r="E53" s="399"/>
      <x:c r="F53" s="399"/>
      <x:c r="G53" s="399"/>
      <x:c r="H53" s="399"/>
      <x:c r="I53" s="399"/>
      <x:c r="J53" s="399"/>
      <x:c r="K53" s="399"/>
      <x:c r="L53" s="399"/>
      <x:c r="M53" s="399"/>
      <x:c r="N53" s="399"/>
      <x:c r="O53" s="399"/>
      <x:c r="P53" s="399"/>
      <x:c r="Q53" s="399"/>
      <x:c r="R53" s="399"/>
      <x:c r="S53" s="399"/>
      <x:c r="T53" s="399"/>
      <x:c r="U53" s="399"/>
      <x:c r="V53" s="399"/>
      <x:c r="W53" s="399"/>
      <x:c r="X53" s="399"/>
      <x:c r="Y53" s="399"/>
      <x:c r="Z53" s="399"/>
      <x:c r="AA53" s="399"/>
      <x:c r="AB53" s="399"/>
      <x:c r="AC53" s="399"/>
      <x:c r="AD53" s="399"/>
      <x:c r="AE53" s="399"/>
      <x:c r="AF53" s="399"/>
      <x:c r="AG53" s="399"/>
      <x:c r="AH53" s="399"/>
      <x:c r="AI53" s="399"/>
      <x:c r="AJ53" s="399"/>
      <x:c r="AK53" s="399"/>
      <x:c r="AL53" s="399"/>
      <x:c r="AM53" s="399"/>
      <x:c r="AN53" s="399"/>
    </x:row>
    <x:row r="54">
      <x:c r="A54" s="399"/>
      <x:c r="B54" s="399"/>
      <x:c r="C54" s="399"/>
      <x:c r="D54" s="399"/>
      <x:c r="E54" s="399"/>
      <x:c r="F54" s="399"/>
      <x:c r="G54" s="399"/>
      <x:c r="H54" s="399"/>
      <x:c r="I54" s="399"/>
      <x:c r="J54" s="399"/>
      <x:c r="K54" s="399"/>
      <x:c r="L54" s="399"/>
      <x:c r="M54" s="399"/>
      <x:c r="N54" s="399"/>
      <x:c r="O54" s="399"/>
      <x:c r="P54" s="399"/>
      <x:c r="Q54" s="399"/>
      <x:c r="R54" s="399"/>
      <x:c r="S54" s="399"/>
      <x:c r="T54" s="399"/>
      <x:c r="U54" s="399"/>
      <x:c r="V54" s="399"/>
      <x:c r="W54" s="399"/>
      <x:c r="X54" s="399"/>
      <x:c r="Y54" s="399"/>
      <x:c r="Z54" s="399"/>
      <x:c r="AA54" s="399"/>
      <x:c r="AB54" s="399"/>
      <x:c r="AC54" s="399"/>
      <x:c r="AD54" s="399"/>
      <x:c r="AE54" s="399"/>
      <x:c r="AF54" s="399"/>
      <x:c r="AG54" s="399"/>
      <x:c r="AH54" s="399"/>
      <x:c r="AI54" s="399"/>
      <x:c r="AJ54" s="399"/>
      <x:c r="AK54" s="399"/>
      <x:c r="AL54" s="399"/>
      <x:c r="AM54" s="399"/>
      <x:c r="AN54" s="399"/>
    </x:row>
    <x:row r="55">
      <x:c r="A55" s="399"/>
      <x:c r="B55" s="399"/>
      <x:c r="C55" s="399"/>
      <x:c r="D55" s="399"/>
      <x:c r="E55" s="399"/>
      <x:c r="F55" s="399"/>
      <x:c r="G55" s="399"/>
      <x:c r="H55" s="399"/>
      <x:c r="I55" s="399"/>
      <x:c r="J55" s="399"/>
      <x:c r="K55" s="399"/>
      <x:c r="L55" s="399"/>
      <x:c r="M55" s="399"/>
      <x:c r="N55" s="399"/>
      <x:c r="O55" s="399"/>
      <x:c r="P55" s="399"/>
      <x:c r="Q55" s="399"/>
      <x:c r="R55" s="399"/>
      <x:c r="S55" s="399"/>
      <x:c r="T55" s="399"/>
      <x:c r="U55" s="399"/>
      <x:c r="V55" s="399"/>
      <x:c r="W55" s="399"/>
      <x:c r="X55" s="399"/>
      <x:c r="Y55" s="399"/>
      <x:c r="Z55" s="399"/>
      <x:c r="AA55" s="399"/>
      <x:c r="AB55" s="399"/>
      <x:c r="AC55" s="399"/>
      <x:c r="AD55" s="399"/>
      <x:c r="AE55" s="399"/>
      <x:c r="AF55" s="399"/>
      <x:c r="AG55" s="399"/>
      <x:c r="AH55" s="399"/>
      <x:c r="AI55" s="399"/>
      <x:c r="AJ55" s="399"/>
      <x:c r="AK55" s="399"/>
      <x:c r="AL55" s="399"/>
      <x:c r="AM55" s="399"/>
      <x:c r="AN55" s="399"/>
    </x:row>
    <x:row r="56">
      <x:c r="A56" s="399"/>
      <x:c r="B56" s="399"/>
      <x:c r="C56" s="399"/>
      <x:c r="D56" s="399"/>
      <x:c r="E56" s="399"/>
      <x:c r="F56" s="399"/>
      <x:c r="G56" s="399"/>
      <x:c r="H56" s="399"/>
      <x:c r="I56" s="399"/>
      <x:c r="J56" s="399"/>
      <x:c r="K56" s="399"/>
      <x:c r="L56" s="399"/>
      <x:c r="M56" s="399"/>
      <x:c r="N56" s="399"/>
      <x:c r="O56" s="399"/>
      <x:c r="P56" s="399"/>
      <x:c r="Q56" s="399"/>
      <x:c r="R56" s="399"/>
      <x:c r="S56" s="399"/>
      <x:c r="T56" s="399"/>
      <x:c r="U56" s="399"/>
      <x:c r="V56" s="399"/>
      <x:c r="W56" s="399"/>
      <x:c r="X56" s="399"/>
      <x:c r="Y56" s="399"/>
      <x:c r="Z56" s="399"/>
      <x:c r="AA56" s="399"/>
      <x:c r="AB56" s="399"/>
      <x:c r="AC56" s="399"/>
      <x:c r="AD56" s="399"/>
      <x:c r="AE56" s="399"/>
      <x:c r="AF56" s="399"/>
      <x:c r="AG56" s="399"/>
      <x:c r="AH56" s="399"/>
      <x:c r="AI56" s="399"/>
      <x:c r="AJ56" s="399"/>
      <x:c r="AK56" s="399"/>
      <x:c r="AL56" s="399"/>
      <x:c r="AM56" s="399"/>
      <x:c r="AN56" s="399"/>
    </x:row>
    <x:row r="57">
      <x:c r="A57" s="399"/>
      <x:c r="B57" s="399"/>
      <x:c r="C57" s="399"/>
      <x:c r="D57" s="399"/>
      <x:c r="E57" s="399"/>
      <x:c r="F57" s="399"/>
      <x:c r="G57" s="399"/>
      <x:c r="H57" s="399"/>
      <x:c r="I57" s="399"/>
      <x:c r="J57" s="399"/>
      <x:c r="K57" s="399"/>
      <x:c r="L57" s="399"/>
      <x:c r="M57" s="399"/>
      <x:c r="N57" s="399"/>
      <x:c r="O57" s="399"/>
      <x:c r="P57" s="399"/>
      <x:c r="Q57" s="399"/>
      <x:c r="R57" s="399"/>
      <x:c r="S57" s="399"/>
      <x:c r="T57" s="399"/>
      <x:c r="U57" s="399"/>
      <x:c r="V57" s="399"/>
      <x:c r="W57" s="399"/>
      <x:c r="X57" s="399"/>
      <x:c r="Y57" s="399"/>
      <x:c r="Z57" s="399"/>
      <x:c r="AA57" s="399"/>
      <x:c r="AB57" s="399"/>
      <x:c r="AC57" s="399"/>
      <x:c r="AD57" s="399"/>
      <x:c r="AE57" s="399"/>
      <x:c r="AF57" s="399"/>
      <x:c r="AG57" s="399"/>
      <x:c r="AH57" s="399"/>
      <x:c r="AI57" s="399"/>
      <x:c r="AJ57" s="399"/>
      <x:c r="AK57" s="399"/>
      <x:c r="AL57" s="399"/>
      <x:c r="AM57" s="399"/>
      <x:c r="AN57" s="399"/>
    </x:row>
    <x:row r="58">
      <x:c r="A58" s="399"/>
      <x:c r="B58" s="399"/>
      <x:c r="C58" s="399"/>
      <x:c r="D58" s="399"/>
      <x:c r="E58" s="399"/>
      <x:c r="F58" s="399"/>
      <x:c r="G58" s="399"/>
      <x:c r="H58" s="399"/>
      <x:c r="I58" s="399"/>
      <x:c r="J58" s="399"/>
      <x:c r="K58" s="399"/>
      <x:c r="L58" s="399"/>
      <x:c r="M58" s="399"/>
      <x:c r="N58" s="399"/>
      <x:c r="O58" s="399"/>
      <x:c r="P58" s="399"/>
      <x:c r="Q58" s="399"/>
      <x:c r="R58" s="399"/>
      <x:c r="S58" s="399"/>
      <x:c r="T58" s="399"/>
      <x:c r="U58" s="399"/>
      <x:c r="V58" s="399"/>
      <x:c r="W58" s="399"/>
      <x:c r="X58" s="399"/>
      <x:c r="Y58" s="399"/>
      <x:c r="Z58" s="399"/>
      <x:c r="AA58" s="399"/>
      <x:c r="AB58" s="399"/>
      <x:c r="AC58" s="399"/>
      <x:c r="AD58" s="399"/>
      <x:c r="AE58" s="399"/>
      <x:c r="AF58" s="399"/>
      <x:c r="AG58" s="399"/>
      <x:c r="AH58" s="399"/>
      <x:c r="AI58" s="399"/>
      <x:c r="AJ58" s="399"/>
      <x:c r="AK58" s="399"/>
      <x:c r="AL58" s="399"/>
      <x:c r="AM58" s="399"/>
      <x:c r="AN58" s="399"/>
    </x:row>
    <x:row r="59">
      <x:c r="A59" s="399"/>
      <x:c r="B59" s="399"/>
      <x:c r="C59" s="399"/>
      <x:c r="D59" s="399"/>
      <x:c r="E59" s="399"/>
      <x:c r="F59" s="399"/>
      <x:c r="G59" s="399"/>
      <x:c r="H59" s="399"/>
      <x:c r="I59" s="399"/>
      <x:c r="J59" s="399"/>
      <x:c r="K59" s="399"/>
      <x:c r="L59" s="399"/>
      <x:c r="M59" s="399"/>
      <x:c r="N59" s="399"/>
      <x:c r="O59" s="399"/>
      <x:c r="P59" s="399"/>
      <x:c r="Q59" s="399"/>
      <x:c r="R59" s="399"/>
      <x:c r="S59" s="399"/>
      <x:c r="T59" s="399"/>
      <x:c r="U59" s="399"/>
      <x:c r="V59" s="399"/>
      <x:c r="W59" s="399"/>
      <x:c r="X59" s="399"/>
      <x:c r="Y59" s="399"/>
      <x:c r="Z59" s="399"/>
      <x:c r="AA59" s="399"/>
      <x:c r="AB59" s="399"/>
      <x:c r="AC59" s="399"/>
      <x:c r="AD59" s="399"/>
      <x:c r="AE59" s="399"/>
      <x:c r="AF59" s="399"/>
      <x:c r="AG59" s="399"/>
      <x:c r="AH59" s="399"/>
      <x:c r="AI59" s="399"/>
      <x:c r="AJ59" s="399"/>
      <x:c r="AK59" s="399"/>
      <x:c r="AL59" s="399"/>
      <x:c r="AM59" s="399"/>
      <x:c r="AN59" s="399"/>
    </x:row>
    <x:row r="60">
      <x:c r="A60" s="399"/>
      <x:c r="B60" s="399"/>
      <x:c r="C60" s="399"/>
      <x:c r="D60" s="399"/>
      <x:c r="E60" s="399"/>
      <x:c r="F60" s="399"/>
      <x:c r="G60" s="399"/>
      <x:c r="H60" s="399"/>
      <x:c r="I60" s="399"/>
      <x:c r="J60" s="399"/>
      <x:c r="K60" s="399"/>
      <x:c r="L60" s="399"/>
      <x:c r="M60" s="399"/>
      <x:c r="N60" s="399"/>
      <x:c r="O60" s="399"/>
      <x:c r="P60" s="399"/>
      <x:c r="Q60" s="399"/>
      <x:c r="R60" s="399"/>
      <x:c r="S60" s="399"/>
      <x:c r="T60" s="399"/>
      <x:c r="U60" s="399"/>
      <x:c r="V60" s="399"/>
      <x:c r="W60" s="399"/>
      <x:c r="X60" s="399"/>
      <x:c r="Y60" s="399"/>
      <x:c r="Z60" s="399"/>
      <x:c r="AA60" s="399"/>
      <x:c r="AB60" s="399"/>
      <x:c r="AC60" s="399"/>
      <x:c r="AD60" s="399"/>
      <x:c r="AE60" s="399"/>
      <x:c r="AF60" s="399"/>
      <x:c r="AG60" s="399"/>
      <x:c r="AH60" s="399"/>
      <x:c r="AI60" s="399"/>
      <x:c r="AJ60" s="399"/>
      <x:c r="AK60" s="399"/>
      <x:c r="AL60" s="399"/>
      <x:c r="AM60" s="399"/>
      <x:c r="AN60" s="399"/>
    </x:row>
    <x:row r="61">
      <x:c r="A61" s="399"/>
      <x:c r="B61" s="399"/>
      <x:c r="C61" s="399"/>
      <x:c r="D61" s="399"/>
      <x:c r="E61" s="399"/>
      <x:c r="F61" s="399"/>
      <x:c r="G61" s="399"/>
      <x:c r="H61" s="399"/>
      <x:c r="I61" s="399"/>
      <x:c r="J61" s="399"/>
      <x:c r="K61" s="399"/>
      <x:c r="L61" s="399"/>
      <x:c r="M61" s="399"/>
      <x:c r="N61" s="399"/>
      <x:c r="O61" s="399"/>
      <x:c r="P61" s="399"/>
      <x:c r="Q61" s="399"/>
      <x:c r="R61" s="399"/>
      <x:c r="S61" s="399"/>
      <x:c r="T61" s="399"/>
      <x:c r="U61" s="399"/>
      <x:c r="V61" s="399"/>
      <x:c r="W61" s="399"/>
      <x:c r="X61" s="399"/>
      <x:c r="Y61" s="399"/>
      <x:c r="Z61" s="399"/>
      <x:c r="AA61" s="399"/>
      <x:c r="AB61" s="399"/>
      <x:c r="AC61" s="399"/>
      <x:c r="AD61" s="399"/>
      <x:c r="AE61" s="399"/>
      <x:c r="AF61" s="399"/>
      <x:c r="AG61" s="399"/>
      <x:c r="AH61" s="399"/>
      <x:c r="AI61" s="399"/>
      <x:c r="AJ61" s="399"/>
      <x:c r="AK61" s="399"/>
      <x:c r="AL61" s="399"/>
      <x:c r="AM61" s="399"/>
      <x:c r="AN61" s="399"/>
    </x:row>
    <x:row r="62">
      <x:c r="A62" s="399"/>
      <x:c r="B62" s="399"/>
      <x:c r="C62" s="399"/>
      <x:c r="D62" s="399"/>
      <x:c r="E62" s="399"/>
      <x:c r="F62" s="399"/>
      <x:c r="G62" s="399"/>
      <x:c r="H62" s="399"/>
      <x:c r="I62" s="399"/>
      <x:c r="J62" s="399"/>
      <x:c r="K62" s="399"/>
      <x:c r="L62" s="399"/>
      <x:c r="M62" s="399"/>
      <x:c r="N62" s="399"/>
      <x:c r="O62" s="399"/>
      <x:c r="P62" s="399"/>
      <x:c r="Q62" s="399"/>
      <x:c r="R62" s="399"/>
      <x:c r="S62" s="399"/>
      <x:c r="T62" s="399"/>
      <x:c r="U62" s="399"/>
      <x:c r="V62" s="399"/>
      <x:c r="W62" s="399"/>
      <x:c r="X62" s="399"/>
      <x:c r="Y62" s="399"/>
      <x:c r="Z62" s="399"/>
      <x:c r="AA62" s="399"/>
      <x:c r="AB62" s="399"/>
      <x:c r="AC62" s="399"/>
      <x:c r="AD62" s="399"/>
      <x:c r="AE62" s="399"/>
      <x:c r="AF62" s="399"/>
      <x:c r="AG62" s="399"/>
      <x:c r="AH62" s="399"/>
      <x:c r="AI62" s="399"/>
      <x:c r="AJ62" s="399"/>
      <x:c r="AK62" s="399"/>
      <x:c r="AL62" s="399"/>
      <x:c r="AM62" s="399"/>
      <x:c r="AN62" s="399"/>
    </x:row>
    <x:row r="63">
      <x:c r="A63" s="399"/>
      <x:c r="B63" s="399"/>
      <x:c r="C63" s="399"/>
      <x:c r="D63" s="399"/>
      <x:c r="E63" s="399"/>
      <x:c r="F63" s="399"/>
      <x:c r="G63" s="399"/>
      <x:c r="H63" s="399"/>
      <x:c r="I63" s="399"/>
      <x:c r="J63" s="399"/>
      <x:c r="K63" s="399"/>
      <x:c r="L63" s="399"/>
      <x:c r="M63" s="399"/>
      <x:c r="N63" s="399"/>
      <x:c r="O63" s="399"/>
      <x:c r="P63" s="399"/>
      <x:c r="Q63" s="399"/>
      <x:c r="R63" s="399"/>
      <x:c r="S63" s="399"/>
      <x:c r="T63" s="399"/>
      <x:c r="U63" s="399"/>
      <x:c r="V63" s="399"/>
      <x:c r="W63" s="399"/>
      <x:c r="X63" s="399"/>
      <x:c r="Y63" s="399"/>
      <x:c r="Z63" s="399"/>
      <x:c r="AA63" s="399"/>
      <x:c r="AB63" s="399"/>
      <x:c r="AC63" s="399"/>
      <x:c r="AD63" s="399"/>
      <x:c r="AE63" s="399"/>
      <x:c r="AF63" s="399"/>
      <x:c r="AG63" s="399"/>
      <x:c r="AH63" s="399"/>
      <x:c r="AI63" s="399"/>
      <x:c r="AJ63" s="399"/>
      <x:c r="AK63" s="399"/>
      <x:c r="AL63" s="399"/>
      <x:c r="AM63" s="399"/>
      <x:c r="AN63" s="399"/>
    </x:row>
    <x:row r="64">
      <x:c r="A64" s="399"/>
      <x:c r="B64" s="399"/>
      <x:c r="C64" s="399"/>
      <x:c r="D64" s="399"/>
      <x:c r="E64" s="399"/>
      <x:c r="F64" s="399"/>
      <x:c r="G64" s="399"/>
      <x:c r="H64" s="399"/>
      <x:c r="I64" s="399"/>
      <x:c r="J64" s="399"/>
      <x:c r="K64" s="399"/>
      <x:c r="L64" s="399"/>
      <x:c r="M64" s="399"/>
      <x:c r="N64" s="399"/>
      <x:c r="O64" s="399"/>
      <x:c r="P64" s="399"/>
      <x:c r="Q64" s="399"/>
      <x:c r="R64" s="399"/>
      <x:c r="S64" s="399"/>
      <x:c r="T64" s="399"/>
      <x:c r="U64" s="399"/>
      <x:c r="V64" s="399"/>
      <x:c r="W64" s="399"/>
      <x:c r="X64" s="399"/>
      <x:c r="Y64" s="399"/>
      <x:c r="Z64" s="399"/>
      <x:c r="AA64" s="399"/>
      <x:c r="AB64" s="399"/>
      <x:c r="AC64" s="399"/>
      <x:c r="AD64" s="399"/>
      <x:c r="AE64" s="399"/>
      <x:c r="AF64" s="399"/>
      <x:c r="AG64" s="399"/>
      <x:c r="AH64" s="399"/>
      <x:c r="AI64" s="399"/>
      <x:c r="AJ64" s="399"/>
      <x:c r="AK64" s="399"/>
      <x:c r="AL64" s="399"/>
      <x:c r="AM64" s="399"/>
      <x:c r="AN64" s="399"/>
    </x:row>
    <x:row r="65">
      <x:c r="A65" s="399"/>
      <x:c r="B65" s="399"/>
      <x:c r="C65" s="399"/>
      <x:c r="D65" s="399"/>
      <x:c r="E65" s="399"/>
      <x:c r="F65" s="399"/>
      <x:c r="G65" s="399"/>
      <x:c r="H65" s="399"/>
      <x:c r="I65" s="399"/>
      <x:c r="J65" s="399"/>
      <x:c r="K65" s="399"/>
      <x:c r="L65" s="399"/>
      <x:c r="M65" s="399"/>
      <x:c r="N65" s="399"/>
      <x:c r="O65" s="399"/>
      <x:c r="P65" s="399"/>
      <x:c r="Q65" s="399"/>
      <x:c r="R65" s="399"/>
      <x:c r="S65" s="399"/>
      <x:c r="T65" s="399"/>
      <x:c r="U65" s="399"/>
      <x:c r="V65" s="399"/>
      <x:c r="W65" s="399"/>
      <x:c r="X65" s="399"/>
      <x:c r="Y65" s="399"/>
      <x:c r="Z65" s="399"/>
      <x:c r="AA65" s="399"/>
      <x:c r="AB65" s="399"/>
      <x:c r="AC65" s="399"/>
      <x:c r="AD65" s="399"/>
      <x:c r="AE65" s="399"/>
      <x:c r="AF65" s="399"/>
      <x:c r="AG65" s="399"/>
      <x:c r="AH65" s="399"/>
      <x:c r="AI65" s="399"/>
      <x:c r="AJ65" s="399"/>
      <x:c r="AK65" s="399"/>
      <x:c r="AL65" s="399"/>
      <x:c r="AM65" s="399"/>
      <x:c r="AN65" s="399"/>
    </x:row>
    <x:row r="66">
      <x:c r="A66" s="399"/>
      <x:c r="B66" s="399"/>
      <x:c r="C66" s="399"/>
      <x:c r="D66" s="399"/>
      <x:c r="E66" s="399"/>
      <x:c r="F66" s="399"/>
      <x:c r="G66" s="399"/>
      <x:c r="H66" s="399"/>
      <x:c r="I66" s="399"/>
      <x:c r="J66" s="399"/>
      <x:c r="K66" s="399"/>
      <x:c r="L66" s="399"/>
      <x:c r="M66" s="399"/>
      <x:c r="N66" s="399"/>
      <x:c r="O66" s="399"/>
      <x:c r="P66" s="399"/>
      <x:c r="Q66" s="399"/>
      <x:c r="R66" s="399"/>
      <x:c r="S66" s="399"/>
      <x:c r="T66" s="399"/>
      <x:c r="U66" s="399"/>
      <x:c r="V66" s="399"/>
      <x:c r="W66" s="399"/>
      <x:c r="X66" s="399"/>
      <x:c r="Y66" s="399"/>
      <x:c r="Z66" s="399"/>
      <x:c r="AA66" s="399"/>
      <x:c r="AB66" s="399"/>
      <x:c r="AC66" s="399"/>
      <x:c r="AD66" s="399"/>
      <x:c r="AE66" s="399"/>
      <x:c r="AF66" s="399"/>
      <x:c r="AG66" s="399"/>
      <x:c r="AH66" s="399"/>
      <x:c r="AI66" s="399"/>
      <x:c r="AJ66" s="399"/>
      <x:c r="AK66" s="399"/>
      <x:c r="AL66" s="399"/>
      <x:c r="AM66" s="399"/>
      <x:c r="AN66" s="399"/>
    </x:row>
    <x:row r="67">
      <x:c r="A67" s="399"/>
      <x:c r="B67" s="399"/>
      <x:c r="C67" s="399"/>
      <x:c r="D67" s="399"/>
      <x:c r="E67" s="399"/>
      <x:c r="F67" s="399"/>
      <x:c r="G67" s="399"/>
      <x:c r="H67" s="399"/>
      <x:c r="I67" s="399"/>
      <x:c r="J67" s="399"/>
      <x:c r="K67" s="399"/>
      <x:c r="L67" s="399"/>
      <x:c r="M67" s="399"/>
      <x:c r="N67" s="399"/>
      <x:c r="O67" s="399"/>
      <x:c r="P67" s="399"/>
      <x:c r="Q67" s="399"/>
      <x:c r="R67" s="399"/>
      <x:c r="S67" s="399"/>
      <x:c r="T67" s="399"/>
      <x:c r="U67" s="399"/>
      <x:c r="V67" s="399"/>
      <x:c r="W67" s="399"/>
      <x:c r="X67" s="399"/>
      <x:c r="Y67" s="399"/>
      <x:c r="Z67" s="399"/>
      <x:c r="AA67" s="399"/>
      <x:c r="AB67" s="399"/>
      <x:c r="AC67" s="399"/>
      <x:c r="AD67" s="399"/>
      <x:c r="AE67" s="399"/>
      <x:c r="AF67" s="399"/>
      <x:c r="AG67" s="399"/>
      <x:c r="AH67" s="399"/>
      <x:c r="AI67" s="399"/>
      <x:c r="AJ67" s="399"/>
      <x:c r="AK67" s="399"/>
      <x:c r="AL67" s="399"/>
      <x:c r="AM67" s="399"/>
      <x:c r="AN67" s="399"/>
    </x:row>
    <x:row r="68">
      <x:c r="A68" s="399"/>
      <x:c r="B68" s="399"/>
      <x:c r="C68" s="399"/>
      <x:c r="D68" s="399"/>
      <x:c r="E68" s="399"/>
      <x:c r="F68" s="399"/>
      <x:c r="G68" s="399"/>
      <x:c r="H68" s="399"/>
      <x:c r="I68" s="399"/>
      <x:c r="J68" s="399"/>
      <x:c r="K68" s="399"/>
      <x:c r="L68" s="399"/>
      <x:c r="M68" s="399"/>
      <x:c r="N68" s="399"/>
      <x:c r="O68" s="399"/>
      <x:c r="P68" s="399"/>
      <x:c r="Q68" s="399"/>
      <x:c r="R68" s="399"/>
      <x:c r="S68" s="399"/>
      <x:c r="T68" s="399"/>
      <x:c r="U68" s="399"/>
      <x:c r="V68" s="399"/>
      <x:c r="W68" s="399"/>
      <x:c r="X68" s="399"/>
      <x:c r="Y68" s="399"/>
      <x:c r="Z68" s="399"/>
      <x:c r="AA68" s="399"/>
      <x:c r="AB68" s="399"/>
      <x:c r="AC68" s="399"/>
      <x:c r="AD68" s="399"/>
      <x:c r="AE68" s="399"/>
      <x:c r="AF68" s="399"/>
      <x:c r="AG68" s="399"/>
      <x:c r="AH68" s="399"/>
      <x:c r="AI68" s="399"/>
      <x:c r="AJ68" s="399"/>
      <x:c r="AK68" s="399"/>
      <x:c r="AL68" s="399"/>
      <x:c r="AM68" s="399"/>
      <x:c r="AN68" s="399"/>
    </x:row>
    <x:row r="69">
      <x:c r="A69" s="399"/>
      <x:c r="B69" s="399"/>
      <x:c r="C69" s="399"/>
      <x:c r="D69" s="399"/>
      <x:c r="E69" s="399"/>
      <x:c r="F69" s="399"/>
      <x:c r="G69" s="399"/>
      <x:c r="H69" s="399"/>
      <x:c r="I69" s="399"/>
      <x:c r="J69" s="399"/>
      <x:c r="K69" s="399"/>
      <x:c r="L69" s="399"/>
      <x:c r="M69" s="399"/>
      <x:c r="N69" s="399"/>
      <x:c r="O69" s="399"/>
      <x:c r="P69" s="399"/>
      <x:c r="Q69" s="399"/>
      <x:c r="R69" s="399"/>
      <x:c r="S69" s="399"/>
      <x:c r="T69" s="399"/>
      <x:c r="U69" s="399"/>
      <x:c r="V69" s="399"/>
      <x:c r="W69" s="399"/>
      <x:c r="X69" s="399"/>
      <x:c r="Y69" s="399"/>
      <x:c r="Z69" s="399"/>
      <x:c r="AA69" s="399"/>
      <x:c r="AB69" s="399"/>
      <x:c r="AC69" s="399"/>
      <x:c r="AD69" s="399"/>
      <x:c r="AE69" s="399"/>
      <x:c r="AF69" s="399"/>
      <x:c r="AG69" s="399"/>
      <x:c r="AH69" s="399"/>
      <x:c r="AI69" s="399"/>
      <x:c r="AJ69" s="399"/>
      <x:c r="AK69" s="399"/>
      <x:c r="AL69" s="399"/>
      <x:c r="AM69" s="399"/>
      <x:c r="AN69" s="399"/>
    </x:row>
    <x:row r="70">
      <x:c r="A70" s="399"/>
      <x:c r="B70" s="399"/>
      <x:c r="C70" s="399"/>
      <x:c r="D70" s="399"/>
      <x:c r="E70" s="399"/>
      <x:c r="F70" s="399"/>
      <x:c r="G70" s="399"/>
      <x:c r="H70" s="399"/>
      <x:c r="I70" s="399"/>
      <x:c r="J70" s="399"/>
      <x:c r="K70" s="399"/>
      <x:c r="L70" s="399"/>
      <x:c r="M70" s="399"/>
      <x:c r="N70" s="399"/>
      <x:c r="O70" s="399"/>
      <x:c r="P70" s="399"/>
      <x:c r="Q70" s="399"/>
      <x:c r="R70" s="399"/>
      <x:c r="S70" s="399"/>
      <x:c r="T70" s="399"/>
      <x:c r="U70" s="399"/>
      <x:c r="V70" s="399"/>
      <x:c r="W70" s="399"/>
      <x:c r="X70" s="399"/>
      <x:c r="Y70" s="399"/>
      <x:c r="Z70" s="399"/>
      <x:c r="AA70" s="399"/>
      <x:c r="AB70" s="399"/>
      <x:c r="AC70" s="399"/>
      <x:c r="AD70" s="399"/>
      <x:c r="AE70" s="399"/>
      <x:c r="AF70" s="399"/>
      <x:c r="AG70" s="399"/>
      <x:c r="AH70" s="399"/>
      <x:c r="AI70" s="399"/>
      <x:c r="AJ70" s="399"/>
      <x:c r="AK70" s="399"/>
      <x:c r="AL70" s="399"/>
      <x:c r="AM70" s="399"/>
      <x:c r="AN70" s="399"/>
    </x:row>
    <x:row r="71">
      <x:c r="A71" s="399"/>
      <x:c r="B71" s="399"/>
      <x:c r="C71" s="399"/>
      <x:c r="D71" s="399"/>
      <x:c r="E71" s="399"/>
      <x:c r="F71" s="399"/>
      <x:c r="G71" s="399"/>
      <x:c r="H71" s="399"/>
      <x:c r="I71" s="399"/>
      <x:c r="J71" s="399"/>
      <x:c r="K71" s="399"/>
      <x:c r="L71" s="399"/>
      <x:c r="M71" s="399"/>
      <x:c r="N71" s="399"/>
      <x:c r="O71" s="399"/>
      <x:c r="P71" s="399"/>
      <x:c r="Q71" s="399"/>
      <x:c r="R71" s="399"/>
      <x:c r="S71" s="399"/>
      <x:c r="T71" s="399"/>
      <x:c r="U71" s="399"/>
      <x:c r="V71" s="399"/>
      <x:c r="W71" s="399"/>
      <x:c r="X71" s="399"/>
      <x:c r="Y71" s="399"/>
      <x:c r="Z71" s="399"/>
      <x:c r="AA71" s="399"/>
      <x:c r="AB71" s="399"/>
      <x:c r="AC71" s="399"/>
      <x:c r="AD71" s="399"/>
      <x:c r="AE71" s="399"/>
      <x:c r="AF71" s="399"/>
      <x:c r="AG71" s="399"/>
      <x:c r="AH71" s="399"/>
      <x:c r="AI71" s="399"/>
      <x:c r="AJ71" s="399"/>
      <x:c r="AK71" s="399"/>
      <x:c r="AL71" s="399"/>
      <x:c r="AM71" s="399"/>
      <x:c r="AN71" s="399"/>
    </x:row>
    <x:row r="72">
      <x:c r="A72" s="399"/>
      <x:c r="B72" s="399"/>
      <x:c r="C72" s="399"/>
      <x:c r="D72" s="399"/>
      <x:c r="E72" s="399"/>
      <x:c r="F72" s="399"/>
      <x:c r="G72" s="399"/>
      <x:c r="H72" s="399"/>
      <x:c r="I72" s="399"/>
      <x:c r="J72" s="399"/>
      <x:c r="K72" s="399"/>
      <x:c r="L72" s="399"/>
      <x:c r="M72" s="399"/>
      <x:c r="N72" s="399"/>
      <x:c r="O72" s="399"/>
      <x:c r="P72" s="399"/>
      <x:c r="Q72" s="399"/>
      <x:c r="R72" s="399"/>
      <x:c r="S72" s="399"/>
      <x:c r="T72" s="399"/>
      <x:c r="U72" s="399"/>
      <x:c r="V72" s="399"/>
      <x:c r="W72" s="399"/>
      <x:c r="X72" s="399"/>
      <x:c r="Y72" s="399"/>
      <x:c r="Z72" s="399"/>
      <x:c r="AA72" s="399"/>
      <x:c r="AB72" s="399"/>
      <x:c r="AC72" s="399"/>
      <x:c r="AD72" s="399"/>
      <x:c r="AE72" s="399"/>
      <x:c r="AF72" s="399"/>
      <x:c r="AG72" s="399"/>
      <x:c r="AH72" s="399"/>
      <x:c r="AI72" s="399"/>
      <x:c r="AJ72" s="399"/>
      <x:c r="AK72" s="399"/>
      <x:c r="AL72" s="399"/>
      <x:c r="AM72" s="399"/>
      <x:c r="AN72" s="399"/>
    </x:row>
    <x:row r="73">
      <x:c r="A73" s="399"/>
      <x:c r="B73" s="399"/>
      <x:c r="C73" s="399"/>
      <x:c r="D73" s="399"/>
      <x:c r="E73" s="399"/>
      <x:c r="F73" s="399"/>
      <x:c r="G73" s="399"/>
      <x:c r="H73" s="399"/>
      <x:c r="I73" s="399"/>
      <x:c r="J73" s="399"/>
      <x:c r="K73" s="399"/>
      <x:c r="L73" s="399"/>
      <x:c r="M73" s="399"/>
      <x:c r="N73" s="399"/>
      <x:c r="O73" s="399"/>
      <x:c r="P73" s="399"/>
      <x:c r="Q73" s="399"/>
      <x:c r="R73" s="399"/>
      <x:c r="S73" s="399"/>
      <x:c r="T73" s="399"/>
      <x:c r="U73" s="399"/>
      <x:c r="V73" s="399"/>
      <x:c r="W73" s="399"/>
      <x:c r="X73" s="399"/>
      <x:c r="Y73" s="399"/>
      <x:c r="Z73" s="399"/>
      <x:c r="AA73" s="399"/>
      <x:c r="AB73" s="399"/>
      <x:c r="AC73" s="399"/>
      <x:c r="AD73" s="399"/>
      <x:c r="AE73" s="399"/>
      <x:c r="AF73" s="399"/>
      <x:c r="AG73" s="399"/>
      <x:c r="AH73" s="399"/>
      <x:c r="AI73" s="399"/>
      <x:c r="AJ73" s="399"/>
      <x:c r="AK73" s="399"/>
      <x:c r="AL73" s="399"/>
      <x:c r="AM73" s="399"/>
      <x:c r="AN73" s="399"/>
    </x:row>
    <x:row r="74">
      <x:c r="A74" s="399"/>
      <x:c r="B74" s="399"/>
      <x:c r="C74" s="399"/>
      <x:c r="D74" s="399"/>
      <x:c r="E74" s="399"/>
      <x:c r="F74" s="399"/>
      <x:c r="G74" s="399"/>
      <x:c r="H74" s="399"/>
      <x:c r="I74" s="399"/>
      <x:c r="J74" s="399"/>
      <x:c r="K74" s="399"/>
      <x:c r="L74" s="399"/>
      <x:c r="M74" s="399"/>
      <x:c r="N74" s="399"/>
      <x:c r="O74" s="399"/>
      <x:c r="P74" s="399"/>
      <x:c r="Q74" s="399"/>
      <x:c r="R74" s="399"/>
      <x:c r="S74" s="399"/>
      <x:c r="T74" s="399"/>
      <x:c r="U74" s="399"/>
      <x:c r="V74" s="399"/>
      <x:c r="W74" s="399"/>
      <x:c r="X74" s="399"/>
      <x:c r="Y74" s="399"/>
      <x:c r="Z74" s="399"/>
      <x:c r="AA74" s="399"/>
      <x:c r="AB74" s="399"/>
      <x:c r="AC74" s="399"/>
      <x:c r="AD74" s="399"/>
      <x:c r="AE74" s="399"/>
      <x:c r="AF74" s="399"/>
      <x:c r="AG74" s="399"/>
      <x:c r="AH74" s="399"/>
      <x:c r="AI74" s="399"/>
      <x:c r="AJ74" s="399"/>
      <x:c r="AK74" s="399"/>
      <x:c r="AL74" s="399"/>
      <x:c r="AM74" s="399"/>
      <x:c r="AN74" s="399"/>
    </x:row>
    <x:row r="75">
      <x:c r="A75" s="399"/>
      <x:c r="B75" s="399"/>
      <x:c r="C75" s="399"/>
      <x:c r="D75" s="399"/>
      <x:c r="E75" s="399"/>
      <x:c r="F75" s="399"/>
      <x:c r="G75" s="399"/>
      <x:c r="H75" s="399"/>
      <x:c r="I75" s="399"/>
      <x:c r="J75" s="399"/>
      <x:c r="K75" s="399"/>
      <x:c r="L75" s="399"/>
      <x:c r="M75" s="399"/>
      <x:c r="N75" s="399"/>
      <x:c r="O75" s="399"/>
      <x:c r="P75" s="399"/>
      <x:c r="Q75" s="399"/>
      <x:c r="R75" s="399"/>
      <x:c r="S75" s="399"/>
      <x:c r="T75" s="399"/>
      <x:c r="U75" s="399"/>
      <x:c r="V75" s="399"/>
      <x:c r="W75" s="399"/>
      <x:c r="X75" s="399"/>
      <x:c r="Y75" s="399"/>
      <x:c r="Z75" s="399"/>
      <x:c r="AA75" s="399"/>
      <x:c r="AB75" s="399"/>
      <x:c r="AC75" s="399"/>
      <x:c r="AD75" s="399"/>
      <x:c r="AE75" s="399"/>
      <x:c r="AF75" s="399"/>
      <x:c r="AG75" s="399"/>
      <x:c r="AH75" s="399"/>
      <x:c r="AI75" s="399"/>
      <x:c r="AJ75" s="399"/>
      <x:c r="AK75" s="399"/>
      <x:c r="AL75" s="399"/>
      <x:c r="AM75" s="399"/>
      <x:c r="AN75" s="399"/>
    </x:row>
    <x:row r="76">
      <x:c r="A76" s="399"/>
      <x:c r="B76" s="399"/>
      <x:c r="C76" s="399"/>
      <x:c r="D76" s="399"/>
      <x:c r="E76" s="399"/>
      <x:c r="F76" s="399"/>
      <x:c r="G76" s="399"/>
      <x:c r="H76" s="399"/>
      <x:c r="I76" s="399"/>
      <x:c r="J76" s="399"/>
      <x:c r="K76" s="399"/>
      <x:c r="L76" s="399"/>
      <x:c r="M76" s="399"/>
      <x:c r="N76" s="399"/>
      <x:c r="O76" s="399"/>
      <x:c r="P76" s="399"/>
      <x:c r="Q76" s="399"/>
      <x:c r="R76" s="399"/>
      <x:c r="S76" s="399"/>
      <x:c r="T76" s="399"/>
      <x:c r="U76" s="399"/>
      <x:c r="V76" s="399"/>
      <x:c r="W76" s="399"/>
      <x:c r="X76" s="399"/>
      <x:c r="Y76" s="399"/>
      <x:c r="Z76" s="399"/>
      <x:c r="AA76" s="399"/>
      <x:c r="AB76" s="399"/>
      <x:c r="AC76" s="399"/>
      <x:c r="AD76" s="399"/>
      <x:c r="AE76" s="399"/>
      <x:c r="AF76" s="399"/>
      <x:c r="AG76" s="399"/>
      <x:c r="AH76" s="399"/>
      <x:c r="AI76" s="399"/>
      <x:c r="AJ76" s="399"/>
      <x:c r="AK76" s="399"/>
      <x:c r="AL76" s="399"/>
      <x:c r="AM76" s="399"/>
      <x:c r="AN76" s="399"/>
    </x:row>
    <x:row r="77">
      <x:c r="A77" s="399"/>
      <x:c r="B77" s="399"/>
      <x:c r="C77" s="399"/>
      <x:c r="D77" s="399"/>
      <x:c r="E77" s="399"/>
      <x:c r="F77" s="399"/>
      <x:c r="G77" s="399"/>
      <x:c r="H77" s="399"/>
      <x:c r="I77" s="399"/>
      <x:c r="J77" s="399"/>
      <x:c r="K77" s="399"/>
      <x:c r="L77" s="399"/>
      <x:c r="M77" s="399"/>
      <x:c r="N77" s="399"/>
      <x:c r="O77" s="399"/>
      <x:c r="P77" s="399"/>
      <x:c r="Q77" s="399"/>
      <x:c r="R77" s="399"/>
      <x:c r="S77" s="399"/>
      <x:c r="T77" s="399"/>
      <x:c r="U77" s="399"/>
      <x:c r="V77" s="399"/>
      <x:c r="W77" s="399"/>
      <x:c r="X77" s="399"/>
      <x:c r="Y77" s="399"/>
      <x:c r="Z77" s="399"/>
      <x:c r="AA77" s="399"/>
      <x:c r="AB77" s="399"/>
      <x:c r="AC77" s="399"/>
      <x:c r="AD77" s="399"/>
      <x:c r="AE77" s="399"/>
      <x:c r="AF77" s="399"/>
      <x:c r="AG77" s="399"/>
      <x:c r="AH77" s="399"/>
      <x:c r="AI77" s="399"/>
      <x:c r="AJ77" s="399"/>
      <x:c r="AK77" s="399"/>
      <x:c r="AL77" s="399"/>
      <x:c r="AM77" s="399"/>
      <x:c r="AN77" s="399"/>
    </x:row>
    <x:row r="78">
      <x:c r="A78" s="399"/>
      <x:c r="B78" s="399"/>
      <x:c r="C78" s="399"/>
      <x:c r="D78" s="399"/>
      <x:c r="E78" s="399"/>
      <x:c r="F78" s="399"/>
      <x:c r="G78" s="399"/>
      <x:c r="H78" s="399"/>
      <x:c r="I78" s="399"/>
      <x:c r="J78" s="399"/>
      <x:c r="K78" s="399"/>
      <x:c r="L78" s="399"/>
      <x:c r="M78" s="399"/>
      <x:c r="N78" s="399"/>
      <x:c r="O78" s="399"/>
      <x:c r="P78" s="399"/>
      <x:c r="Q78" s="399"/>
      <x:c r="R78" s="399"/>
      <x:c r="S78" s="399"/>
      <x:c r="T78" s="399"/>
      <x:c r="U78" s="399"/>
      <x:c r="V78" s="399"/>
      <x:c r="W78" s="399"/>
      <x:c r="X78" s="399"/>
      <x:c r="Y78" s="399"/>
      <x:c r="Z78" s="399"/>
      <x:c r="AA78" s="399"/>
      <x:c r="AB78" s="399"/>
      <x:c r="AC78" s="399"/>
      <x:c r="AD78" s="399"/>
      <x:c r="AE78" s="399"/>
      <x:c r="AF78" s="399"/>
      <x:c r="AG78" s="399"/>
      <x:c r="AH78" s="399"/>
      <x:c r="AI78" s="399"/>
      <x:c r="AJ78" s="399"/>
      <x:c r="AK78" s="399"/>
      <x:c r="AL78" s="399"/>
      <x:c r="AM78" s="399"/>
      <x:c r="AN78" s="399"/>
    </x:row>
    <x:row r="79">
      <x:c r="A79" s="399"/>
      <x:c r="B79" s="399"/>
      <x:c r="C79" s="399"/>
      <x:c r="D79" s="399"/>
      <x:c r="E79" s="399"/>
      <x:c r="F79" s="399"/>
      <x:c r="G79" s="399"/>
      <x:c r="H79" s="399"/>
      <x:c r="I79" s="399"/>
      <x:c r="J79" s="399"/>
      <x:c r="K79" s="399"/>
      <x:c r="L79" s="399"/>
      <x:c r="M79" s="399"/>
      <x:c r="N79" s="399"/>
      <x:c r="O79" s="399"/>
      <x:c r="P79" s="399"/>
      <x:c r="Q79" s="399"/>
      <x:c r="R79" s="399"/>
      <x:c r="S79" s="399"/>
      <x:c r="T79" s="399"/>
      <x:c r="U79" s="399"/>
      <x:c r="V79" s="399"/>
      <x:c r="W79" s="399"/>
      <x:c r="X79" s="399"/>
      <x:c r="Y79" s="399"/>
      <x:c r="Z79" s="399"/>
      <x:c r="AA79" s="399"/>
      <x:c r="AB79" s="399"/>
      <x:c r="AC79" s="399"/>
      <x:c r="AD79" s="399"/>
      <x:c r="AE79" s="399"/>
      <x:c r="AF79" s="399"/>
      <x:c r="AG79" s="399"/>
      <x:c r="AH79" s="399"/>
      <x:c r="AI79" s="399"/>
      <x:c r="AJ79" s="399"/>
      <x:c r="AK79" s="399"/>
      <x:c r="AL79" s="399"/>
      <x:c r="AM79" s="399"/>
      <x:c r="AN79" s="399"/>
    </x:row>
    <x:row r="80">
      <x:c r="A80" s="399"/>
      <x:c r="B80" s="399"/>
      <x:c r="C80" s="399"/>
      <x:c r="D80" s="399"/>
      <x:c r="E80" s="399"/>
      <x:c r="F80" s="399"/>
      <x:c r="G80" s="399"/>
      <x:c r="H80" s="399"/>
      <x:c r="I80" s="399"/>
      <x:c r="J80" s="399"/>
      <x:c r="K80" s="399"/>
      <x:c r="L80" s="399"/>
      <x:c r="M80" s="399"/>
      <x:c r="N80" s="399"/>
      <x:c r="O80" s="399"/>
      <x:c r="P80" s="399"/>
      <x:c r="Q80" s="399"/>
      <x:c r="R80" s="399"/>
      <x:c r="S80" s="399"/>
      <x:c r="T80" s="399"/>
      <x:c r="U80" s="399"/>
      <x:c r="V80" s="399"/>
      <x:c r="W80" s="399"/>
      <x:c r="X80" s="399"/>
      <x:c r="Y80" s="399"/>
      <x:c r="Z80" s="399"/>
      <x:c r="AA80" s="399"/>
      <x:c r="AB80" s="399"/>
      <x:c r="AC80" s="399"/>
      <x:c r="AD80" s="399"/>
      <x:c r="AE80" s="399"/>
      <x:c r="AF80" s="399"/>
      <x:c r="AG80" s="399"/>
      <x:c r="AH80" s="399"/>
      <x:c r="AI80" s="399"/>
      <x:c r="AJ80" s="399"/>
      <x:c r="AK80" s="399"/>
      <x:c r="AL80" s="399"/>
      <x:c r="AM80" s="399"/>
      <x:c r="AN80" s="399"/>
    </x:row>
    <x:row r="81">
      <x:c r="A81" s="399"/>
      <x:c r="B81" s="399"/>
      <x:c r="C81" s="399"/>
      <x:c r="D81" s="399"/>
      <x:c r="E81" s="399"/>
      <x:c r="F81" s="399"/>
      <x:c r="G81" s="399"/>
      <x:c r="H81" s="399"/>
      <x:c r="I81" s="399"/>
      <x:c r="J81" s="399"/>
      <x:c r="K81" s="399"/>
      <x:c r="L81" s="399"/>
      <x:c r="M81" s="399"/>
      <x:c r="N81" s="399"/>
      <x:c r="O81" s="399"/>
      <x:c r="P81" s="399"/>
      <x:c r="Q81" s="399"/>
      <x:c r="R81" s="399"/>
      <x:c r="S81" s="399"/>
      <x:c r="T81" s="399"/>
      <x:c r="U81" s="399"/>
      <x:c r="V81" s="399"/>
      <x:c r="W81" s="399"/>
      <x:c r="X81" s="399"/>
      <x:c r="Y81" s="399"/>
      <x:c r="Z81" s="399"/>
      <x:c r="AA81" s="399"/>
      <x:c r="AB81" s="399"/>
      <x:c r="AC81" s="399"/>
      <x:c r="AD81" s="399"/>
      <x:c r="AE81" s="399"/>
      <x:c r="AF81" s="399"/>
      <x:c r="AG81" s="399"/>
      <x:c r="AH81" s="399"/>
      <x:c r="AI81" s="399"/>
      <x:c r="AJ81" s="399"/>
      <x:c r="AK81" s="399"/>
      <x:c r="AL81" s="399"/>
      <x:c r="AM81" s="399"/>
      <x:c r="AN81" s="399"/>
    </x:row>
    <x:row r="82">
      <x:c r="A82" s="399"/>
      <x:c r="B82" s="399"/>
      <x:c r="C82" s="399"/>
      <x:c r="D82" s="399"/>
      <x:c r="E82" s="399"/>
      <x:c r="F82" s="399"/>
      <x:c r="G82" s="399"/>
      <x:c r="H82" s="399"/>
      <x:c r="I82" s="399"/>
      <x:c r="J82" s="399"/>
      <x:c r="K82" s="399"/>
      <x:c r="L82" s="399"/>
      <x:c r="M82" s="399"/>
      <x:c r="N82" s="399"/>
      <x:c r="O82" s="399"/>
      <x:c r="P82" s="399"/>
      <x:c r="Q82" s="399"/>
      <x:c r="R82" s="399"/>
      <x:c r="S82" s="399"/>
      <x:c r="T82" s="399"/>
      <x:c r="U82" s="399"/>
      <x:c r="V82" s="399"/>
      <x:c r="W82" s="399"/>
      <x:c r="X82" s="399"/>
      <x:c r="Y82" s="399"/>
      <x:c r="Z82" s="399"/>
      <x:c r="AA82" s="399"/>
      <x:c r="AB82" s="399"/>
      <x:c r="AC82" s="399"/>
      <x:c r="AD82" s="399"/>
      <x:c r="AE82" s="399"/>
      <x:c r="AF82" s="399"/>
      <x:c r="AG82" s="399"/>
      <x:c r="AH82" s="399"/>
      <x:c r="AI82" s="399"/>
      <x:c r="AJ82" s="399"/>
      <x:c r="AK82" s="399"/>
      <x:c r="AL82" s="399"/>
      <x:c r="AM82" s="399"/>
      <x:c r="AN82" s="399"/>
    </x:row>
    <x:row r="83">
      <x:c r="A83" s="399"/>
      <x:c r="B83" s="399"/>
      <x:c r="C83" s="399"/>
      <x:c r="D83" s="399"/>
      <x:c r="E83" s="399"/>
      <x:c r="F83" s="399"/>
      <x:c r="G83" s="399"/>
      <x:c r="H83" s="399"/>
      <x:c r="I83" s="399"/>
      <x:c r="J83" s="399"/>
      <x:c r="K83" s="399"/>
      <x:c r="L83" s="399"/>
      <x:c r="M83" s="399"/>
      <x:c r="N83" s="399"/>
      <x:c r="O83" s="399"/>
      <x:c r="P83" s="399"/>
      <x:c r="Q83" s="399"/>
      <x:c r="R83" s="399"/>
      <x:c r="S83" s="399"/>
      <x:c r="T83" s="399"/>
      <x:c r="U83" s="399"/>
      <x:c r="V83" s="399"/>
      <x:c r="W83" s="399"/>
      <x:c r="X83" s="399"/>
      <x:c r="Y83" s="399"/>
      <x:c r="Z83" s="399"/>
      <x:c r="AA83" s="399"/>
      <x:c r="AB83" s="399"/>
      <x:c r="AC83" s="399"/>
      <x:c r="AD83" s="399"/>
      <x:c r="AE83" s="399"/>
      <x:c r="AF83" s="399"/>
      <x:c r="AG83" s="399"/>
      <x:c r="AH83" s="399"/>
      <x:c r="AI83" s="399"/>
      <x:c r="AJ83" s="399"/>
      <x:c r="AK83" s="399"/>
      <x:c r="AL83" s="399"/>
      <x:c r="AM83" s="399"/>
      <x:c r="AN83" s="399"/>
    </x:row>
    <x:row r="84">
      <x:c r="A84" s="399"/>
      <x:c r="B84" s="399"/>
      <x:c r="C84" s="399"/>
      <x:c r="D84" s="399"/>
      <x:c r="E84" s="399"/>
      <x:c r="F84" s="399"/>
      <x:c r="G84" s="399"/>
      <x:c r="H84" s="399"/>
      <x:c r="I84" s="399"/>
      <x:c r="J84" s="399"/>
      <x:c r="K84" s="399"/>
      <x:c r="L84" s="399"/>
      <x:c r="M84" s="399"/>
      <x:c r="N84" s="399"/>
      <x:c r="O84" s="399"/>
      <x:c r="P84" s="399"/>
      <x:c r="Q84" s="399"/>
      <x:c r="R84" s="399"/>
      <x:c r="S84" s="399"/>
      <x:c r="T84" s="399"/>
      <x:c r="U84" s="399"/>
      <x:c r="V84" s="399"/>
      <x:c r="W84" s="399"/>
      <x:c r="X84" s="399"/>
      <x:c r="Y84" s="399"/>
      <x:c r="Z84" s="399"/>
      <x:c r="AA84" s="399"/>
      <x:c r="AB84" s="399"/>
      <x:c r="AC84" s="399"/>
      <x:c r="AD84" s="399"/>
      <x:c r="AE84" s="399"/>
      <x:c r="AF84" s="399"/>
      <x:c r="AG84" s="399"/>
      <x:c r="AH84" s="399"/>
      <x:c r="AI84" s="399"/>
      <x:c r="AJ84" s="399"/>
      <x:c r="AK84" s="399"/>
      <x:c r="AL84" s="399"/>
      <x:c r="AM84" s="399"/>
      <x:c r="AN84" s="399"/>
    </x:row>
    <x:row r="85">
      <x:c r="A85" s="399"/>
      <x:c r="B85" s="399"/>
      <x:c r="C85" s="399"/>
      <x:c r="D85" s="399"/>
      <x:c r="E85" s="399"/>
      <x:c r="F85" s="399"/>
      <x:c r="G85" s="399"/>
      <x:c r="H85" s="399"/>
      <x:c r="I85" s="399"/>
      <x:c r="J85" s="399"/>
      <x:c r="K85" s="399"/>
      <x:c r="L85" s="399"/>
      <x:c r="M85" s="399"/>
      <x:c r="N85" s="399"/>
      <x:c r="O85" s="399"/>
      <x:c r="P85" s="399"/>
      <x:c r="Q85" s="399"/>
      <x:c r="R85" s="399"/>
      <x:c r="S85" s="399"/>
      <x:c r="T85" s="399"/>
      <x:c r="U85" s="399"/>
      <x:c r="V85" s="399"/>
      <x:c r="W85" s="399"/>
      <x:c r="X85" s="399"/>
      <x:c r="Y85" s="399"/>
      <x:c r="Z85" s="399"/>
      <x:c r="AA85" s="399"/>
      <x:c r="AB85" s="399"/>
      <x:c r="AC85" s="399"/>
      <x:c r="AD85" s="399"/>
      <x:c r="AE85" s="399"/>
      <x:c r="AF85" s="399"/>
      <x:c r="AG85" s="399"/>
      <x:c r="AH85" s="399"/>
      <x:c r="AI85" s="399"/>
      <x:c r="AJ85" s="399"/>
      <x:c r="AK85" s="399"/>
      <x:c r="AL85" s="399"/>
      <x:c r="AM85" s="399"/>
      <x:c r="AN85" s="399"/>
    </x:row>
    <x:row r="86">
      <x:c r="A86" s="399"/>
      <x:c r="B86" s="399"/>
      <x:c r="C86" s="399"/>
      <x:c r="D86" s="399"/>
      <x:c r="E86" s="399"/>
      <x:c r="F86" s="399"/>
      <x:c r="G86" s="399"/>
      <x:c r="H86" s="399"/>
      <x:c r="I86" s="399"/>
      <x:c r="J86" s="399"/>
      <x:c r="K86" s="399"/>
      <x:c r="L86" s="399"/>
      <x:c r="M86" s="399"/>
      <x:c r="N86" s="399"/>
      <x:c r="O86" s="399"/>
      <x:c r="P86" s="399"/>
      <x:c r="Q86" s="399"/>
      <x:c r="R86" s="399"/>
      <x:c r="S86" s="399"/>
      <x:c r="T86" s="399"/>
      <x:c r="U86" s="399"/>
      <x:c r="V86" s="399"/>
      <x:c r="W86" s="399"/>
      <x:c r="X86" s="399"/>
      <x:c r="Y86" s="399"/>
      <x:c r="Z86" s="399"/>
      <x:c r="AA86" s="399"/>
      <x:c r="AB86" s="399"/>
      <x:c r="AC86" s="399"/>
      <x:c r="AD86" s="399"/>
      <x:c r="AE86" s="399"/>
      <x:c r="AF86" s="399"/>
      <x:c r="AG86" s="399"/>
      <x:c r="AH86" s="399"/>
      <x:c r="AI86" s="399"/>
      <x:c r="AJ86" s="399"/>
      <x:c r="AK86" s="399"/>
      <x:c r="AL86" s="399"/>
      <x:c r="AM86" s="399"/>
      <x:c r="AN86" s="399"/>
    </x:row>
    <x:row r="87">
      <x:c r="A87" s="399"/>
      <x:c r="B87" s="399"/>
      <x:c r="C87" s="399"/>
      <x:c r="D87" s="399"/>
      <x:c r="E87" s="399"/>
      <x:c r="F87" s="399"/>
      <x:c r="G87" s="399"/>
      <x:c r="H87" s="399"/>
      <x:c r="I87" s="399"/>
      <x:c r="J87" s="399"/>
      <x:c r="K87" s="399"/>
      <x:c r="L87" s="399"/>
      <x:c r="M87" s="399"/>
      <x:c r="N87" s="399"/>
      <x:c r="O87" s="399"/>
      <x:c r="P87" s="399"/>
      <x:c r="Q87" s="399"/>
      <x:c r="R87" s="399"/>
      <x:c r="S87" s="399"/>
      <x:c r="T87" s="399"/>
      <x:c r="U87" s="399"/>
      <x:c r="V87" s="399"/>
      <x:c r="W87" s="399"/>
      <x:c r="X87" s="399"/>
      <x:c r="Y87" s="399"/>
      <x:c r="Z87" s="399"/>
      <x:c r="AA87" s="399"/>
      <x:c r="AB87" s="399"/>
      <x:c r="AC87" s="399"/>
      <x:c r="AD87" s="399"/>
      <x:c r="AE87" s="399"/>
      <x:c r="AF87" s="399"/>
      <x:c r="AG87" s="399"/>
      <x:c r="AH87" s="399"/>
      <x:c r="AI87" s="399"/>
      <x:c r="AJ87" s="399"/>
      <x:c r="AK87" s="399"/>
      <x:c r="AL87" s="399"/>
      <x:c r="AM87" s="399"/>
      <x:c r="AN87" s="399"/>
    </x:row>
    <x:row r="88">
      <x:c r="A88" s="399"/>
      <x:c r="B88" s="399"/>
      <x:c r="C88" s="399"/>
      <x:c r="D88" s="399"/>
      <x:c r="E88" s="399"/>
      <x:c r="F88" s="399"/>
      <x:c r="G88" s="399"/>
      <x:c r="H88" s="399"/>
      <x:c r="I88" s="399"/>
      <x:c r="J88" s="399"/>
      <x:c r="K88" s="399"/>
      <x:c r="L88" s="399"/>
      <x:c r="M88" s="399"/>
      <x:c r="N88" s="399"/>
      <x:c r="O88" s="399"/>
      <x:c r="P88" s="399"/>
      <x:c r="Q88" s="399"/>
      <x:c r="R88" s="399"/>
      <x:c r="S88" s="399"/>
      <x:c r="T88" s="399"/>
      <x:c r="U88" s="399"/>
      <x:c r="V88" s="399"/>
      <x:c r="W88" s="399"/>
      <x:c r="X88" s="399"/>
      <x:c r="Y88" s="399"/>
      <x:c r="Z88" s="399"/>
      <x:c r="AA88" s="399"/>
      <x:c r="AB88" s="399"/>
      <x:c r="AC88" s="399"/>
      <x:c r="AD88" s="399"/>
      <x:c r="AE88" s="399"/>
      <x:c r="AF88" s="399"/>
      <x:c r="AG88" s="399"/>
      <x:c r="AH88" s="399"/>
      <x:c r="AI88" s="399"/>
      <x:c r="AJ88" s="399"/>
      <x:c r="AK88" s="399"/>
      <x:c r="AL88" s="399"/>
      <x:c r="AM88" s="399"/>
      <x:c r="AN88" s="399"/>
    </x:row>
    <x:row r="89">
      <x:c r="A89" s="399"/>
      <x:c r="B89" s="399"/>
      <x:c r="C89" s="399"/>
      <x:c r="D89" s="399"/>
      <x:c r="E89" s="399"/>
      <x:c r="F89" s="399"/>
      <x:c r="G89" s="399"/>
      <x:c r="H89" s="399"/>
      <x:c r="I89" s="399"/>
      <x:c r="J89" s="399"/>
      <x:c r="K89" s="399"/>
      <x:c r="L89" s="399"/>
      <x:c r="M89" s="399"/>
      <x:c r="N89" s="399"/>
      <x:c r="O89" s="399"/>
      <x:c r="P89" s="399"/>
      <x:c r="Q89" s="399"/>
      <x:c r="R89" s="399"/>
      <x:c r="S89" s="399"/>
      <x:c r="T89" s="399"/>
      <x:c r="U89" s="399"/>
      <x:c r="V89" s="399"/>
      <x:c r="W89" s="399"/>
      <x:c r="X89" s="399"/>
      <x:c r="Y89" s="399"/>
      <x:c r="Z89" s="399"/>
      <x:c r="AA89" s="399"/>
      <x:c r="AB89" s="399"/>
      <x:c r="AC89" s="399"/>
      <x:c r="AD89" s="399"/>
      <x:c r="AE89" s="399"/>
      <x:c r="AF89" s="399"/>
      <x:c r="AG89" s="399"/>
      <x:c r="AH89" s="399"/>
      <x:c r="AI89" s="399"/>
      <x:c r="AJ89" s="399"/>
      <x:c r="AK89" s="399"/>
      <x:c r="AL89" s="399"/>
      <x:c r="AM89" s="399"/>
      <x:c r="AN89" s="399"/>
    </x:row>
    <x:row r="90">
      <x:c r="A90" s="399"/>
      <x:c r="B90" s="399"/>
      <x:c r="C90" s="399"/>
      <x:c r="D90" s="399"/>
      <x:c r="E90" s="399"/>
      <x:c r="F90" s="399"/>
      <x:c r="G90" s="399"/>
      <x:c r="H90" s="399"/>
      <x:c r="I90" s="399"/>
      <x:c r="J90" s="399"/>
      <x:c r="K90" s="399"/>
      <x:c r="L90" s="399"/>
      <x:c r="M90" s="399"/>
      <x:c r="N90" s="399"/>
      <x:c r="O90" s="399"/>
      <x:c r="P90" s="399"/>
      <x:c r="Q90" s="399"/>
      <x:c r="R90" s="399"/>
      <x:c r="S90" s="399"/>
      <x:c r="T90" s="399"/>
      <x:c r="U90" s="399"/>
      <x:c r="V90" s="399"/>
      <x:c r="W90" s="399"/>
      <x:c r="X90" s="399"/>
      <x:c r="Y90" s="399"/>
      <x:c r="Z90" s="399"/>
      <x:c r="AA90" s="399"/>
      <x:c r="AB90" s="399"/>
      <x:c r="AC90" s="399"/>
      <x:c r="AD90" s="399"/>
      <x:c r="AE90" s="399"/>
      <x:c r="AF90" s="399"/>
      <x:c r="AG90" s="399"/>
      <x:c r="AH90" s="399"/>
      <x:c r="AI90" s="399"/>
      <x:c r="AJ90" s="399"/>
      <x:c r="AK90" s="399"/>
      <x:c r="AL90" s="399"/>
      <x:c r="AM90" s="399"/>
      <x:c r="AN90" s="399"/>
    </x:row>
    <x:row r="91">
      <x:c r="A91" s="399"/>
      <x:c r="B91" s="399"/>
      <x:c r="C91" s="399"/>
      <x:c r="D91" s="399"/>
      <x:c r="E91" s="399"/>
      <x:c r="F91" s="399"/>
      <x:c r="G91" s="399"/>
      <x:c r="H91" s="399"/>
      <x:c r="I91" s="399"/>
      <x:c r="J91" s="399"/>
      <x:c r="K91" s="399"/>
      <x:c r="L91" s="399"/>
      <x:c r="M91" s="399"/>
      <x:c r="N91" s="399"/>
      <x:c r="O91" s="399"/>
      <x:c r="P91" s="399"/>
      <x:c r="Q91" s="399"/>
      <x:c r="R91" s="399"/>
      <x:c r="S91" s="399"/>
      <x:c r="T91" s="399"/>
      <x:c r="U91" s="399"/>
      <x:c r="V91" s="399"/>
      <x:c r="W91" s="399"/>
      <x:c r="X91" s="399"/>
      <x:c r="Y91" s="399"/>
      <x:c r="Z91" s="399"/>
      <x:c r="AA91" s="399"/>
      <x:c r="AB91" s="399"/>
      <x:c r="AC91" s="399"/>
      <x:c r="AD91" s="399"/>
      <x:c r="AE91" s="399"/>
      <x:c r="AF91" s="399"/>
      <x:c r="AG91" s="399"/>
      <x:c r="AH91" s="399"/>
      <x:c r="AI91" s="399"/>
      <x:c r="AJ91" s="399"/>
      <x:c r="AK91" s="399"/>
      <x:c r="AL91" s="399"/>
      <x:c r="AM91" s="399"/>
      <x:c r="AN91" s="399"/>
    </x:row>
    <x:row r="92">
      <x:c r="A92" s="399"/>
      <x:c r="B92" s="399"/>
      <x:c r="C92" s="399"/>
      <x:c r="D92" s="399"/>
      <x:c r="E92" s="399"/>
      <x:c r="F92" s="399"/>
      <x:c r="G92" s="399"/>
      <x:c r="H92" s="399"/>
      <x:c r="I92" s="399"/>
      <x:c r="J92" s="399"/>
      <x:c r="K92" s="399"/>
      <x:c r="L92" s="399"/>
      <x:c r="M92" s="399"/>
      <x:c r="N92" s="399"/>
      <x:c r="O92" s="399"/>
      <x:c r="P92" s="399"/>
      <x:c r="Q92" s="399"/>
      <x:c r="R92" s="399"/>
      <x:c r="S92" s="399"/>
      <x:c r="T92" s="399"/>
      <x:c r="U92" s="399"/>
      <x:c r="V92" s="399"/>
      <x:c r="W92" s="399"/>
      <x:c r="X92" s="399"/>
      <x:c r="Y92" s="399"/>
      <x:c r="Z92" s="399"/>
      <x:c r="AA92" s="399"/>
      <x:c r="AB92" s="399"/>
      <x:c r="AC92" s="399"/>
      <x:c r="AD92" s="399"/>
      <x:c r="AE92" s="399"/>
      <x:c r="AF92" s="399"/>
      <x:c r="AG92" s="399"/>
      <x:c r="AH92" s="399"/>
      <x:c r="AI92" s="399"/>
      <x:c r="AJ92" s="399"/>
      <x:c r="AK92" s="399"/>
      <x:c r="AL92" s="399"/>
      <x:c r="AM92" s="399"/>
      <x:c r="AN92" s="399"/>
    </x:row>
    <x:row r="93">
      <x:c r="A93" s="399"/>
      <x:c r="B93" s="399"/>
      <x:c r="C93" s="399"/>
      <x:c r="D93" s="399"/>
      <x:c r="E93" s="399"/>
      <x:c r="F93" s="399"/>
      <x:c r="G93" s="399"/>
      <x:c r="H93" s="399"/>
      <x:c r="I93" s="399"/>
      <x:c r="J93" s="399"/>
      <x:c r="K93" s="399"/>
      <x:c r="L93" s="399"/>
      <x:c r="M93" s="399"/>
      <x:c r="N93" s="399"/>
      <x:c r="O93" s="399"/>
      <x:c r="P93" s="399"/>
      <x:c r="Q93" s="399"/>
      <x:c r="R93" s="399"/>
      <x:c r="S93" s="399"/>
      <x:c r="T93" s="399"/>
      <x:c r="U93" s="399"/>
      <x:c r="V93" s="399"/>
      <x:c r="W93" s="399"/>
      <x:c r="X93" s="399"/>
      <x:c r="Y93" s="399"/>
      <x:c r="Z93" s="399"/>
      <x:c r="AA93" s="399"/>
      <x:c r="AB93" s="399"/>
      <x:c r="AC93" s="399"/>
      <x:c r="AD93" s="399"/>
      <x:c r="AE93" s="399"/>
      <x:c r="AF93" s="399"/>
      <x:c r="AG93" s="399"/>
      <x:c r="AH93" s="399"/>
      <x:c r="AI93" s="399"/>
      <x:c r="AJ93" s="399"/>
      <x:c r="AK93" s="399"/>
      <x:c r="AL93" s="399"/>
      <x:c r="AM93" s="399"/>
      <x:c r="AN93" s="399"/>
    </x:row>
    <x:row r="94">
      <x:c r="A94" s="399"/>
      <x:c r="B94" s="399"/>
      <x:c r="C94" s="399"/>
      <x:c r="D94" s="399"/>
      <x:c r="E94" s="399"/>
      <x:c r="F94" s="399"/>
      <x:c r="G94" s="399"/>
      <x:c r="H94" s="399"/>
      <x:c r="I94" s="399"/>
      <x:c r="J94" s="399"/>
      <x:c r="K94" s="399"/>
      <x:c r="L94" s="399"/>
      <x:c r="M94" s="399"/>
      <x:c r="N94" s="399"/>
      <x:c r="O94" s="399"/>
      <x:c r="P94" s="399"/>
      <x:c r="Q94" s="399"/>
      <x:c r="R94" s="399"/>
      <x:c r="S94" s="399"/>
      <x:c r="T94" s="399"/>
      <x:c r="U94" s="399"/>
      <x:c r="V94" s="399"/>
      <x:c r="W94" s="399"/>
      <x:c r="X94" s="399"/>
      <x:c r="Y94" s="399"/>
      <x:c r="Z94" s="399"/>
      <x:c r="AA94" s="399"/>
      <x:c r="AB94" s="399"/>
      <x:c r="AC94" s="399"/>
      <x:c r="AD94" s="399"/>
      <x:c r="AE94" s="399"/>
      <x:c r="AF94" s="399"/>
      <x:c r="AG94" s="399"/>
      <x:c r="AH94" s="399"/>
      <x:c r="AI94" s="399"/>
      <x:c r="AJ94" s="399"/>
      <x:c r="AK94" s="399"/>
      <x:c r="AL94" s="399"/>
      <x:c r="AM94" s="399"/>
      <x:c r="AN94" s="399"/>
    </x:row>
    <x:row r="95">
      <x:c r="A95" s="399"/>
      <x:c r="B95" s="399"/>
      <x:c r="C95" s="399"/>
      <x:c r="D95" s="399"/>
      <x:c r="E95" s="399"/>
      <x:c r="F95" s="399"/>
      <x:c r="G95" s="399"/>
      <x:c r="H95" s="399"/>
      <x:c r="I95" s="399"/>
      <x:c r="J95" s="399"/>
      <x:c r="K95" s="399"/>
      <x:c r="L95" s="399"/>
      <x:c r="M95" s="399"/>
      <x:c r="N95" s="399"/>
      <x:c r="O95" s="399"/>
      <x:c r="P95" s="399"/>
      <x:c r="Q95" s="399"/>
      <x:c r="R95" s="399"/>
      <x:c r="S95" s="399"/>
      <x:c r="T95" s="399"/>
      <x:c r="U95" s="399"/>
      <x:c r="V95" s="399"/>
      <x:c r="W95" s="399"/>
      <x:c r="X95" s="399"/>
      <x:c r="Y95" s="399"/>
      <x:c r="Z95" s="399"/>
      <x:c r="AA95" s="399"/>
      <x:c r="AB95" s="399"/>
      <x:c r="AC95" s="399"/>
      <x:c r="AD95" s="399"/>
      <x:c r="AE95" s="399"/>
      <x:c r="AF95" s="399"/>
      <x:c r="AG95" s="399"/>
      <x:c r="AH95" s="399"/>
      <x:c r="AI95" s="399"/>
      <x:c r="AJ95" s="399"/>
      <x:c r="AK95" s="399"/>
      <x:c r="AL95" s="399"/>
      <x:c r="AM95" s="399"/>
      <x:c r="AN95" s="399"/>
    </x:row>
    <x:row r="96">
      <x:c r="A96" s="399"/>
      <x:c r="B96" s="399"/>
      <x:c r="C96" s="399"/>
      <x:c r="D96" s="399"/>
      <x:c r="E96" s="399"/>
      <x:c r="F96" s="399"/>
      <x:c r="G96" s="399"/>
      <x:c r="H96" s="399"/>
      <x:c r="I96" s="399"/>
      <x:c r="J96" s="399"/>
      <x:c r="K96" s="399"/>
      <x:c r="L96" s="399"/>
      <x:c r="M96" s="399"/>
      <x:c r="N96" s="399"/>
      <x:c r="O96" s="399"/>
      <x:c r="P96" s="399"/>
      <x:c r="Q96" s="399"/>
      <x:c r="R96" s="399"/>
      <x:c r="S96" s="399"/>
      <x:c r="T96" s="399"/>
      <x:c r="U96" s="399"/>
      <x:c r="V96" s="399"/>
      <x:c r="W96" s="399"/>
      <x:c r="X96" s="399"/>
      <x:c r="Y96" s="399"/>
      <x:c r="Z96" s="399"/>
      <x:c r="AA96" s="399"/>
      <x:c r="AB96" s="399"/>
      <x:c r="AC96" s="399"/>
      <x:c r="AD96" s="399"/>
      <x:c r="AE96" s="399"/>
      <x:c r="AF96" s="399"/>
      <x:c r="AG96" s="399"/>
      <x:c r="AH96" s="399"/>
      <x:c r="AI96" s="399"/>
      <x:c r="AJ96" s="399"/>
      <x:c r="AK96" s="399"/>
      <x:c r="AL96" s="399"/>
      <x:c r="AM96" s="399"/>
      <x:c r="AN96" s="399"/>
    </x:row>
    <x:row r="97">
      <x:c r="A97" s="399"/>
      <x:c r="B97" s="399"/>
      <x:c r="C97" s="399"/>
      <x:c r="D97" s="399"/>
      <x:c r="E97" s="399"/>
      <x:c r="F97" s="399"/>
      <x:c r="G97" s="399"/>
      <x:c r="H97" s="399"/>
      <x:c r="I97" s="399"/>
      <x:c r="J97" s="399"/>
      <x:c r="K97" s="399"/>
      <x:c r="L97" s="399"/>
      <x:c r="M97" s="399"/>
      <x:c r="N97" s="399"/>
      <x:c r="O97" s="399"/>
      <x:c r="P97" s="399"/>
      <x:c r="Q97" s="399"/>
      <x:c r="R97" s="399"/>
      <x:c r="S97" s="399"/>
      <x:c r="T97" s="399"/>
      <x:c r="U97" s="399"/>
      <x:c r="V97" s="399"/>
      <x:c r="W97" s="399"/>
      <x:c r="X97" s="399"/>
      <x:c r="Y97" s="399"/>
      <x:c r="Z97" s="399"/>
      <x:c r="AA97" s="399"/>
      <x:c r="AB97" s="399"/>
      <x:c r="AC97" s="399"/>
      <x:c r="AD97" s="399"/>
      <x:c r="AE97" s="399"/>
      <x:c r="AF97" s="399"/>
      <x:c r="AG97" s="399"/>
      <x:c r="AH97" s="399"/>
      <x:c r="AI97" s="399"/>
      <x:c r="AJ97" s="399"/>
      <x:c r="AK97" s="399"/>
      <x:c r="AL97" s="399"/>
      <x:c r="AM97" s="399"/>
      <x:c r="AN97" s="399"/>
    </x:row>
    <x:row r="98">
      <x:c r="A98" s="399"/>
      <x:c r="B98" s="399"/>
      <x:c r="C98" s="399"/>
      <x:c r="D98" s="399"/>
      <x:c r="E98" s="399"/>
      <x:c r="F98" s="399"/>
      <x:c r="G98" s="399"/>
      <x:c r="H98" s="399"/>
      <x:c r="I98" s="399"/>
      <x:c r="J98" s="399"/>
      <x:c r="K98" s="399"/>
      <x:c r="L98" s="399"/>
      <x:c r="M98" s="399"/>
      <x:c r="N98" s="399"/>
      <x:c r="O98" s="399"/>
      <x:c r="P98" s="399"/>
      <x:c r="Q98" s="399"/>
      <x:c r="R98" s="399"/>
      <x:c r="S98" s="399"/>
      <x:c r="T98" s="399"/>
      <x:c r="U98" s="399"/>
      <x:c r="V98" s="399"/>
      <x:c r="W98" s="399"/>
      <x:c r="X98" s="399"/>
      <x:c r="Y98" s="399"/>
      <x:c r="Z98" s="399"/>
      <x:c r="AA98" s="399"/>
      <x:c r="AB98" s="399"/>
      <x:c r="AC98" s="399"/>
      <x:c r="AD98" s="399"/>
      <x:c r="AE98" s="399"/>
      <x:c r="AF98" s="399"/>
      <x:c r="AG98" s="399"/>
      <x:c r="AH98" s="399"/>
      <x:c r="AI98" s="399"/>
      <x:c r="AJ98" s="399"/>
      <x:c r="AK98" s="399"/>
      <x:c r="AL98" s="399"/>
      <x:c r="AM98" s="399"/>
      <x:c r="AN98" s="399"/>
    </x:row>
    <x:row r="99">
      <x:c r="A99" s="399"/>
      <x:c r="B99" s="399"/>
      <x:c r="C99" s="399"/>
      <x:c r="D99" s="399"/>
      <x:c r="E99" s="399"/>
      <x:c r="F99" s="399"/>
      <x:c r="G99" s="399"/>
      <x:c r="H99" s="399"/>
      <x:c r="I99" s="399"/>
      <x:c r="J99" s="399"/>
      <x:c r="K99" s="399"/>
      <x:c r="L99" s="399"/>
      <x:c r="M99" s="399"/>
      <x:c r="N99" s="399"/>
      <x:c r="O99" s="399"/>
      <x:c r="P99" s="399"/>
      <x:c r="Q99" s="399"/>
      <x:c r="R99" s="399"/>
      <x:c r="S99" s="399"/>
      <x:c r="T99" s="399"/>
      <x:c r="U99" s="399"/>
      <x:c r="V99" s="399"/>
      <x:c r="W99" s="399"/>
      <x:c r="X99" s="399"/>
      <x:c r="Y99" s="399"/>
      <x:c r="Z99" s="399"/>
      <x:c r="AA99" s="399"/>
      <x:c r="AB99" s="399"/>
      <x:c r="AC99" s="399"/>
      <x:c r="AD99" s="399"/>
      <x:c r="AE99" s="399"/>
      <x:c r="AF99" s="399"/>
      <x:c r="AG99" s="399"/>
      <x:c r="AH99" s="399"/>
      <x:c r="AI99" s="399"/>
      <x:c r="AJ99" s="399"/>
      <x:c r="AK99" s="399"/>
      <x:c r="AL99" s="399"/>
      <x:c r="AM99" s="399"/>
      <x:c r="AN99" s="399"/>
    </x:row>
    <x:row r="100">
      <x:c r="A100" s="399"/>
      <x:c r="B100" s="399"/>
      <x:c r="C100" s="399"/>
      <x:c r="D100" s="399"/>
      <x:c r="E100" s="399"/>
      <x:c r="F100" s="399"/>
      <x:c r="G100" s="399"/>
      <x:c r="H100" s="399"/>
      <x:c r="I100" s="399"/>
      <x:c r="J100" s="399"/>
      <x:c r="K100" s="399"/>
      <x:c r="L100" s="399"/>
      <x:c r="M100" s="399"/>
      <x:c r="N100" s="399"/>
      <x:c r="O100" s="399"/>
      <x:c r="P100" s="399"/>
      <x:c r="Q100" s="399"/>
      <x:c r="R100" s="399"/>
      <x:c r="S100" s="399"/>
      <x:c r="T100" s="399"/>
      <x:c r="U100" s="399"/>
      <x:c r="V100" s="399"/>
      <x:c r="W100" s="399"/>
      <x:c r="X100" s="399"/>
      <x:c r="Y100" s="399"/>
      <x:c r="Z100" s="399"/>
      <x:c r="AA100" s="399"/>
      <x:c r="AB100" s="399"/>
      <x:c r="AC100" s="399"/>
      <x:c r="AD100" s="399"/>
      <x:c r="AE100" s="399"/>
      <x:c r="AF100" s="399"/>
      <x:c r="AG100" s="399"/>
      <x:c r="AH100" s="399"/>
      <x:c r="AI100" s="399"/>
      <x:c r="AJ100" s="399"/>
      <x:c r="AK100" s="399"/>
      <x:c r="AL100" s="399"/>
      <x:c r="AM100" s="399"/>
      <x:c r="AN100" s="399"/>
    </x:row>
  </x:sheetData>
  <x:mergeCells>
    <x:mergeCell ref="B1:AL1"/>
    <x:mergeCell ref="B2:AL2"/>
    <x:mergeCell ref="B19:AL19"/>
    <x:mergeCell ref="B20:AL20"/>
    <x:mergeCell ref="B21:AL21"/>
  </x:mergeCells>
  <x:pageMargins left="0.7" right="0.7" top="0.75" bottom="0.75" header="0.3" footer="0.3"/>
</x:worksheet>
</file>

<file path=xl/worksheets/sheet9.xml><?xml version="1.0" encoding="utf-8"?>
<x:worksheet xmlns:x="http://schemas.openxmlformats.org/spreadsheetml/2006/main">
  <x:sheetPr>
    <x:tabColor rgb="FF087F8C"/>
  </x:sheetPr>
  <x:sheetViews>
    <x:sheetView showGridLines="0" workbookViewId="0">
      <x:pane ySplit="4" topLeftCell="A5" activePane="bottomLeft" state="frozen"/>
    </x:sheetView>
  </x:sheetViews>
  <x:sheetFormatPr defaultRowHeight="15"/>
  <x:cols>
    <x:col min="1" max="1" width="10" hidden="0" customWidth="1"/>
    <x:col min="2" max="2" width="17" hidden="0" customWidth="1"/>
    <x:col min="3" max="3" width="39" hidden="0" customWidth="1"/>
    <x:col min="4" max="4" width="43" hidden="0" customWidth="1"/>
    <x:col min="5" max="5" width="65" hidden="0" customWidth="1"/>
    <x:col min="6" max="6" width="50" hidden="0" customWidth="1"/>
    <x:col min="7" max="7" width="70" hidden="0" customWidth="1"/>
    <x:col min="8" max="8" width="65" hidden="0" customWidth="1"/>
    <x:col min="9" max="9" width="40" hidden="0" customWidth="1"/>
  </x:cols>
  <x:sheetData>
    <x:row r="1" ht="30" customHeight="1">
      <x:c r="A1" s="401" t="str">
        <x:v>РЕЄСТР ПЕРЕВІРКИ • 16.10.2026 • 32 ВИСНОВКИ</x:v>
      </x:c>
      <x:c r="B1" s="401"/>
      <x:c r="C1" s="401"/>
      <x:c r="D1" s="401"/>
      <x:c r="E1" s="401"/>
      <x:c r="F1" s="401"/>
      <x:c r="G1" s="401"/>
      <x:c r="H1" s="401"/>
      <x:c r="I1" s="401"/>
      <x:c r="J1" s="399"/>
      <x:c r="K1" s="399"/>
      <x:c r="L1" s="399"/>
      <x:c r="M1" s="399"/>
      <x:c r="N1" s="399"/>
      <x:c r="O1" s="399"/>
      <x:c r="P1" s="399"/>
      <x:c r="Q1" s="399"/>
      <x:c r="R1" s="399"/>
      <x:c r="S1" s="399"/>
      <x:c r="T1" s="399"/>
      <x:c r="U1" s="399"/>
      <x:c r="V1" s="399"/>
      <x:c r="W1" s="399"/>
      <x:c r="X1" s="399"/>
      <x:c r="Y1" s="399"/>
      <x:c r="Z1" s="399"/>
      <x:c r="AA1" s="399"/>
      <x:c r="AB1" s="399"/>
      <x:c r="AC1" s="399"/>
      <x:c r="AD1" s="399"/>
      <x:c r="AE1" s="399"/>
      <x:c r="AF1" s="399"/>
      <x:c r="AG1" s="399"/>
      <x:c r="AH1" s="399"/>
      <x:c r="AI1" s="399"/>
      <x:c r="AJ1" s="399"/>
      <x:c r="AK1" s="399"/>
      <x:c r="AL1" s="399"/>
      <x:c r="AM1" s="399"/>
      <x:c r="AN1" s="399"/>
    </x:row>
    <x:row r="2" ht="35" customHeight="1">
      <x:c r="A2" s="487" t="str">
        <x:v>Статуси не засвідчують відсутність боргів або порушень. Правові джерела S1–S13 наведено в звіті. Обраний банк і первинні докази не надані.</x:v>
      </x:c>
      <x:c r="B2" s="487"/>
      <x:c r="C2" s="487"/>
      <x:c r="D2" s="487"/>
      <x:c r="E2" s="487"/>
      <x:c r="F2" s="487"/>
      <x:c r="G2" s="487"/>
      <x:c r="H2" s="487"/>
      <x:c r="I2" s="487"/>
      <x:c r="J2" s="399"/>
      <x:c r="K2" s="399"/>
      <x:c r="L2" s="399"/>
      <x:c r="M2" s="399"/>
      <x:c r="N2" s="399"/>
      <x:c r="O2" s="399"/>
      <x:c r="P2" s="399"/>
      <x:c r="Q2" s="399"/>
      <x:c r="R2" s="399"/>
      <x:c r="S2" s="399"/>
      <x:c r="T2" s="399"/>
      <x:c r="U2" s="399"/>
      <x:c r="V2" s="399"/>
      <x:c r="W2" s="399"/>
      <x:c r="X2" s="399"/>
      <x:c r="Y2" s="399"/>
      <x:c r="Z2" s="399"/>
      <x:c r="AA2" s="399"/>
      <x:c r="AB2" s="399"/>
      <x:c r="AC2" s="399"/>
      <x:c r="AD2" s="399"/>
      <x:c r="AE2" s="399"/>
      <x:c r="AF2" s="399"/>
      <x:c r="AG2" s="399"/>
      <x:c r="AH2" s="399"/>
      <x:c r="AI2" s="399"/>
      <x:c r="AJ2" s="399"/>
      <x:c r="AK2" s="399"/>
      <x:c r="AL2" s="399"/>
      <x:c r="AM2" s="399"/>
      <x:c r="AN2" s="399"/>
    </x:row>
    <x:row r="3">
      <x:c r="A3" s="399"/>
      <x:c r="B3" s="399"/>
      <x:c r="C3" s="399"/>
      <x:c r="D3" s="399"/>
      <x:c r="E3" s="399"/>
      <x:c r="F3" s="399"/>
      <x:c r="G3" s="399"/>
      <x:c r="H3" s="399"/>
      <x:c r="I3" s="399"/>
      <x:c r="J3" s="399"/>
      <x:c r="K3" s="399"/>
      <x:c r="L3" s="399"/>
      <x:c r="M3" s="399"/>
      <x:c r="N3" s="399"/>
      <x:c r="O3" s="399"/>
      <x:c r="P3" s="399"/>
      <x:c r="Q3" s="399"/>
      <x:c r="R3" s="399"/>
      <x:c r="S3" s="399"/>
      <x:c r="T3" s="399"/>
      <x:c r="U3" s="399"/>
      <x:c r="V3" s="399"/>
      <x:c r="W3" s="399"/>
      <x:c r="X3" s="399"/>
      <x:c r="Y3" s="399"/>
      <x:c r="Z3" s="399"/>
      <x:c r="AA3" s="399"/>
      <x:c r="AB3" s="399"/>
      <x:c r="AC3" s="399"/>
      <x:c r="AD3" s="399"/>
      <x:c r="AE3" s="399"/>
      <x:c r="AF3" s="399"/>
      <x:c r="AG3" s="399"/>
      <x:c r="AH3" s="399"/>
      <x:c r="AI3" s="399"/>
      <x:c r="AJ3" s="399"/>
      <x:c r="AK3" s="399"/>
      <x:c r="AL3" s="399"/>
      <x:c r="AM3" s="399"/>
      <x:c r="AN3" s="399"/>
    </x:row>
    <x:row r="4" ht="30" customHeight="1">
      <x:c r="A4" s="488" t="str">
        <x:v>ID</x:v>
      </x:c>
      <x:c r="B4" s="488" t="str">
        <x:v>Рівень</x:v>
      </x:c>
      <x:c r="C4" s="488" t="str">
        <x:v>Клітинки / місце</x:v>
      </x:c>
      <x:c r="D4" s="488" t="str">
        <x:v>Питання</x:v>
      </x:c>
      <x:c r="E4" s="488" t="str">
        <x:v>Факт / доказ</x:v>
      </x:c>
      <x:c r="F4" s="488" t="str">
        <x:v>Норма / природа вимоги</x:v>
      </x:c>
      <x:c r="G4" s="488" t="str">
        <x:v>Метод виправлення</x:v>
      </x:c>
      <x:c r="H4" s="488" t="str">
        <x:v>Потрібне підтвердження</x:v>
      </x:c>
      <x:c r="I4" s="488" t="str">
        <x:v>Статус</x:v>
      </x:c>
      <x:c r="J4" s="399"/>
      <x:c r="K4" s="399"/>
      <x:c r="L4" s="399"/>
      <x:c r="M4" s="399"/>
      <x:c r="N4" s="399"/>
      <x:c r="O4" s="399"/>
      <x:c r="P4" s="399"/>
      <x:c r="Q4" s="399"/>
      <x:c r="R4" s="399"/>
      <x:c r="S4" s="399"/>
      <x:c r="T4" s="399"/>
      <x:c r="U4" s="399"/>
      <x:c r="V4" s="399"/>
      <x:c r="W4" s="399"/>
      <x:c r="X4" s="399"/>
      <x:c r="Y4" s="399"/>
      <x:c r="Z4" s="399"/>
      <x:c r="AA4" s="399"/>
      <x:c r="AB4" s="399"/>
      <x:c r="AC4" s="399"/>
      <x:c r="AD4" s="399"/>
      <x:c r="AE4" s="399"/>
      <x:c r="AF4" s="399"/>
      <x:c r="AG4" s="399"/>
      <x:c r="AH4" s="399"/>
      <x:c r="AI4" s="399"/>
      <x:c r="AJ4" s="399"/>
      <x:c r="AK4" s="399"/>
      <x:c r="AL4" s="399"/>
      <x:c r="AM4" s="399"/>
      <x:c r="AN4" s="399"/>
    </x:row>
    <x:row r="5" ht="105" customHeight="1">
      <x:c r="A5" s="489" t="str">
        <x:v>F01</x:v>
      </x:c>
      <x:c r="B5" s="491" t="str">
        <x:v>Критичний</x:v>
      </x:c>
      <x:c r="C5" s="489" t="str">
        <x:v>Прибутки та збитки!E32:AB32</x:v>
      </x:c>
      <x:c r="D5" s="489" t="str">
        <x:v>У витратах пропущено 1 868 098 грн</x:v>
      </x:c>
      <x:c r="E5" s="489" t="str">
        <x:v>Перші 24 підсумки рядка 32 є числами, що дублюють лише канцелярію. E32=1 500 замість 1 460 048. Не враховано інші рядки 33–44.</x:v>
      </x:c>
      <x:c r="F5" s="489" t="str">
        <x:v>Розрахунковий дефект; достовірність бізнес-плану за пп. 10, 14, 19 Порядку [S1].</x:v>
      </x:c>
      <x:c r="G5" s="489" t="str">
        <x:v>Замінити всі 36 підсумків формулами SUM рядків 33:44; узгодити касовий залишок і текст.</x:v>
      </x:c>
      <x:c r="H5" s="489" t="str">
        <x:v>Виправлені формули та незалежний перерахунок.</x:v>
      </x:c>
      <x:c r="I5" s="489" t="str">
        <x:v>Виправлено у копії</x:v>
      </x:c>
      <x:c r="J5" s="399"/>
      <x:c r="K5" s="399"/>
      <x:c r="L5" s="399"/>
      <x:c r="M5" s="399"/>
      <x:c r="N5" s="399"/>
      <x:c r="O5" s="399"/>
      <x:c r="P5" s="399"/>
      <x:c r="Q5" s="399"/>
      <x:c r="R5" s="399"/>
      <x:c r="S5" s="399"/>
      <x:c r="T5" s="399"/>
      <x:c r="U5" s="399"/>
      <x:c r="V5" s="399"/>
      <x:c r="W5" s="399"/>
      <x:c r="X5" s="399"/>
      <x:c r="Y5" s="399"/>
      <x:c r="Z5" s="399"/>
      <x:c r="AA5" s="399"/>
      <x:c r="AB5" s="399"/>
      <x:c r="AC5" s="399"/>
      <x:c r="AD5" s="399"/>
      <x:c r="AE5" s="399"/>
      <x:c r="AF5" s="399"/>
      <x:c r="AG5" s="399"/>
      <x:c r="AH5" s="399"/>
      <x:c r="AI5" s="399"/>
      <x:c r="AJ5" s="399"/>
      <x:c r="AK5" s="399"/>
      <x:c r="AL5" s="399"/>
      <x:c r="AM5" s="399"/>
      <x:c r="AN5" s="399"/>
    </x:row>
    <x:row r="6" ht="105" customHeight="1">
      <x:c r="A6" s="489" t="str">
        <x:v>F02</x:v>
      </x:c>
      <x:c r="B6" s="491" t="str">
        <x:v>Критичний</x:v>
      </x:c>
      <x:c r="C6" s="489" t="str">
        <x:v>Прибутки та збитки!BM27, BM46, BM74</x:v>
      </x:c>
      <x:c r="D6" s="489" t="str">
        <x:v>Три підсумки не відображають місячні дані</x:v>
      </x:c>
      <x:c r="E6" s="489" t="str">
        <x:v>BM27 вручну 9 110 000; сума початкових надходжень 22 019 898. BM46 і BM74 дають нулі через логіку формул у колонці «Всього».</x:v>
      </x:c>
      <x:c r="F6" s="489" t="str">
        <x:v>Розрахунковий дефект; [S1] пп. 10, 14, 19.</x:v>
      </x:c>
      <x:c r="G6" s="489" t="str">
        <x:v>Підсумувати потоки за 36 місяців; для залишків показувати останній місяць, а не суму залишків.</x:v>
      </x:c>
      <x:c r="H6" s="489" t="str">
        <x:v>Звірка сум місяців і контрольних клітинок.</x:v>
      </x:c>
      <x:c r="I6" s="489" t="str">
        <x:v>Виправлено у копії</x:v>
      </x:c>
      <x:c r="J6" s="399"/>
      <x:c r="K6" s="399"/>
      <x:c r="L6" s="399"/>
      <x:c r="M6" s="399"/>
      <x:c r="N6" s="399"/>
      <x:c r="O6" s="399"/>
      <x:c r="P6" s="399"/>
      <x:c r="Q6" s="399"/>
      <x:c r="R6" s="399"/>
      <x:c r="S6" s="399"/>
      <x:c r="T6" s="399"/>
      <x:c r="U6" s="399"/>
      <x:c r="V6" s="399"/>
      <x:c r="W6" s="399"/>
      <x:c r="X6" s="399"/>
      <x:c r="Y6" s="399"/>
      <x:c r="Z6" s="399"/>
      <x:c r="AA6" s="399"/>
      <x:c r="AB6" s="399"/>
      <x:c r="AC6" s="399"/>
      <x:c r="AD6" s="399"/>
      <x:c r="AE6" s="399"/>
      <x:c r="AF6" s="399"/>
      <x:c r="AG6" s="399"/>
      <x:c r="AH6" s="399"/>
      <x:c r="AI6" s="399"/>
      <x:c r="AJ6" s="399"/>
      <x:c r="AK6" s="399"/>
      <x:c r="AL6" s="399"/>
      <x:c r="AM6" s="399"/>
      <x:c r="AN6" s="399"/>
    </x:row>
    <x:row r="7" ht="105" customHeight="1">
      <x:c r="A7" s="489" t="str">
        <x:v>F03</x:v>
      </x:c>
      <x:c r="B7" s="491" t="str">
        <x:v>Критичний</x:v>
      </x:c>
      <x:c r="C7" s="489" t="str">
        <x:v>Бізнес план!E96; Прибутки та збитки!рядок 15</x:v>
      </x:c>
      <x:c r="D7" s="489" t="str">
        <x:v>Власний внесок завищено на суму гранту</x:v>
      </x:c>
      <x:c r="E7" s="489" t="str">
        <x:v>SUM(E89:E95)=2 185 758 помилково названо власними коштами. Реальний заявлений внесок: 110 000+275 860=385 860. У рух коштів навчання не включене.</x:v>
      </x:c>
      <x:c r="F7" s="489" t="str">
        <x:v>Розрахунок; частка власної участі впливає на оцінювання за дод. 3 [S3].</x:v>
      </x:c>
      <x:c r="G7" s="489" t="str">
        <x:v>E96=SUM(E92:E95); відобразити внесок і навчання окремими потоками. Заплановані платежі М1/М13 — припущення, яке треба замінити строками рахунків.</x:v>
      </x:c>
      <x:c r="H7" s="489" t="str">
        <x:v>Банківські виписки про наявність і походження коштів; рахунки ICA.</x:v>
      </x:c>
      <x:c r="I7" s="489" t="str">
        <x:v>Арифметику виправлено; кошти не підтверджені</x:v>
      </x:c>
      <x:c r="J7" s="399"/>
      <x:c r="K7" s="399"/>
      <x:c r="L7" s="399"/>
      <x:c r="M7" s="399"/>
      <x:c r="N7" s="399"/>
      <x:c r="O7" s="399"/>
      <x:c r="P7" s="399"/>
      <x:c r="Q7" s="399"/>
      <x:c r="R7" s="399"/>
      <x:c r="S7" s="399"/>
      <x:c r="T7" s="399"/>
      <x:c r="U7" s="399"/>
      <x:c r="V7" s="399"/>
      <x:c r="W7" s="399"/>
      <x:c r="X7" s="399"/>
      <x:c r="Y7" s="399"/>
      <x:c r="Z7" s="399"/>
      <x:c r="AA7" s="399"/>
      <x:c r="AB7" s="399"/>
      <x:c r="AC7" s="399"/>
      <x:c r="AD7" s="399"/>
      <x:c r="AE7" s="399"/>
      <x:c r="AF7" s="399"/>
      <x:c r="AG7" s="399"/>
      <x:c r="AH7" s="399"/>
      <x:c r="AI7" s="399"/>
      <x:c r="AJ7" s="399"/>
      <x:c r="AK7" s="399"/>
      <x:c r="AL7" s="399"/>
      <x:c r="AM7" s="399"/>
      <x:c r="AN7" s="399"/>
    </x:row>
    <x:row r="8" ht="105" customHeight="1">
      <x:c r="A8" s="489" t="str">
        <x:v>F04</x:v>
      </x:c>
      <x:c r="B8" s="491" t="str">
        <x:v>Критичний</x:v>
      </x:c>
      <x:c r="C8" s="489" t="str">
        <x:v>Бізнес план!B17, E82; Прибутки та збитки!E34:AB34</x:v>
      </x:c>
      <x:c r="D8" s="489" t="str">
        <x:v>Оренда на 24 місяці не узгоджена зі строком використання гранту</x:v>
      </x:c>
      <x:c r="E8" s="489" t="str">
        <x:v>360 000 закладено по 15 000 протягом 24 місяців. За 3 місяці витрачено лише 45 000; 315 000 лишаються невикористаними.</x:v>
      </x:c>
      <x:c r="F8" s="489" t="str">
        <x:v>[S1] п. 23: невикористані за 3 місяці кошти повертає банк у наступні 3 операційні дні; п. 7 — оренда до 25%.</x:v>
      </x:c>
      <x:c r="G8" s="489" t="str">
        <x:v>Варіант А: підтверджений договором і прийнятний банку аванс 360 000 у межах 3 місяців. Варіант Б: змінити грантовий бюджет і джерела фінансування, заново перевіривши відсоткові ліміти. В XLSX показано лише умовний варіант А.</x:v>
      </x:c>
      <x:c r="H8" s="489" t="str">
        <x:v>Договір оренди, рахунок, графік, умови повернення авансу, підтвердження банком комплекту платіжних документів.</x:v>
      </x:c>
      <x:c r="I8" s="489" t="str">
        <x:v>Потребує документів / рішення заявниці</x:v>
      </x:c>
      <x:c r="J8" s="399"/>
      <x:c r="K8" s="399"/>
      <x:c r="L8" s="399"/>
      <x:c r="M8" s="399"/>
      <x:c r="N8" s="399"/>
      <x:c r="O8" s="399"/>
      <x:c r="P8" s="399"/>
      <x:c r="Q8" s="399"/>
      <x:c r="R8" s="399"/>
      <x:c r="S8" s="399"/>
      <x:c r="T8" s="399"/>
      <x:c r="U8" s="399"/>
      <x:c r="V8" s="399"/>
      <x:c r="W8" s="399"/>
      <x:c r="X8" s="399"/>
      <x:c r="Y8" s="399"/>
      <x:c r="Z8" s="399"/>
      <x:c r="AA8" s="399"/>
      <x:c r="AB8" s="399"/>
      <x:c r="AC8" s="399"/>
      <x:c r="AD8" s="399"/>
      <x:c r="AE8" s="399"/>
      <x:c r="AF8" s="399"/>
      <x:c r="AG8" s="399"/>
      <x:c r="AH8" s="399"/>
      <x:c r="AI8" s="399"/>
      <x:c r="AJ8" s="399"/>
      <x:c r="AK8" s="399"/>
      <x:c r="AL8" s="399"/>
      <x:c r="AM8" s="399"/>
      <x:c r="AN8" s="399"/>
    </x:row>
    <x:row r="9" ht="105" customHeight="1">
      <x:c r="A9" s="489" t="str">
        <x:v>F05</x:v>
      </x:c>
      <x:c r="B9" s="489" t="str">
        <x:v>Високий</x:v>
      </x:c>
      <x:c r="C9" s="489" t="str">
        <x:v>Бізнес план!C39:D39</x:v>
      </x:c>
      <x:c r="D9" s="489" t="str">
        <x:v>Контроль максимальної суми порівнює число з текстом</x:v>
      </x:c>
      <x:c r="E9" s="489" t="str">
        <x:v>C39 містить текст «1 800 000 грн». Порівняння C26&gt;C39 не є надійним числовим контролем.</x:v>
      </x:c>
      <x:c r="F9" s="489" t="str">
        <x:v>[S1] п. 6: база 1 500 000; надбавка 20% за два нові місця за виконання умов.</x:v>
      </x:c>
      <x:c r="G9" s="489" t="str">
        <x:v>Використати числову формулу MIN(2500000; C28*(1+SUM(D29:D37))); окремо контролювати фактичні підстави надбавки.</x:v>
      </x:c>
      <x:c r="H9" s="489" t="str">
        <x:v>C39=1 800 000; запас до межі лише 102 грн.</x:v>
      </x:c>
      <x:c r="I9" s="489" t="str">
        <x:v>Виправлено у копії</x:v>
      </x:c>
      <x:c r="J9" s="399"/>
      <x:c r="K9" s="399"/>
      <x:c r="L9" s="399"/>
      <x:c r="M9" s="399"/>
      <x:c r="N9" s="399"/>
      <x:c r="O9" s="399"/>
      <x:c r="P9" s="399"/>
      <x:c r="Q9" s="399"/>
      <x:c r="R9" s="399"/>
      <x:c r="S9" s="399"/>
      <x:c r="T9" s="399"/>
      <x:c r="U9" s="399"/>
      <x:c r="V9" s="399"/>
      <x:c r="W9" s="399"/>
      <x:c r="X9" s="399"/>
      <x:c r="Y9" s="399"/>
      <x:c r="Z9" s="399"/>
      <x:c r="AA9" s="399"/>
      <x:c r="AB9" s="399"/>
      <x:c r="AC9" s="399"/>
      <x:c r="AD9" s="399"/>
      <x:c r="AE9" s="399"/>
      <x:c r="AF9" s="399"/>
      <x:c r="AG9" s="399"/>
      <x:c r="AH9" s="399"/>
      <x:c r="AI9" s="399"/>
      <x:c r="AJ9" s="399"/>
      <x:c r="AK9" s="399"/>
      <x:c r="AL9" s="399"/>
      <x:c r="AM9" s="399"/>
      <x:c r="AN9" s="399"/>
    </x:row>
    <x:row r="10" ht="105" customHeight="1">
      <x:c r="A10" s="489" t="str">
        <x:v>F06</x:v>
      </x:c>
      <x:c r="B10" s="491" t="str">
        <x:v>Критичний</x:v>
      </x:c>
      <x:c r="C10" s="489" t="str">
        <x:v>Прибутки та збитки!C60, E60:E61, G60:AN61</x:v>
      </x:c>
      <x:c r="D10" s="489" t="str">
        <x:v>Податок ФОП має неправильну базу та ручні винятки</x:v>
      </x:c>
      <x:c r="E10" s="489" t="str">
        <x:v>Опис 5% «від прибутку» неправильний. E60=6 000 замість 10 000; E61=1 200 замість 2 000. Формули інших місяців беруть загальні надходження, що небезпечно при перенесенні гранту чи внеску.</x:v>
      </x:c>
      <x:c r="F10" s="489" t="str">
        <x:v>[S5–S8]: ПКУ 292, 293.3; 1% ВЗ для групи 3 — п. 16-1 підрозд. 10 розд. XX.</x:v>
      </x:c>
      <x:c r="G10" s="489" t="str">
        <x:v>Розраховувати 5% і 1% лише з належної бази підприємницьких грошових надходжень; грант відокремити. Власне фінансування і його податковий режим документувати окремо.</x:v>
      </x:c>
      <x:c r="H10" s="489" t="str">
        <x:v>Реєстр платника ЄП; облік надходжень; підтвердження джерел внеску.</x:v>
      </x:c>
      <x:c r="I10" s="489" t="str">
        <x:v>Формули виправлено; статус оподаткування не підтверджений</x:v>
      </x:c>
      <x:c r="J10" s="399"/>
      <x:c r="K10" s="399"/>
      <x:c r="L10" s="399"/>
      <x:c r="M10" s="399"/>
      <x:c r="N10" s="399"/>
      <x:c r="O10" s="399"/>
      <x:c r="P10" s="399"/>
      <x:c r="Q10" s="399"/>
      <x:c r="R10" s="399"/>
      <x:c r="S10" s="399"/>
      <x:c r="T10" s="399"/>
      <x:c r="U10" s="399"/>
      <x:c r="V10" s="399"/>
      <x:c r="W10" s="399"/>
      <x:c r="X10" s="399"/>
      <x:c r="Y10" s="399"/>
      <x:c r="Z10" s="399"/>
      <x:c r="AA10" s="399"/>
      <x:c r="AB10" s="399"/>
      <x:c r="AC10" s="399"/>
      <x:c r="AD10" s="399"/>
      <x:c r="AE10" s="399"/>
      <x:c r="AF10" s="399"/>
      <x:c r="AG10" s="399"/>
      <x:c r="AH10" s="399"/>
      <x:c r="AI10" s="399"/>
      <x:c r="AJ10" s="399"/>
      <x:c r="AK10" s="399"/>
      <x:c r="AL10" s="399"/>
      <x:c r="AM10" s="399"/>
      <x:c r="AN10" s="399"/>
    </x:row>
    <x:row r="11" ht="105" customHeight="1">
      <x:c r="A11" s="489" t="str">
        <x:v>F07</x:v>
      </x:c>
      <x:c r="B11" s="489" t="str">
        <x:v>Високий</x:v>
      </x:c>
      <x:c r="C11" s="489" t="str">
        <x:v>Бізнес план!B111</x:v>
      </x:c>
      <x:c r="D11" s="489" t="str">
        <x:v>Текст податків суперечить таблиці</x:v>
      </x:c>
      <x:c r="E11" s="489" t="str">
        <x:v>ВЗ працівників зазначено 16 325, тоді як 5% від 3 265 000 =163 250. Виправлений загальний прогноз податків — 2 750 934,24.</x:v>
      </x:c>
      <x:c r="F11" s="489" t="str">
        <x:v>Арифметика; [S8], ставки ПДФО 18%, ВЗ 5%, ЄСВ роботодавця 22% за загальними умовами.</x:v>
      </x:c>
      <x:c r="G11" s="489" t="str">
        <x:v>Пов’язати текстові підсумки з моделлю; не додавати утримані ПДФО/ВЗ повторно до витрат понад нараховану зарплату.</x:v>
      </x:c>
      <x:c r="H11" s="489" t="str">
        <x:v>Таблиця нарахованої/чистої зарплати та податків.</x:v>
      </x:c>
      <x:c r="I11" s="489" t="str">
        <x:v>Виправлено у копії</x:v>
      </x:c>
      <x:c r="J11" s="399"/>
      <x:c r="K11" s="399"/>
      <x:c r="L11" s="399"/>
      <x:c r="M11" s="399"/>
      <x:c r="N11" s="399"/>
      <x:c r="O11" s="399"/>
      <x:c r="P11" s="399"/>
      <x:c r="Q11" s="399"/>
      <x:c r="R11" s="399"/>
      <x:c r="S11" s="399"/>
      <x:c r="T11" s="399"/>
      <x:c r="U11" s="399"/>
      <x:c r="V11" s="399"/>
      <x:c r="W11" s="399"/>
      <x:c r="X11" s="399"/>
      <x:c r="Y11" s="399"/>
      <x:c r="Z11" s="399"/>
      <x:c r="AA11" s="399"/>
      <x:c r="AB11" s="399"/>
      <x:c r="AC11" s="399"/>
      <x:c r="AD11" s="399"/>
      <x:c r="AE11" s="399"/>
      <x:c r="AF11" s="399"/>
      <x:c r="AG11" s="399"/>
      <x:c r="AH11" s="399"/>
      <x:c r="AI11" s="399"/>
      <x:c r="AJ11" s="399"/>
      <x:c r="AK11" s="399"/>
      <x:c r="AL11" s="399"/>
      <x:c r="AM11" s="399"/>
      <x:c r="AN11" s="399"/>
    </x:row>
    <x:row r="12" ht="105" customHeight="1">
      <x:c r="A12" s="489" t="str">
        <x:v>F08</x:v>
      </x:c>
      <x:c r="B12" s="491" t="str">
        <x:v>Критичний</x:v>
      </x:c>
      <x:c r="C12" s="489" t="str">
        <x:v>Бізнес план!B62:B74</x:v>
      </x:c>
      <x:c r="D12" s="489" t="str">
        <x:v>Прибуток, рентабельність і окупність не доведені</x:v>
      </x:c>
      <x:c r="E12" s="489" t="str">
        <x:v>100%, 3 303 695, 7 926 305 і 36 місяців не мають узгодженої розрахункової основи. Рядок 74 включає грант, тому не є чистим прибутком.</x:v>
      </x:c>
      <x:c r="F12" s="489" t="str">
        <x:v>Аналітична вимога достовірності; [S2], дод. 3 [S3].</x:v>
      </x:c>
      <x:c r="G12" s="489" t="str">
        <x:v>Розрізнити виручку, фінансування, касовий результат і прибуток. Прибрати непідтверджені ROI/IRR; визначити капіталізацію, строки використання активів і амортизацію перед розрахунком прибутку.</x:v>
      </x:c>
      <x:c r="H12" s="489" t="str">
        <x:v>Окремий P&amp;L, облікові припущення, формули ROI/IRR, якщо їх вимагає форма.</x:v>
      </x:c>
      <x:c r="I12" s="489" t="str">
        <x:v>Хибні твердження прибрано; економічні показники потребують даних</x:v>
      </x:c>
      <x:c r="J12" s="399"/>
      <x:c r="K12" s="399"/>
      <x:c r="L12" s="399"/>
      <x:c r="M12" s="399"/>
      <x:c r="N12" s="399"/>
      <x:c r="O12" s="399"/>
      <x:c r="P12" s="399"/>
      <x:c r="Q12" s="399"/>
      <x:c r="R12" s="399"/>
      <x:c r="S12" s="399"/>
      <x:c r="T12" s="399"/>
      <x:c r="U12" s="399"/>
      <x:c r="V12" s="399"/>
      <x:c r="W12" s="399"/>
      <x:c r="X12" s="399"/>
      <x:c r="Y12" s="399"/>
      <x:c r="Z12" s="399"/>
      <x:c r="AA12" s="399"/>
      <x:c r="AB12" s="399"/>
      <x:c r="AC12" s="399"/>
      <x:c r="AD12" s="399"/>
      <x:c r="AE12" s="399"/>
      <x:c r="AF12" s="399"/>
      <x:c r="AG12" s="399"/>
      <x:c r="AH12" s="399"/>
      <x:c r="AI12" s="399"/>
      <x:c r="AJ12" s="399"/>
      <x:c r="AK12" s="399"/>
      <x:c r="AL12" s="399"/>
      <x:c r="AM12" s="399"/>
      <x:c r="AN12" s="399"/>
    </x:row>
    <x:row r="13" ht="105" customHeight="1">
      <x:c r="A13" s="489" t="str">
        <x:v>F09</x:v>
      </x:c>
      <x:c r="B13" s="489" t="str">
        <x:v>Високий</x:v>
      </x:c>
      <x:c r="C13" s="489" t="str">
        <x:v>Прибутки та збитки!рядки 50, 70–71</x:v>
      </x:c>
      <x:c r="D13" s="489" t="str">
        <x:v>Прогноз податків прирівняно до фактичного виконання гранту</x:v>
      </x:c>
      <x:c r="E13" s="489" t="str">
        <x:v>Нарахування і сплата не тотожні. Не розмежовано період зарахування податків та перший місяць гранту; зарплатний/квартальний календар відсутній.</x:v>
      </x:c>
      <x:c r="F13" s="489" t="str">
        <x:v>[S1] п. 23, зокрема правило початку розрахунку з наступного місяця та фактичної сплати; п. 25 — контроль.</x:v>
      </x:c>
      <x:c r="G13" s="489" t="str">
        <x:v>Вести окремий реєстр фактично зарахованих платежів. У моделі використано консервативний план: щомісячне резервування/сплата, до заліку з М2. Це не довідка про виконання.</x:v>
      </x:c>
      <x:c r="H13" s="489" t="str">
        <x:v>Картки ДПС/ПФУ, платіжні інструкції, звірка з центром зайнятості.</x:v>
      </x:c>
      <x:c r="I13" s="489" t="str">
        <x:v>Прогноз розділено; фактичні дані відсутні</x:v>
      </x:c>
      <x:c r="J13" s="399"/>
      <x:c r="K13" s="399"/>
      <x:c r="L13" s="399"/>
      <x:c r="M13" s="399"/>
      <x:c r="N13" s="399"/>
      <x:c r="O13" s="399"/>
      <x:c r="P13" s="399"/>
      <x:c r="Q13" s="399"/>
      <x:c r="R13" s="399"/>
      <x:c r="S13" s="399"/>
      <x:c r="T13" s="399"/>
      <x:c r="U13" s="399"/>
      <x:c r="V13" s="399"/>
      <x:c r="W13" s="399"/>
      <x:c r="X13" s="399"/>
      <x:c r="Y13" s="399"/>
      <x:c r="Z13" s="399"/>
      <x:c r="AA13" s="399"/>
      <x:c r="AB13" s="399"/>
      <x:c r="AC13" s="399"/>
      <x:c r="AD13" s="399"/>
      <x:c r="AE13" s="399"/>
      <x:c r="AF13" s="399"/>
      <x:c r="AG13" s="399"/>
      <x:c r="AH13" s="399"/>
      <x:c r="AI13" s="399"/>
      <x:c r="AJ13" s="399"/>
      <x:c r="AK13" s="399"/>
      <x:c r="AL13" s="399"/>
      <x:c r="AM13" s="399"/>
      <x:c r="AN13" s="399"/>
    </x:row>
    <x:row r="14" ht="105" customHeight="1">
      <x:c r="A14" s="489" t="str">
        <x:v>F10</x:v>
      </x:c>
      <x:c r="B14" s="489" t="str">
        <x:v>Високий</x:v>
      </x:c>
      <x:c r="C14" s="489" t="str">
        <x:v>Прибутки та збитки!E65:AN65; Модель 36 міс!C15</x:v>
      </x:c>
      <x:c r="D14" s="489" t="str">
        <x:v>ЄСВ на 36 місяців зафіксовано на рівні 2026 року</x:v>
      </x:c>
      <x:c r="E14" s="489" t="str">
        <x:v>1 902,34 відповідає 8 647×22%, але не підтверджує майбутніх мінімумів, пільг чи іншої бази.</x:v>
      </x:c>
      <x:c r="F14" s="489" t="str">
        <x:v>Закон 2464-VI, ст. 4, 7, 8; [S7].</x:v>
      </x:c>
      <x:c r="G14" s="489" t="str">
        <x:v>Щороку оновлювати законодавчі показники і перевіряти право на звільнення. Поточна константа залишена лише для порівнянності сценаріїв.</x:v>
      </x:c>
      <x:c r="H14" s="489" t="str">
        <x:v>Чинні бюджети відповідних років; документи про пільгу, якщо вона застосовна.</x:v>
      </x:c>
      <x:c r="I14" s="489" t="str">
        <x:v>Потребує документів / рішення заявниці</x:v>
      </x:c>
      <x:c r="J14" s="399"/>
      <x:c r="K14" s="399"/>
      <x:c r="L14" s="399"/>
      <x:c r="M14" s="399"/>
      <x:c r="N14" s="399"/>
      <x:c r="O14" s="399"/>
      <x:c r="P14" s="399"/>
      <x:c r="Q14" s="399"/>
      <x:c r="R14" s="399"/>
      <x:c r="S14" s="399"/>
      <x:c r="T14" s="399"/>
      <x:c r="U14" s="399"/>
      <x:c r="V14" s="399"/>
      <x:c r="W14" s="399"/>
      <x:c r="X14" s="399"/>
      <x:c r="Y14" s="399"/>
      <x:c r="Z14" s="399"/>
      <x:c r="AA14" s="399"/>
      <x:c r="AB14" s="399"/>
      <x:c r="AC14" s="399"/>
      <x:c r="AD14" s="399"/>
      <x:c r="AE14" s="399"/>
      <x:c r="AF14" s="399"/>
      <x:c r="AG14" s="399"/>
      <x:c r="AH14" s="399"/>
      <x:c r="AI14" s="399"/>
      <x:c r="AJ14" s="399"/>
      <x:c r="AK14" s="399"/>
      <x:c r="AL14" s="399"/>
      <x:c r="AM14" s="399"/>
      <x:c r="AN14" s="399"/>
    </x:row>
    <x:row r="15" ht="105" customHeight="1">
      <x:c r="A15" s="489" t="str">
        <x:v>L01</x:v>
      </x:c>
      <x:c r="B15" s="491" t="str">
        <x:v>Критичний</x:v>
      </x:c>
      <x:c r="C15" s="489" t="str">
        <x:v>Бізнес план!B10, B47, B60; Прибутки та збитки!рядок 17</x:v>
      </x:c>
      <x:c r="D15" s="489" t="str">
        <x:v>Юридичні послуги не підтверджені заявленим КВЕД 70.22</x:v>
      </x:c>
      <x:c r="E15" s="489" t="str">
        <x:v>Юридичні послуги дають 8 140 000, тобто 40,26% прогнозу. 70.22 прямо виключає юридичні послуги. Витягу з усіма КВЕД немає — не доведено, що 69.10 відсутній.</x:v>
      </x:c>
      <x:c r="F15" s="489" t="str">
        <x:v>[S9]: ДК 009:2010, 70.22/69.10; ПКУ 298.2.3 — перевірка видів діяльності у реєстрі ЄП.</x:v>
      </x:c>
      <x:c r="G15" s="489" t="str">
        <x:v>Отримати актуальні витяги; за потреби додати належні КВЕД і повідомити ДПС до здійснення операцій. Окремо визначити юридичні послуги й регульоване представництво.</x:v>
      </x:c>
      <x:c r="H15" s="489" t="str">
        <x:v>ЄДР, реєстр ЄП, кваліфікація виконавців, перелік договорів.</x:v>
      </x:c>
      <x:c r="I15" s="489" t="str">
        <x:v>Потребує документів / рішення заявниці</x:v>
      </x:c>
      <x:c r="J15" s="399"/>
      <x:c r="K15" s="399"/>
      <x:c r="L15" s="399"/>
      <x:c r="M15" s="399"/>
      <x:c r="N15" s="399"/>
      <x:c r="O15" s="399"/>
      <x:c r="P15" s="399"/>
      <x:c r="Q15" s="399"/>
      <x:c r="R15" s="399"/>
      <x:c r="S15" s="399"/>
      <x:c r="T15" s="399"/>
      <x:c r="U15" s="399"/>
      <x:c r="V15" s="399"/>
      <x:c r="W15" s="399"/>
      <x:c r="X15" s="399"/>
      <x:c r="Y15" s="399"/>
      <x:c r="Z15" s="399"/>
      <x:c r="AA15" s="399"/>
      <x:c r="AB15" s="399"/>
      <x:c r="AC15" s="399"/>
      <x:c r="AD15" s="399"/>
      <x:c r="AE15" s="399"/>
      <x:c r="AF15" s="399"/>
      <x:c r="AG15" s="399"/>
      <x:c r="AH15" s="399"/>
      <x:c r="AI15" s="399"/>
      <x:c r="AJ15" s="399"/>
      <x:c r="AK15" s="399"/>
      <x:c r="AL15" s="399"/>
      <x:c r="AM15" s="399"/>
      <x:c r="AN15" s="399"/>
    </x:row>
    <x:row r="16" ht="105" customHeight="1">
      <x:c r="A16" s="489" t="str">
        <x:v>L02</x:v>
      </x:c>
      <x:c r="B16" s="491" t="str">
        <x:v>Критичний</x:v>
      </x:c>
      <x:c r="C16" s="489" t="str">
        <x:v>Бізнес план!B47 «комплаєнс-аудит»</x:v>
      </x:c>
      <x:c r="D16" s="489" t="str">
        <x:v>Потрібно відмежувати консалтинг від аудиту фінансової звітності</x:v>
      </x:c>
      <x:c r="E16" s="489" t="str">
        <x:v>Слово «аудит» саме по собі не доводить забороненої діяльності. Але зміст послуги не розкрито, згадано ISO та законодавчу відповідність.</x:v>
      </x:c>
      <x:c r="F16" s="489" t="str">
        <x:v>ПКУ 291.5.2; Закон 2258-VIII, ст. 1, вимоги до аудиторської діяльності; [S10].</x:v>
      </x:c>
      <x:c r="G16" s="489" t="str">
        <x:v>Для фактичного консалтингу описати консультаційну оцінку процесів і результат у вигляді рекомендацій. Не пропонувати аудиторський висновок чи сертифікацію без належного статусу. Перейменування не легалізує заборонений зміст.</x:v>
      </x:c>
      <x:c r="H16" s="489" t="str">
        <x:v>Каталог послуг, техзавдання й договір; підтвердження спеціального статусу, якщо він потрібний.</x:v>
      </x:c>
      <x:c r="I16" s="489" t="str">
        <x:v>Потребує документів / рішення заявниці</x:v>
      </x:c>
      <x:c r="J16" s="399"/>
      <x:c r="K16" s="399"/>
      <x:c r="L16" s="399"/>
      <x:c r="M16" s="399"/>
      <x:c r="N16" s="399"/>
      <x:c r="O16" s="399"/>
      <x:c r="P16" s="399"/>
      <x:c r="Q16" s="399"/>
      <x:c r="R16" s="399"/>
      <x:c r="S16" s="399"/>
      <x:c r="T16" s="399"/>
      <x:c r="U16" s="399"/>
      <x:c r="V16" s="399"/>
      <x:c r="W16" s="399"/>
      <x:c r="X16" s="399"/>
      <x:c r="Y16" s="399"/>
      <x:c r="Z16" s="399"/>
      <x:c r="AA16" s="399"/>
      <x:c r="AB16" s="399"/>
      <x:c r="AC16" s="399"/>
      <x:c r="AD16" s="399"/>
      <x:c r="AE16" s="399"/>
      <x:c r="AF16" s="399"/>
      <x:c r="AG16" s="399"/>
      <x:c r="AH16" s="399"/>
      <x:c r="AI16" s="399"/>
      <x:c r="AJ16" s="399"/>
      <x:c r="AK16" s="399"/>
      <x:c r="AL16" s="399"/>
      <x:c r="AM16" s="399"/>
      <x:c r="AN16" s="399"/>
    </x:row>
    <x:row r="17" ht="105" customHeight="1">
      <x:c r="A17" s="489" t="str">
        <x:v>L03</x:v>
      </x:c>
      <x:c r="B17" s="489" t="str">
        <x:v>Високий</x:v>
      </x:c>
      <x:c r="C17" s="489" t="str">
        <x:v>Бізнес план!B47, B60</x:v>
      </x:c>
      <x:c r="D17" s="489" t="str">
        <x:v>Статус у фінмоніторингу залежить від реальних операцій</x:v>
      </x:c>
      <x:c r="E17" s="489" t="str">
        <x:v>Консалтинг з AML/KYC не дорівнює автоматично статусу СПФМ. Юридичний супровід визначених законом операцій може створити окремі обов’язки.</x:v>
      </x:c>
      <x:c r="F17" s="489" t="str">
        <x:v>Закон 361-IX, ст. 6, 8, 10, 11; [S11].</x:v>
      </x:c>
      <x:c r="G17" s="489" t="str">
        <x:v>Скласти матрицю «послуга — операція — статус — обов’язок»; за застосовності виконати вимоги до обліку, перевірок, повідомлень і зберігання.</x:v>
      </x:c>
      <x:c r="H17" s="489" t="str">
        <x:v>Висновок за фактичними договорами; правила й документи СПФМ, якщо застосовні.</x:v>
      </x:c>
      <x:c r="I17" s="489" t="str">
        <x:v>Потребує документів / рішення заявниці</x:v>
      </x:c>
      <x:c r="J17" s="399"/>
      <x:c r="K17" s="399"/>
      <x:c r="L17" s="399"/>
      <x:c r="M17" s="399"/>
      <x:c r="N17" s="399"/>
      <x:c r="O17" s="399"/>
      <x:c r="P17" s="399"/>
      <x:c r="Q17" s="399"/>
      <x:c r="R17" s="399"/>
      <x:c r="S17" s="399"/>
      <x:c r="T17" s="399"/>
      <x:c r="U17" s="399"/>
      <x:c r="V17" s="399"/>
      <x:c r="W17" s="399"/>
      <x:c r="X17" s="399"/>
      <x:c r="Y17" s="399"/>
      <x:c r="Z17" s="399"/>
      <x:c r="AA17" s="399"/>
      <x:c r="AB17" s="399"/>
      <x:c r="AC17" s="399"/>
      <x:c r="AD17" s="399"/>
      <x:c r="AE17" s="399"/>
      <x:c r="AF17" s="399"/>
      <x:c r="AG17" s="399"/>
      <x:c r="AH17" s="399"/>
      <x:c r="AI17" s="399"/>
      <x:c r="AJ17" s="399"/>
      <x:c r="AK17" s="399"/>
      <x:c r="AL17" s="399"/>
      <x:c r="AM17" s="399"/>
      <x:c r="AN17" s="399"/>
    </x:row>
    <x:row r="18" ht="105" customHeight="1">
      <x:c r="A18" s="489" t="str">
        <x:v>L04</x:v>
      </x:c>
      <x:c r="B18" s="489" t="str">
        <x:v>Високий</x:v>
      </x:c>
      <x:c r="C18" s="489" t="str">
        <x:v>Бізнес план!B9:B12, B51</x:v>
      </x:c>
      <x:c r="D18" s="489" t="str">
        <x:v>Ідентичність, реєстрація й адреси не підтверджені</x:v>
      </x:c>
      <x:c r="E18" s="489" t="str">
        <x:v>Вказано реєстрацію 17.08.2026 та досвід 2009–2015. Адреса реєстрації — Ринкова, 9, кв. 2; Соборна, 37 помилково названа юридичною адресою.</x:v>
      </x:c>
      <x:c r="F18" s="489" t="str">
        <x:v>[S1] пп. 4, 9, 10, 14; [S3], дод. 1.</x:v>
      </x:c>
      <x:c r="G18" s="489" t="str">
        <x:v>Узгодити анкету з паспортними/реєстраційними даними; назвати Соборну місцем діяльності. Історичний досвід підтвердити окремо.</x:v>
      </x:c>
      <x:c r="H18" s="489" t="str">
        <x:v>Паспорт/ID, РНОКПП, актуальний ЄДР, документи про досвід, 20-ОПП за застосовності.</x:v>
      </x:c>
      <x:c r="I18" s="489" t="str">
        <x:v>Назви адрес виправлено; юридичні факти не перевірені</x:v>
      </x:c>
      <x:c r="J18" s="399"/>
      <x:c r="K18" s="399"/>
      <x:c r="L18" s="399"/>
      <x:c r="M18" s="399"/>
      <x:c r="N18" s="399"/>
      <x:c r="O18" s="399"/>
      <x:c r="P18" s="399"/>
      <x:c r="Q18" s="399"/>
      <x:c r="R18" s="399"/>
      <x:c r="S18" s="399"/>
      <x:c r="T18" s="399"/>
      <x:c r="U18" s="399"/>
      <x:c r="V18" s="399"/>
      <x:c r="W18" s="399"/>
      <x:c r="X18" s="399"/>
      <x:c r="Y18" s="399"/>
      <x:c r="Z18" s="399"/>
      <x:c r="AA18" s="399"/>
      <x:c r="AB18" s="399"/>
      <x:c r="AC18" s="399"/>
      <x:c r="AD18" s="399"/>
      <x:c r="AE18" s="399"/>
      <x:c r="AF18" s="399"/>
      <x:c r="AG18" s="399"/>
      <x:c r="AH18" s="399"/>
      <x:c r="AI18" s="399"/>
      <x:c r="AJ18" s="399"/>
      <x:c r="AK18" s="399"/>
      <x:c r="AL18" s="399"/>
      <x:c r="AM18" s="399"/>
      <x:c r="AN18" s="399"/>
    </x:row>
    <x:row r="19" ht="105" customHeight="1">
      <x:c r="A19" s="489" t="str">
        <x:v>L05</x:v>
      </x:c>
      <x:c r="B19" s="489" t="str">
        <x:v>Високий</x:v>
      </x:c>
      <x:c r="C19" s="489" t="str">
        <x:v>Бізнес план!B24, C27:C39</x:v>
      </x:c>
      <x:c r="D19" s="489" t="str">
        <x:v>Право на масштабування й надбавку потребує перевірки</x:v>
      </x:c>
      <x:c r="E19" s="489" t="str">
        <x:v>ФОП заявляє масштабування та 20% за два місця. Нову реєстрацію не можна автоматично прирівнювати до непридатності: універсального шестимісячного цензу для всіх ФОП тут не встановлено.</x:v>
      </x:c>
      <x:c r="F19" s="489" t="str">
        <x:v>[S1] п. 4 підп. 2, п. 6 підп. 2; шестимісячна умова належить до спеціальної підстави ВПО.</x:v>
      </x:c>
      <x:c r="G19" s="489" t="str">
        <x:v>Підтвердити чинний статус ФОП, всі критерії п. 9, базову чисельність та зобов’язання щодо двох нових місць; не заявляти інші надбавки без доказів.</x:v>
      </x:c>
      <x:c r="H19" s="489" t="str">
        <x:v>ЄДР, анкетні документи, кадрова база, остаточні умови договору.</x:v>
      </x:c>
      <x:c r="I19" s="489" t="str">
        <x:v>Потребує документів / рішення заявниці</x:v>
      </x:c>
      <x:c r="J19" s="399"/>
      <x:c r="K19" s="399"/>
      <x:c r="L19" s="399"/>
      <x:c r="M19" s="399"/>
      <x:c r="N19" s="399"/>
      <x:c r="O19" s="399"/>
      <x:c r="P19" s="399"/>
      <x:c r="Q19" s="399"/>
      <x:c r="R19" s="399"/>
      <x:c r="S19" s="399"/>
      <x:c r="T19" s="399"/>
      <x:c r="U19" s="399"/>
      <x:c r="V19" s="399"/>
      <x:c r="W19" s="399"/>
      <x:c r="X19" s="399"/>
      <x:c r="Y19" s="399"/>
      <x:c r="Z19" s="399"/>
      <x:c r="AA19" s="399"/>
      <x:c r="AB19" s="399"/>
      <x:c r="AC19" s="399"/>
      <x:c r="AD19" s="399"/>
      <x:c r="AE19" s="399"/>
      <x:c r="AF19" s="399"/>
      <x:c r="AG19" s="399"/>
      <x:c r="AH19" s="399"/>
      <x:c r="AI19" s="399"/>
      <x:c r="AJ19" s="399"/>
      <x:c r="AK19" s="399"/>
      <x:c r="AL19" s="399"/>
      <x:c r="AM19" s="399"/>
      <x:c r="AN19" s="399"/>
    </x:row>
    <x:row r="20" ht="105" customHeight="1">
      <x:c r="A20" s="489" t="str">
        <x:v>L06</x:v>
      </x:c>
      <x:c r="B20" s="491" t="str">
        <x:v>Критичний</x:v>
      </x:c>
      <x:c r="C20" s="489" t="str">
        <x:v>Пакет документів загалом</x:v>
      </x:c>
      <x:c r="D20" s="489" t="str">
        <x:v>Банківську репутацію та критерії відмови перевірити неможливо</x:v>
      </x:c>
      <x:c r="E20" s="489" t="str">
        <x:v>Немає кредитних звітів, відомостей про борги, виконавчі провадження, санкції чи судові рішення. Це відсутність доказів, а не висновок про порушення.</x:v>
      </x:c>
      <x:c r="F20" s="489" t="str">
        <x:v>[S1] пп. 9, 17–19; [S3] дод. 1 і 3 для ФОП.</x:v>
      </x:c>
      <x:c r="G20" s="489" t="str">
        <x:v>Пройти актуальну перевірку уповноваженого банку. Розділяти автоматичну відмову й інформаційні індикатори: не кожна судова справа або згадка є підставою відмови.</x:v>
      </x:c>
      <x:c r="H20" s="489" t="str">
        <x:v>Документи заявниці, законні реєстрові перевірки, кредитні звіти за належною згодою, висновок банку.</x:v>
      </x:c>
      <x:c r="I20" s="489" t="str">
        <x:v>Потребує документів / рішення заявниці</x:v>
      </x:c>
      <x:c r="J20" s="399"/>
      <x:c r="K20" s="399"/>
      <x:c r="L20" s="399"/>
      <x:c r="M20" s="399"/>
      <x:c r="N20" s="399"/>
      <x:c r="O20" s="399"/>
      <x:c r="P20" s="399"/>
      <x:c r="Q20" s="399"/>
      <x:c r="R20" s="399"/>
      <x:c r="S20" s="399"/>
      <x:c r="T20" s="399"/>
      <x:c r="U20" s="399"/>
      <x:c r="V20" s="399"/>
      <x:c r="W20" s="399"/>
      <x:c r="X20" s="399"/>
      <x:c r="Y20" s="399"/>
      <x:c r="Z20" s="399"/>
      <x:c r="AA20" s="399"/>
      <x:c r="AB20" s="399"/>
      <x:c r="AC20" s="399"/>
      <x:c r="AD20" s="399"/>
      <x:c r="AE20" s="399"/>
      <x:c r="AF20" s="399"/>
      <x:c r="AG20" s="399"/>
      <x:c r="AH20" s="399"/>
      <x:c r="AI20" s="399"/>
      <x:c r="AJ20" s="399"/>
      <x:c r="AK20" s="399"/>
      <x:c r="AL20" s="399"/>
      <x:c r="AM20" s="399"/>
      <x:c r="AN20" s="399"/>
    </x:row>
    <x:row r="21" ht="105" customHeight="1">
      <x:c r="A21" s="489" t="str">
        <x:v>L07</x:v>
      </x:c>
      <x:c r="B21" s="489" t="str">
        <x:v>Високий</x:v>
      </x:c>
      <x:c r="C21" s="489" t="str">
        <x:v>Бізнес план!B53:B56, B22</x:v>
      </x:c>
      <x:c r="D21" s="489" t="str">
        <x:v>Календар на 36 місяців завершується приблизно через 24</x:v>
      </x:c>
      <x:c r="E21" s="489" t="str">
        <x:v>Закінчення у серпні 2028 не узгоджується з 36 місяцями; отримання гранту у жовтні 2026 подано як наперед відомий факт.</x:v>
      </x:c>
      <x:c r="F21" s="489" t="str">
        <x:v>[S1] пп. 22–23; договірний строк 2/3/5 років.</x:v>
      </x:c>
      <x:c r="G21" s="489" t="str">
        <x:v>Задати М1 як фактичне зарахування коштів, завершення М36; підставити календар лише після відомої дати. Не завершувати зобов’язання автоматично при розрахунковому покритті податками.</x:v>
      </x:c>
      <x:c r="H21" s="489" t="str">
        <x:v>Рішення, договір, виписка про грант, офіційна довідка про виконання.</x:v>
      </x:c>
      <x:c r="I21" s="489" t="str">
        <x:v>Відносний календар виправлено</x:v>
      </x:c>
      <x:c r="J21" s="399"/>
      <x:c r="K21" s="399"/>
      <x:c r="L21" s="399"/>
      <x:c r="M21" s="399"/>
      <x:c r="N21" s="399"/>
      <x:c r="O21" s="399"/>
      <x:c r="P21" s="399"/>
      <x:c r="Q21" s="399"/>
      <x:c r="R21" s="399"/>
      <x:c r="S21" s="399"/>
      <x:c r="T21" s="399"/>
      <x:c r="U21" s="399"/>
      <x:c r="V21" s="399"/>
      <x:c r="W21" s="399"/>
      <x:c r="X21" s="399"/>
      <x:c r="Y21" s="399"/>
      <x:c r="Z21" s="399"/>
      <x:c r="AA21" s="399"/>
      <x:c r="AB21" s="399"/>
      <x:c r="AC21" s="399"/>
      <x:c r="AD21" s="399"/>
      <x:c r="AE21" s="399"/>
      <x:c r="AF21" s="399"/>
      <x:c r="AG21" s="399"/>
      <x:c r="AH21" s="399"/>
      <x:c r="AI21" s="399"/>
      <x:c r="AJ21" s="399"/>
      <x:c r="AK21" s="399"/>
      <x:c r="AL21" s="399"/>
      <x:c r="AM21" s="399"/>
      <x:c r="AN21" s="399"/>
    </x:row>
    <x:row r="22" ht="105" customHeight="1">
      <x:c r="A22" s="489" t="str">
        <x:v>L08</x:v>
      </x:c>
      <x:c r="B22" s="489" t="str">
        <x:v>Високий</x:v>
      </x:c>
      <x:c r="C22" s="489" t="str">
        <x:v>Бізнес план!B99:B101; Прибутки та збитки!C49</x:v>
      </x:c>
      <x:c r="D22" s="489" t="str">
        <x:v>Три робочі місця не розмежовані з двома для надбавки</x:v>
      </x:c>
      <x:c r="E22" s="489" t="str">
        <x:v>У плані 3 наймані працівники; надбавка 20% пов’язана з двома новими місцями. ФОП не є найманим працівником у себе. Неясно, 25 000 — до чи після утримань.</x:v>
      </x:c>
      <x:c r="F22" s="489" t="str">
        <x:v>[S1] пп. 6, 23; Закон 2464-VI; [S8].</x:v>
      </x:c>
      <x:c r="G22" s="489" t="str">
        <x:v>У договорі чітко визначити обов’язкову чисельність. У моделі збережено 3 працівники з 25 000 нарахованої зарплати на старті як припущення. Для 36 місяців перевіряти мінімум 24 місяці зайнятості за застосовними умовами.</x:v>
      </x:c>
      <x:c r="H22" s="489" t="str">
        <x:v>Штатний план, накази, трудові договори, повідомлення ДПС, табелі; базова чисельність і правило 180 днів.</x:v>
      </x:c>
      <x:c r="I22" s="489" t="str">
        <x:v>Потребує документів / рішення заявниці</x:v>
      </x:c>
      <x:c r="J22" s="399"/>
      <x:c r="K22" s="399"/>
      <x:c r="L22" s="399"/>
      <x:c r="M22" s="399"/>
      <x:c r="N22" s="399"/>
      <x:c r="O22" s="399"/>
      <x:c r="P22" s="399"/>
      <x:c r="Q22" s="399"/>
      <x:c r="R22" s="399"/>
      <x:c r="S22" s="399"/>
      <x:c r="T22" s="399"/>
      <x:c r="U22" s="399"/>
      <x:c r="V22" s="399"/>
      <x:c r="W22" s="399"/>
      <x:c r="X22" s="399"/>
      <x:c r="Y22" s="399"/>
      <x:c r="Z22" s="399"/>
      <x:c r="AA22" s="399"/>
      <x:c r="AB22" s="399"/>
      <x:c r="AC22" s="399"/>
      <x:c r="AD22" s="399"/>
      <x:c r="AE22" s="399"/>
      <x:c r="AF22" s="399"/>
      <x:c r="AG22" s="399"/>
      <x:c r="AH22" s="399"/>
      <x:c r="AI22" s="399"/>
      <x:c r="AJ22" s="399"/>
      <x:c r="AK22" s="399"/>
      <x:c r="AL22" s="399"/>
      <x:c r="AM22" s="399"/>
      <x:c r="AN22" s="399"/>
    </x:row>
    <x:row r="23" ht="105" customHeight="1">
      <x:c r="A23" s="489" t="str">
        <x:v>L09</x:v>
      </x:c>
      <x:c r="B23" s="489" t="str">
        <x:v>Високий</x:v>
      </x:c>
      <x:c r="C23" s="489" t="str">
        <x:v>Бізнес план!E83; B12/B51</x:v>
      </x:c>
      <x:c r="D23" s="489" t="str">
        <x:v>Ремонт орендованого об’єкта без правової та кошторисної основи</x:v>
      </x:c>
      <x:c r="E23" s="489" t="str">
        <x:v>613 758 не перевищує 50%, але кошторис, площа, дефектний акт, згода власника й умови поліпшень відсутні.</x:v>
      </x:c>
      <x:c r="F23" s="489" t="str">
        <x:v>[S1] п. 7; ЦКУ ст. 776, 778 — перевірити застосовні умови ремонту/поліпшень; [S13].</x:v>
      </x:c>
      <x:c r="G23" s="489" t="str">
        <x:v>Уточнити вид робіт, одиниці, обсяги, ціни, строк, право підрядника, акти. Узгодити згоду власника, долю невіддільних поліпшень і наслідки дострокового припинення оренди.</x:v>
      </x:c>
      <x:c r="H23" s="489" t="str">
        <x:v>Оренда, підтвердження прав власника, згода на роботи, кошторис, договір підряду, акти.</x:v>
      </x:c>
      <x:c r="I23" s="489" t="str">
        <x:v>Потребує документів / рішення заявниці</x:v>
      </x:c>
      <x:c r="J23" s="399"/>
      <x:c r="K23" s="399"/>
      <x:c r="L23" s="399"/>
      <x:c r="M23" s="399"/>
      <x:c r="N23" s="399"/>
      <x:c r="O23" s="399"/>
      <x:c r="P23" s="399"/>
      <x:c r="Q23" s="399"/>
      <x:c r="R23" s="399"/>
      <x:c r="S23" s="399"/>
      <x:c r="T23" s="399"/>
      <x:c r="U23" s="399"/>
      <x:c r="V23" s="399"/>
      <x:c r="W23" s="399"/>
      <x:c r="X23" s="399"/>
      <x:c r="Y23" s="399"/>
      <x:c r="Z23" s="399"/>
      <x:c r="AA23" s="399"/>
      <x:c r="AB23" s="399"/>
      <x:c r="AC23" s="399"/>
      <x:c r="AD23" s="399"/>
      <x:c r="AE23" s="399"/>
      <x:c r="AF23" s="399"/>
      <x:c r="AG23" s="399"/>
      <x:c r="AH23" s="399"/>
      <x:c r="AI23" s="399"/>
      <x:c r="AJ23" s="399"/>
      <x:c r="AK23" s="399"/>
      <x:c r="AL23" s="399"/>
      <x:c r="AM23" s="399"/>
      <x:c r="AN23" s="399"/>
    </x:row>
    <x:row r="24" ht="105" customHeight="1">
      <x:c r="A24" s="489" t="str">
        <x:v>L10</x:v>
      </x:c>
      <x:c r="B24" s="489" t="str">
        <x:v>Високий</x:v>
      </x:c>
      <x:c r="C24" s="489" t="str">
        <x:v>Бізнес план!E87:E88; договори послуг</x:v>
      </x:c>
      <x:c r="D24" s="489" t="str">
        <x:v>Права на сайт, ліцензії та персональні дані не описані</x:v>
      </x:c>
      <x:c r="E24" s="489" t="str">
        <x:v>Немає строку підписок, обсягу прав на сайт, доступів, хостингу, підтримки й порядку обробки клієнтських даних.</x:v>
      </x:c>
      <x:c r="F24" s="489" t="str">
        <x:v>[S1] п. 7; договірні правила ЦКУ; Закон 2297-VI, ст. 6, 11, 24 — залежно від даних і ролей.</x:v>
      </x:c>
      <x:c r="G24" s="489" t="str">
        <x:v>Визначити ліцензіатів/користувачів і строки; передання прав/доступів; резервні копії, конфіденційність, правову підставу обробки, договори з підрядниками.</x:v>
      </x:c>
      <x:c r="H24" s="489" t="str">
        <x:v>Ліцензійні умови, ТЗ сайту, договір, акти, політики та відповідальні.</x:v>
      </x:c>
      <x:c r="I24" s="489" t="str">
        <x:v>Потребує документів / рішення заявниці</x:v>
      </x:c>
      <x:c r="J24" s="399"/>
      <x:c r="K24" s="399"/>
      <x:c r="L24" s="399"/>
      <x:c r="M24" s="399"/>
      <x:c r="N24" s="399"/>
      <x:c r="O24" s="399"/>
      <x:c r="P24" s="399"/>
      <x:c r="Q24" s="399"/>
      <x:c r="R24" s="399"/>
      <x:c r="S24" s="399"/>
      <x:c r="T24" s="399"/>
      <x:c r="U24" s="399"/>
      <x:c r="V24" s="399"/>
      <x:c r="W24" s="399"/>
      <x:c r="X24" s="399"/>
      <x:c r="Y24" s="399"/>
      <x:c r="Z24" s="399"/>
      <x:c r="AA24" s="399"/>
      <x:c r="AB24" s="399"/>
      <x:c r="AC24" s="399"/>
      <x:c r="AD24" s="399"/>
      <x:c r="AE24" s="399"/>
      <x:c r="AF24" s="399"/>
      <x:c r="AG24" s="399"/>
      <x:c r="AH24" s="399"/>
      <x:c r="AI24" s="399"/>
      <x:c r="AJ24" s="399"/>
      <x:c r="AK24" s="399"/>
      <x:c r="AL24" s="399"/>
      <x:c r="AM24" s="399"/>
      <x:c r="AN24" s="399"/>
    </x:row>
    <x:row r="25" ht="105" customHeight="1">
      <x:c r="A25" s="489" t="str">
        <x:v>C01</x:v>
      </x:c>
      <x:c r="B25" s="491" t="str">
        <x:v>Критичний</x:v>
      </x:c>
      <x:c r="C25" s="489" t="str">
        <x:v>Бізнес план!B49, B62; Прибутки та збитки!рядки 16–17</x:v>
      </x:c>
      <x:c r="D25" s="489" t="str">
        <x:v>Прогноз продажів не має доказової моделі</x:v>
      </x:c>
      <x:c r="E25" s="489" t="str">
        <x:v>Текст: 20–30 послуг/місяць і 200 000 грн. Модель: від 200 000 до 750 000 грн/місяць; 20 220 000 за 36 місяців.</x:v>
      </x:c>
      <x:c r="F25" s="489" t="str">
        <x:v>Аналітичний ризик; [S2], [S3] — якість бізнес-плану та співбесіда.</x:v>
      </x:c>
      <x:c r="G25" s="489" t="str">
        <x:v>Розкласти виручку за пакетами: клієнти × частота × тариф × конверсія; додати строки оплати, сезонність, утримання клієнтів і докази попиту.</x:v>
      </x:c>
      <x:c r="H25" s="489" t="str">
        <x:v>Листи намірів, договори/пілоти, прайс, CRM-воронка; це рекомендовані докази, не універсальна законодавча вимога.</x:v>
      </x:c>
      <x:c r="I25" s="489" t="str">
        <x:v>Потребує документів / рішення заявниці</x:v>
      </x:c>
      <x:c r="J25" s="399"/>
      <x:c r="K25" s="399"/>
      <x:c r="L25" s="399"/>
      <x:c r="M25" s="399"/>
      <x:c r="N25" s="399"/>
      <x:c r="O25" s="399"/>
      <x:c r="P25" s="399"/>
      <x:c r="Q25" s="399"/>
      <x:c r="R25" s="399"/>
      <x:c r="S25" s="399"/>
      <x:c r="T25" s="399"/>
      <x:c r="U25" s="399"/>
      <x:c r="V25" s="399"/>
      <x:c r="W25" s="399"/>
      <x:c r="X25" s="399"/>
      <x:c r="Y25" s="399"/>
      <x:c r="Z25" s="399"/>
      <x:c r="AA25" s="399"/>
      <x:c r="AB25" s="399"/>
      <x:c r="AC25" s="399"/>
      <x:c r="AD25" s="399"/>
      <x:c r="AE25" s="399"/>
      <x:c r="AF25" s="399"/>
      <x:c r="AG25" s="399"/>
      <x:c r="AH25" s="399"/>
      <x:c r="AI25" s="399"/>
      <x:c r="AJ25" s="399"/>
      <x:c r="AK25" s="399"/>
      <x:c r="AL25" s="399"/>
      <x:c r="AM25" s="399"/>
      <x:c r="AN25" s="399"/>
    </x:row>
    <x:row r="26" ht="105" customHeight="1">
      <x:c r="A26" s="489" t="str">
        <x:v>C02</x:v>
      </x:c>
      <x:c r="B26" s="489" t="str">
        <x:v>Високий</x:v>
      </x:c>
      <x:c r="C26" s="489" t="str">
        <x:v>Бізнес план!B15, B45, B47</x:v>
      </x:c>
      <x:c r="D26" s="489" t="str">
        <x:v>Надмірні обіцянки щодо права ЄС, ISO та результатів клієнта</x:v>
      </x:c>
      <x:c r="E26" s="489" t="str">
        <x:v>Немає конкретної сфери застосування норм, сертифікаційного статусу чи підстав гарантувати схвалення банками/донорами.</x:v>
      </x:c>
      <x:c r="F26" s="489" t="str">
        <x:v>Залежить від предмета договору; рекомендація усунути недостовірні/необґрунтовані твердження.</x:v>
      </x:c>
      <x:c r="G26" s="489" t="str">
        <x:v>Описати послугу як консультаційну допомогу за визначеним переліком вимог; результат — звіт і рекомендації; рішення зовнішніх органів не гарантувати.</x:v>
      </x:c>
      <x:c r="H26" s="489" t="str">
        <x:v>Методологія, перелік перевірюваних норм, межі відповідальності у договорах.</x:v>
      </x:c>
      <x:c r="I26" s="489" t="str">
        <x:v>Формулювання звужено у копії</x:v>
      </x:c>
      <x:c r="J26" s="399"/>
      <x:c r="K26" s="399"/>
      <x:c r="L26" s="399"/>
      <x:c r="M26" s="399"/>
      <x:c r="N26" s="399"/>
      <x:c r="O26" s="399"/>
      <x:c r="P26" s="399"/>
      <x:c r="Q26" s="399"/>
      <x:c r="R26" s="399"/>
      <x:c r="S26" s="399"/>
      <x:c r="T26" s="399"/>
      <x:c r="U26" s="399"/>
      <x:c r="V26" s="399"/>
      <x:c r="W26" s="399"/>
      <x:c r="X26" s="399"/>
      <x:c r="Y26" s="399"/>
      <x:c r="Z26" s="399"/>
      <x:c r="AA26" s="399"/>
      <x:c r="AB26" s="399"/>
      <x:c r="AC26" s="399"/>
      <x:c r="AD26" s="399"/>
      <x:c r="AE26" s="399"/>
      <x:c r="AF26" s="399"/>
      <x:c r="AG26" s="399"/>
      <x:c r="AH26" s="399"/>
      <x:c r="AI26" s="399"/>
      <x:c r="AJ26" s="399"/>
      <x:c r="AK26" s="399"/>
      <x:c r="AL26" s="399"/>
      <x:c r="AM26" s="399"/>
      <x:c r="AN26" s="399"/>
    </x:row>
    <x:row r="27" ht="105" customHeight="1">
      <x:c r="A27" s="489" t="str">
        <x:v>C03</x:v>
      </x:c>
      <x:c r="B27" s="489" t="str">
        <x:v>Високий</x:v>
      </x:c>
      <x:c r="C27" s="489" t="str">
        <x:v>Бізнес план!B16, B55, B60; E92:E93</x:v>
      </x:c>
      <x:c r="D27" s="489" t="str">
        <x:v>ICA і досвід подано без підтверджень</x:v>
      </x:c>
      <x:c r="E27" s="489" t="str">
        <x:v>Є план початку навчання 12.10.2026, але немає договору, зарахування чи сертифіката. Майбутня кваліфікація не є наявною.</x:v>
      </x:c>
      <x:c r="F27" s="489" t="str">
        <x:v>Достовірність відомостей; [S1] п. 14, [S3] співбесіда.</x:v>
      </x:c>
      <x:c r="G27" s="489" t="str">
        <x:v>Розмежувати підтверджену освіту, поточне навчання і намір. Пояснити надання послуг до завершення навчання та компетенції працівників.</x:v>
      </x:c>
      <x:c r="H27" s="489" t="str">
        <x:v>Дипломи, CV, попередні проєкти, договір і рахунки ICA, календар навчання.</x:v>
      </x:c>
      <x:c r="I27" s="489" t="str">
        <x:v>Потребує документів / рішення заявниці</x:v>
      </x:c>
      <x:c r="J27" s="399"/>
      <x:c r="K27" s="399"/>
      <x:c r="L27" s="399"/>
      <x:c r="M27" s="399"/>
      <x:c r="N27" s="399"/>
      <x:c r="O27" s="399"/>
      <x:c r="P27" s="399"/>
      <x:c r="Q27" s="399"/>
      <x:c r="R27" s="399"/>
      <x:c r="S27" s="399"/>
      <x:c r="T27" s="399"/>
      <x:c r="U27" s="399"/>
      <x:c r="V27" s="399"/>
      <x:c r="W27" s="399"/>
      <x:c r="X27" s="399"/>
      <x:c r="Y27" s="399"/>
      <x:c r="Z27" s="399"/>
      <x:c r="AA27" s="399"/>
      <x:c r="AB27" s="399"/>
      <x:c r="AC27" s="399"/>
      <x:c r="AD27" s="399"/>
      <x:c r="AE27" s="399"/>
      <x:c r="AF27" s="399"/>
      <x:c r="AG27" s="399"/>
      <x:c r="AH27" s="399"/>
      <x:c r="AI27" s="399"/>
      <x:c r="AJ27" s="399"/>
      <x:c r="AK27" s="399"/>
      <x:c r="AL27" s="399"/>
      <x:c r="AM27" s="399"/>
      <x:c r="AN27" s="399"/>
    </x:row>
    <x:row r="28" ht="105" customHeight="1">
      <x:c r="A28" s="489" t="str">
        <x:v>C04</x:v>
      </x:c>
      <x:c r="B28" s="489" t="str">
        <x:v>Високий</x:v>
      </x:c>
      <x:c r="C28" s="489" t="str">
        <x:v>Бізнес план!E84:E88</x:v>
      </x:c>
      <x:c r="D28" s="489" t="str">
        <x:v>Капітальні закупівлі та реклама не обґрунтовані</x:v>
      </x:c>
      <x:c r="E28" s="489" t="str">
        <x:v>369 140 на обладнання/меблі, 179 000 на маркетинг, 178 000 на сайт і 100 000 на ПЗ наведено агреговано.</x:v>
      </x:c>
      <x:c r="F28" s="489" t="str">
        <x:v>[S1] п. 7 і документування витрат; економічна обґрунтованість.</x:v>
      </x:c>
      <x:c r="G28" s="489" t="str">
        <x:v>Скласти специфікації, ТЗ, етапи й кошториси; за можливості порівняти 2–3 пропозиції. Не подавати кількість пропозицій як загальний обов’язок без правила конкретної програми/банку.</x:v>
      </x:c>
      <x:c r="H28" s="489" t="str">
        <x:v>Актуальні пропозиції постачальників, кількість, ціна з податками, доставка, гарантія, строки оплати.</x:v>
      </x:c>
      <x:c r="I28" s="489" t="str">
        <x:v>Потребує документів / рішення заявниці</x:v>
      </x:c>
      <x:c r="J28" s="399"/>
      <x:c r="K28" s="399"/>
      <x:c r="L28" s="399"/>
      <x:c r="M28" s="399"/>
      <x:c r="N28" s="399"/>
      <x:c r="O28" s="399"/>
      <x:c r="P28" s="399"/>
      <x:c r="Q28" s="399"/>
      <x:c r="R28" s="399"/>
      <x:c r="S28" s="399"/>
      <x:c r="T28" s="399"/>
      <x:c r="U28" s="399"/>
      <x:c r="V28" s="399"/>
      <x:c r="W28" s="399"/>
      <x:c r="X28" s="399"/>
      <x:c r="Y28" s="399"/>
      <x:c r="Z28" s="399"/>
      <x:c r="AA28" s="399"/>
      <x:c r="AB28" s="399"/>
      <x:c r="AC28" s="399"/>
      <x:c r="AD28" s="399"/>
      <x:c r="AE28" s="399"/>
      <x:c r="AF28" s="399"/>
      <x:c r="AG28" s="399"/>
      <x:c r="AH28" s="399"/>
      <x:c r="AI28" s="399"/>
      <x:c r="AJ28" s="399"/>
      <x:c r="AK28" s="399"/>
      <x:c r="AL28" s="399"/>
      <x:c r="AM28" s="399"/>
      <x:c r="AN28" s="399"/>
    </x:row>
    <x:row r="29" ht="105" customHeight="1">
      <x:c r="A29" s="489" t="str">
        <x:v>C05</x:v>
      </x:c>
      <x:c r="B29" s="489" t="str">
        <x:v>Високий</x:v>
      </x:c>
      <x:c r="C29" s="489" t="str">
        <x:v>Прибутки та збитки!рядки 38–44, 47</x:v>
      </x:c>
      <x:c r="D29" s="489" t="str">
        <x:v>Не закладено низку повторюваних витрат</x:v>
      </x:c>
      <x:c r="E29" s="489" t="str">
        <x:v>Підписки, підтримка сайту та маркетинг після старту відсутні; особисті вилучення ФОП — нуль. Це не доказ, що такі витрати не виникнуть.</x:v>
      </x:c>
      <x:c r="F29" s="489" t="str">
        <x:v>Фінансове припущення, не автоматичне правопорушення.</x:v>
      </x:c>
      <x:c r="G29" s="489" t="str">
        <x:v>Додати підтверджені щорічні ліцензії, рекламу, кіберзахист, ремонт/заміни, професійні витрати, страхування за потреби, вилучення на життя.</x:v>
      </x:c>
      <x:c r="H29" s="489" t="str">
        <x:v>Договори і тарифи; бюджет особистого фінансування. Вхідні рядки XLSX залишено нульовими з попередженням.</x:v>
      </x:c>
      <x:c r="I29" s="489" t="str">
        <x:v>Потребує документів / рішення заявниці</x:v>
      </x:c>
      <x:c r="J29" s="399"/>
      <x:c r="K29" s="399"/>
      <x:c r="L29" s="399"/>
      <x:c r="M29" s="399"/>
      <x:c r="N29" s="399"/>
      <x:c r="O29" s="399"/>
      <x:c r="P29" s="399"/>
      <x:c r="Q29" s="399"/>
      <x:c r="R29" s="399"/>
      <x:c r="S29" s="399"/>
      <x:c r="T29" s="399"/>
      <x:c r="U29" s="399"/>
      <x:c r="V29" s="399"/>
      <x:c r="W29" s="399"/>
      <x:c r="X29" s="399"/>
      <x:c r="Y29" s="399"/>
      <x:c r="Z29" s="399"/>
      <x:c r="AA29" s="399"/>
      <x:c r="AB29" s="399"/>
      <x:c r="AC29" s="399"/>
      <x:c r="AD29" s="399"/>
      <x:c r="AE29" s="399"/>
      <x:c r="AF29" s="399"/>
      <x:c r="AG29" s="399"/>
      <x:c r="AH29" s="399"/>
      <x:c r="AI29" s="399"/>
      <x:c r="AJ29" s="399"/>
      <x:c r="AK29" s="399"/>
      <x:c r="AL29" s="399"/>
      <x:c r="AM29" s="399"/>
      <x:c r="AN29" s="399"/>
    </x:row>
    <x:row r="30" ht="105" customHeight="1">
      <x:c r="A30" s="489" t="str">
        <x:v>C06</x:v>
      </x:c>
      <x:c r="B30" s="489" t="str">
        <x:v>Високий</x:v>
      </x:c>
      <x:c r="C30" s="489" t="str">
        <x:v>Бізнес план!B101; план продажів</x:v>
      </x:c>
      <x:c r="D30" s="489" t="str">
        <x:v>Пропускна спроможність трьох працівників не доведена</x:v>
      </x:c>
      <x:c r="E30" s="489" t="str">
        <x:v>Два юристи і бухгалтер без таблиці оплачуваних годин, обсягу справ, адміністративної зайнятості й заміщення.</x:v>
      </x:c>
      <x:c r="F30" s="489" t="str">
        <x:v>Аналітична перевірка реалістичності.</x:v>
      </x:c>
      <x:c r="G30" s="489" t="str">
        <x:v>Розрахувати доступні години × продуктивність × завантаження; прив’язати чисельність до продажів і навчання. Не скорочувати заявлені місця приховано.</x:v>
      </x:c>
      <x:c r="H30" s="489" t="str">
        <x:v>План ролей, нормо-годин, графік навчання і заміщень, CV кандидатів.</x:v>
      </x:c>
      <x:c r="I30" s="489" t="str">
        <x:v>Потребує документів / рішення заявниці</x:v>
      </x:c>
      <x:c r="J30" s="399"/>
      <x:c r="K30" s="399"/>
      <x:c r="L30" s="399"/>
      <x:c r="M30" s="399"/>
      <x:c r="N30" s="399"/>
      <x:c r="O30" s="399"/>
      <x:c r="P30" s="399"/>
      <x:c r="Q30" s="399"/>
      <x:c r="R30" s="399"/>
      <x:c r="S30" s="399"/>
      <x:c r="T30" s="399"/>
      <x:c r="U30" s="399"/>
      <x:c r="V30" s="399"/>
      <x:c r="W30" s="399"/>
      <x:c r="X30" s="399"/>
      <x:c r="Y30" s="399"/>
      <x:c r="Z30" s="399"/>
      <x:c r="AA30" s="399"/>
      <x:c r="AB30" s="399"/>
      <x:c r="AC30" s="399"/>
      <x:c r="AD30" s="399"/>
      <x:c r="AE30" s="399"/>
      <x:c r="AF30" s="399"/>
      <x:c r="AG30" s="399"/>
      <x:c r="AH30" s="399"/>
      <x:c r="AI30" s="399"/>
      <x:c r="AJ30" s="399"/>
      <x:c r="AK30" s="399"/>
      <x:c r="AL30" s="399"/>
      <x:c r="AM30" s="399"/>
      <x:c r="AN30" s="399"/>
    </x:row>
    <x:row r="31" ht="105" customHeight="1">
      <x:c r="A31" s="489" t="str">
        <x:v>C07</x:v>
      </x:c>
      <x:c r="B31" s="489" t="str">
        <x:v>Високий</x:v>
      </x:c>
      <x:c r="C31" s="489" t="str">
        <x:v>Бізнес план!B104:B106</x:v>
      </x:c>
      <x:c r="D31" s="489" t="str">
        <x:v>Резерв заявлено, але його джерело не визначене</x:v>
      </x:c>
      <x:c r="E31" s="489" t="str">
        <x:v>Слово «резерв» не має суми чи підтвердженого джерела. Грантовий залишок обмежений цільовим використанням.</x:v>
      </x:c>
      <x:c r="F31" s="489" t="str">
        <x:v>Аналітична ліквідність; [S1] пп. 7, 23.</x:v>
      </x:c>
      <x:c r="G31" s="489" t="str">
        <x:v>Визначити резерв за стрес-тестом і підтвердити кошти/доступне фінансування; не фінансувати зарплату або особисті потреби грантом без належної дозволеної підстави.</x:v>
      </x:c>
      <x:c r="H31" s="489" t="str">
        <x:v>Виписки, рішення про внесок, підтверджена кредитна лінія за наявності.</x:v>
      </x:c>
      <x:c r="I31" s="489" t="str">
        <x:v>Потребує документів / рішення заявниці</x:v>
      </x:c>
      <x:c r="J31" s="399"/>
      <x:c r="K31" s="399"/>
      <x:c r="L31" s="399"/>
      <x:c r="M31" s="399"/>
      <x:c r="N31" s="399"/>
      <x:c r="O31" s="399"/>
      <x:c r="P31" s="399"/>
      <x:c r="Q31" s="399"/>
      <x:c r="R31" s="399"/>
      <x:c r="S31" s="399"/>
      <x:c r="T31" s="399"/>
      <x:c r="U31" s="399"/>
      <x:c r="V31" s="399"/>
      <x:c r="W31" s="399"/>
      <x:c r="X31" s="399"/>
      <x:c r="Y31" s="399"/>
      <x:c r="Z31" s="399"/>
      <x:c r="AA31" s="399"/>
      <x:c r="AB31" s="399"/>
      <x:c r="AC31" s="399"/>
      <x:c r="AD31" s="399"/>
      <x:c r="AE31" s="399"/>
      <x:c r="AF31" s="399"/>
      <x:c r="AG31" s="399"/>
      <x:c r="AH31" s="399"/>
      <x:c r="AI31" s="399"/>
      <x:c r="AJ31" s="399"/>
      <x:c r="AK31" s="399"/>
      <x:c r="AL31" s="399"/>
      <x:c r="AM31" s="399"/>
      <x:c r="AN31" s="399"/>
    </x:row>
    <x:row r="32" ht="105" customHeight="1">
      <x:c r="A32" s="489" t="str">
        <x:v>C08</x:v>
      </x:c>
      <x:c r="B32" s="489" t="str">
        <x:v>Високий</x:v>
      </x:c>
      <x:c r="C32" s="489" t="str">
        <x:v>Фінансова модель та реєстр ЄП</x:v>
      </x:c>
      <x:c r="D32" s="489" t="str">
        <x:v>Ліміт групи 3 перевірено не за календарними роками</x:v>
      </x:c>
      <x:c r="E32" s="489" t="str">
        <x:v>Перші/другі/треті 12 місяців: 3,83/7,39/9 млн. Ліміт 2026 — 10 091 049, але дата гранту й інші доходи ФОП не відомі.</x:v>
      </x:c>
      <x:c r="F32" s="489" t="str">
        <x:v>ПКУ 291.4; [S6].</x:v>
      </x:c>
      <x:c r="G32" s="489" t="str">
        <x:v>Побудувати календарний облік усіх доходів ФОП; перевіряти ліміт відповідного року та наслідки перевищення, а не лише оборот проєкту.</x:v>
      </x:c>
      <x:c r="H32" s="489" t="str">
        <x:v>Дата початку, облік інших напрямів і відповідні річні законодавчі показники.</x:v>
      </x:c>
      <x:c r="I32" s="489" t="str">
        <x:v>Потребує документів / рішення заявниці</x:v>
      </x:c>
      <x:c r="J32" s="399"/>
      <x:c r="K32" s="399"/>
      <x:c r="L32" s="399"/>
      <x:c r="M32" s="399"/>
      <x:c r="N32" s="399"/>
      <x:c r="O32" s="399"/>
      <x:c r="P32" s="399"/>
      <x:c r="Q32" s="399"/>
      <x:c r="R32" s="399"/>
      <x:c r="S32" s="399"/>
      <x:c r="T32" s="399"/>
      <x:c r="U32" s="399"/>
      <x:c r="V32" s="399"/>
      <x:c r="W32" s="399"/>
      <x:c r="X32" s="399"/>
      <x:c r="Y32" s="399"/>
      <x:c r="Z32" s="399"/>
      <x:c r="AA32" s="399"/>
      <x:c r="AB32" s="399"/>
      <x:c r="AC32" s="399"/>
      <x:c r="AD32" s="399"/>
      <x:c r="AE32" s="399"/>
      <x:c r="AF32" s="399"/>
      <x:c r="AG32" s="399"/>
      <x:c r="AH32" s="399"/>
      <x:c r="AI32" s="399"/>
      <x:c r="AJ32" s="399"/>
      <x:c r="AK32" s="399"/>
      <x:c r="AL32" s="399"/>
      <x:c r="AM32" s="399"/>
      <x:c r="AN32" s="399"/>
    </x:row>
    <x:row r="33" ht="105" customHeight="1">
      <x:c r="A33" s="489" t="str">
        <x:v>D01</x:v>
      </x:c>
      <x:c r="B33" s="489" t="str">
        <x:v>Високий</x:v>
      </x:c>
      <x:c r="C33" s="489" t="str">
        <x:v>Увесь поданий пакет</x:v>
      </x:c>
      <x:c r="D33" s="489" t="str">
        <x:v>Наявний бізнес-план не замінює пакет заявника</x:v>
      </x:c>
      <x:c r="E33" s="489" t="str">
        <x:v>Надано XLSX і TXT-промт. Немає заяви, проєкту договору, анкети банку, витягів, оренди, кошторисів, рахунків, підтвердження внеску.</x:v>
      </x:c>
      <x:c r="F33" s="489" t="str">
        <x:v>[S1] пп. 10, 22–23; конкретний перелік визначає програма й обраний банк.</x:v>
      </x:c>
      <x:c r="G33" s="489" t="str">
        <x:v>Зібрати пакет за реєстром доказів. Не вимагати від ФОП статут, протокол учасників чи структуру власності ТОВ як обов’язковий стандарт.</x:v>
      </x:c>
      <x:c r="H33" s="489" t="str">
        <x:v>Заповнений реєстр доказів і погоджений перелік уповноваженого банку.</x:v>
      </x:c>
      <x:c r="I33" s="489" t="str">
        <x:v>Потребує документів / рішення заявниці</x:v>
      </x:c>
      <x:c r="J33" s="399"/>
      <x:c r="K33" s="399"/>
      <x:c r="L33" s="399"/>
      <x:c r="M33" s="399"/>
      <x:c r="N33" s="399"/>
      <x:c r="O33" s="399"/>
      <x:c r="P33" s="399"/>
      <x:c r="Q33" s="399"/>
      <x:c r="R33" s="399"/>
      <x:c r="S33" s="399"/>
      <x:c r="T33" s="399"/>
      <x:c r="U33" s="399"/>
      <x:c r="V33" s="399"/>
      <x:c r="W33" s="399"/>
      <x:c r="X33" s="399"/>
      <x:c r="Y33" s="399"/>
      <x:c r="Z33" s="399"/>
      <x:c r="AA33" s="399"/>
      <x:c r="AB33" s="399"/>
      <x:c r="AC33" s="399"/>
      <x:c r="AD33" s="399"/>
      <x:c r="AE33" s="399"/>
      <x:c r="AF33" s="399"/>
      <x:c r="AG33" s="399"/>
      <x:c r="AH33" s="399"/>
      <x:c r="AI33" s="399"/>
      <x:c r="AJ33" s="399"/>
      <x:c r="AK33" s="399"/>
      <x:c r="AL33" s="399"/>
      <x:c r="AM33" s="399"/>
      <x:c r="AN33" s="399"/>
    </x:row>
    <x:row r="34" ht="105" customHeight="1">
      <x:c r="A34" s="489" t="str">
        <x:v>D02</x:v>
      </x:c>
      <x:c r="B34" s="489" t="str">
        <x:v>Середній</x:v>
      </x:c>
      <x:c r="C34" s="489" t="str">
        <x:v>Бізнес план!B75:B78; Прибутки та збитки!D4</x:v>
      </x:c>
      <x:c r="D34" s="489" t="str">
        <x:v>Неповна ідентифікація версії та формальні поля</x:v>
      </x:c>
      <x:c r="E34" s="489" t="str">
        <x:v>У фінансовому аркуші залишено ФІЗ/ФОП/ЮР; немає актуальної дати доопрацювання. Є орфографічні помилки й незаповнені поля.</x:v>
      </x:c>
      <x:c r="F34" s="489" t="str">
        <x:v>Формальна цілісність документа; [S2].</x:v>
      </x:c>
      <x:c r="G34" s="489" t="str">
        <x:v>Вказати заявницю, версію й дату; зберегти невідомі дані як «підтвердити», не вигадувати патенти, статуси, результати чи дати.</x:v>
      </x:c>
      <x:c r="H34" s="489" t="str">
        <x:v>Контрольна звірка остаточної заяви, PDF і XLSX.</x:v>
      </x:c>
      <x:c r="I34" s="489" t="str">
        <x:v>Ідентифікацію та версію виправлено</x:v>
      </x:c>
      <x:c r="J34" s="399"/>
      <x:c r="K34" s="399"/>
      <x:c r="L34" s="399"/>
      <x:c r="M34" s="399"/>
      <x:c r="N34" s="399"/>
      <x:c r="O34" s="399"/>
      <x:c r="P34" s="399"/>
      <x:c r="Q34" s="399"/>
      <x:c r="R34" s="399"/>
      <x:c r="S34" s="399"/>
      <x:c r="T34" s="399"/>
      <x:c r="U34" s="399"/>
      <x:c r="V34" s="399"/>
      <x:c r="W34" s="399"/>
      <x:c r="X34" s="399"/>
      <x:c r="Y34" s="399"/>
      <x:c r="Z34" s="399"/>
      <x:c r="AA34" s="399"/>
      <x:c r="AB34" s="399"/>
      <x:c r="AC34" s="399"/>
      <x:c r="AD34" s="399"/>
      <x:c r="AE34" s="399"/>
      <x:c r="AF34" s="399"/>
      <x:c r="AG34" s="399"/>
      <x:c r="AH34" s="399"/>
      <x:c r="AI34" s="399"/>
      <x:c r="AJ34" s="399"/>
      <x:c r="AK34" s="399"/>
      <x:c r="AL34" s="399"/>
      <x:c r="AM34" s="399"/>
      <x:c r="AN34" s="399"/>
    </x:row>
    <x:row r="35" ht="105" customHeight="1">
      <x:c r="A35" s="489" t="str">
        <x:v>D03</x:v>
      </x:c>
      <x:c r="B35" s="489" t="str">
        <x:v>Високий</x:v>
      </x:c>
      <x:c r="C35" s="489" t="str">
        <x:v>Форма подання / актуальний сервіс Дія</x:v>
      </x:c>
      <x:c r="D35" s="489" t="str">
        <x:v>XLSX не є автоматично готовим файлом для завантаження</x:v>
      </x:c>
      <x:c r="E35" s="489" t="str">
        <x:v>Сервіс Дія описує додавання бізнес-плану у PDF. Офіційну поточну форму з кабінету заявника та правила обраного банку не надано.</x:v>
      </x:c>
      <x:c r="F35" s="489" t="str">
        <x:v>[S4], [S2].</x:v>
      </x:c>
      <x:c r="G35" s="489" t="str">
        <x:v>Після заповнення доказових прогалин перенести погоджену редакцію в актуальну форму сервісу; звірити PDF з XLSX і підписати належним КЕП. Наш PDF — робоча редакція, не засвідчений офіційний бланк.</x:v>
      </x:c>
      <x:c r="H35" s="489" t="str">
        <x:v>Актуальна форма, перелік додатків, завершена заява, коректний КЕП.</x:v>
      </x:c>
      <x:c r="I35" s="489" t="str">
        <x:v>Потребує документів / рішення заявниці</x:v>
      </x:c>
      <x:c r="J35" s="399"/>
      <x:c r="K35" s="399"/>
      <x:c r="L35" s="399"/>
      <x:c r="M35" s="399"/>
      <x:c r="N35" s="399"/>
      <x:c r="O35" s="399"/>
      <x:c r="P35" s="399"/>
      <x:c r="Q35" s="399"/>
      <x:c r="R35" s="399"/>
      <x:c r="S35" s="399"/>
      <x:c r="T35" s="399"/>
      <x:c r="U35" s="399"/>
      <x:c r="V35" s="399"/>
      <x:c r="W35" s="399"/>
      <x:c r="X35" s="399"/>
      <x:c r="Y35" s="399"/>
      <x:c r="Z35" s="399"/>
      <x:c r="AA35" s="399"/>
      <x:c r="AB35" s="399"/>
      <x:c r="AC35" s="399"/>
      <x:c r="AD35" s="399"/>
      <x:c r="AE35" s="399"/>
      <x:c r="AF35" s="399"/>
      <x:c r="AG35" s="399"/>
      <x:c r="AH35" s="399"/>
      <x:c r="AI35" s="399"/>
      <x:c r="AJ35" s="399"/>
      <x:c r="AK35" s="399"/>
      <x:c r="AL35" s="399"/>
      <x:c r="AM35" s="399"/>
      <x:c r="AN35" s="399"/>
    </x:row>
    <x:row r="36" ht="105" customHeight="1">
      <x:c r="A36" s="489" t="str">
        <x:v>D04</x:v>
      </x:c>
      <x:c r="B36" s="489" t="str">
        <x:v>Високий</x:v>
      </x:c>
      <x:c r="C36" s="489" t="str">
        <x:v>Банк не зазначений</x:v>
      </x:c>
      <x:c r="D36" s="489" t="str">
        <x:v>Неможливо засвідчити відповідність усім внутрішнім правилам банку</x:v>
      </x:c>
      <x:c r="E36" s="489" t="str">
        <x:v>Не відомі уповноважений банк, договір приєднання, тарифи та вимоги до оплати авансів/підписок.</x:v>
      </x:c>
      <x:c r="F36" s="489" t="str">
        <x:v>[S1] пп. 17, 22–23; Закон 361-IX; Положення НБУ №65 [S12].</x:v>
      </x:c>
      <x:c r="G36" s="489" t="str">
        <x:v>Одержати актуальний перелік банку, зразки договорів і вимоги до платежів; опрацювати конкретні запити. Загальнодержавні критерії не підміняють непублічні процедури.</x:v>
      </x:c>
      <x:c r="H36" s="489" t="str">
        <x:v>Назва банку, чинні умови, офіційні роз’яснення щодо спірних платежів.</x:v>
      </x:c>
      <x:c r="I36" s="489" t="str">
        <x:v>Потребує документів / рішення заявниці</x:v>
      </x:c>
      <x:c r="J36" s="399"/>
      <x:c r="K36" s="399"/>
      <x:c r="L36" s="399"/>
      <x:c r="M36" s="399"/>
      <x:c r="N36" s="399"/>
      <x:c r="O36" s="399"/>
      <x:c r="P36" s="399"/>
      <x:c r="Q36" s="399"/>
      <x:c r="R36" s="399"/>
      <x:c r="S36" s="399"/>
      <x:c r="T36" s="399"/>
      <x:c r="U36" s="399"/>
      <x:c r="V36" s="399"/>
      <x:c r="W36" s="399"/>
      <x:c r="X36" s="399"/>
      <x:c r="Y36" s="399"/>
      <x:c r="Z36" s="399"/>
      <x:c r="AA36" s="399"/>
      <x:c r="AB36" s="399"/>
      <x:c r="AC36" s="399"/>
      <x:c r="AD36" s="399"/>
      <x:c r="AE36" s="399"/>
      <x:c r="AF36" s="399"/>
      <x:c r="AG36" s="399"/>
      <x:c r="AH36" s="399"/>
      <x:c r="AI36" s="399"/>
      <x:c r="AJ36" s="399"/>
      <x:c r="AK36" s="399"/>
      <x:c r="AL36" s="399"/>
      <x:c r="AM36" s="399"/>
      <x:c r="AN36" s="399"/>
    </x:row>
    <x:row r="37">
      <x:c r="A37" s="399"/>
      <x:c r="B37" s="399"/>
      <x:c r="C37" s="399"/>
      <x:c r="D37" s="399"/>
      <x:c r="E37" s="399"/>
      <x:c r="F37" s="399"/>
      <x:c r="G37" s="399"/>
      <x:c r="H37" s="399"/>
      <x:c r="I37" s="399"/>
      <x:c r="J37" s="399"/>
      <x:c r="K37" s="399"/>
      <x:c r="L37" s="399"/>
      <x:c r="M37" s="399"/>
      <x:c r="N37" s="399"/>
      <x:c r="O37" s="399"/>
      <x:c r="P37" s="399"/>
      <x:c r="Q37" s="399"/>
      <x:c r="R37" s="399"/>
      <x:c r="S37" s="399"/>
      <x:c r="T37" s="399"/>
      <x:c r="U37" s="399"/>
      <x:c r="V37" s="399"/>
      <x:c r="W37" s="399"/>
      <x:c r="X37" s="399"/>
      <x:c r="Y37" s="399"/>
      <x:c r="Z37" s="399"/>
      <x:c r="AA37" s="399"/>
      <x:c r="AB37" s="399"/>
      <x:c r="AC37" s="399"/>
      <x:c r="AD37" s="399"/>
      <x:c r="AE37" s="399"/>
      <x:c r="AF37" s="399"/>
      <x:c r="AG37" s="399"/>
      <x:c r="AH37" s="399"/>
      <x:c r="AI37" s="399"/>
      <x:c r="AJ37" s="399"/>
      <x:c r="AK37" s="399"/>
      <x:c r="AL37" s="399"/>
      <x:c r="AM37" s="399"/>
      <x:c r="AN37" s="399"/>
    </x:row>
    <x:row r="38">
      <x:c r="A38" s="399"/>
      <x:c r="B38" s="399"/>
      <x:c r="C38" s="399"/>
      <x:c r="D38" s="399"/>
      <x:c r="E38" s="399"/>
      <x:c r="F38" s="399"/>
      <x:c r="G38" s="399"/>
      <x:c r="H38" s="399"/>
      <x:c r="I38" s="399"/>
      <x:c r="J38" s="399"/>
      <x:c r="K38" s="399"/>
      <x:c r="L38" s="399"/>
      <x:c r="M38" s="399"/>
      <x:c r="N38" s="399"/>
      <x:c r="O38" s="399"/>
      <x:c r="P38" s="399"/>
      <x:c r="Q38" s="399"/>
      <x:c r="R38" s="399"/>
      <x:c r="S38" s="399"/>
      <x:c r="T38" s="399"/>
      <x:c r="U38" s="399"/>
      <x:c r="V38" s="399"/>
      <x:c r="W38" s="399"/>
      <x:c r="X38" s="399"/>
      <x:c r="Y38" s="399"/>
      <x:c r="Z38" s="399"/>
      <x:c r="AA38" s="399"/>
      <x:c r="AB38" s="399"/>
      <x:c r="AC38" s="399"/>
      <x:c r="AD38" s="399"/>
      <x:c r="AE38" s="399"/>
      <x:c r="AF38" s="399"/>
      <x:c r="AG38" s="399"/>
      <x:c r="AH38" s="399"/>
      <x:c r="AI38" s="399"/>
      <x:c r="AJ38" s="399"/>
      <x:c r="AK38" s="399"/>
      <x:c r="AL38" s="399"/>
      <x:c r="AM38" s="399"/>
      <x:c r="AN38" s="399"/>
    </x:row>
    <x:row r="39">
      <x:c r="A39" s="399"/>
      <x:c r="B39" s="399"/>
      <x:c r="C39" s="399"/>
      <x:c r="D39" s="399"/>
      <x:c r="E39" s="399"/>
      <x:c r="F39" s="399"/>
      <x:c r="G39" s="399"/>
      <x:c r="H39" s="399"/>
      <x:c r="I39" s="399"/>
      <x:c r="J39" s="399"/>
      <x:c r="K39" s="399"/>
      <x:c r="L39" s="399"/>
      <x:c r="M39" s="399"/>
      <x:c r="N39" s="399"/>
      <x:c r="O39" s="399"/>
      <x:c r="P39" s="399"/>
      <x:c r="Q39" s="399"/>
      <x:c r="R39" s="399"/>
      <x:c r="S39" s="399"/>
      <x:c r="T39" s="399"/>
      <x:c r="U39" s="399"/>
      <x:c r="V39" s="399"/>
      <x:c r="W39" s="399"/>
      <x:c r="X39" s="399"/>
      <x:c r="Y39" s="399"/>
      <x:c r="Z39" s="399"/>
      <x:c r="AA39" s="399"/>
      <x:c r="AB39" s="399"/>
      <x:c r="AC39" s="399"/>
      <x:c r="AD39" s="399"/>
      <x:c r="AE39" s="399"/>
      <x:c r="AF39" s="399"/>
      <x:c r="AG39" s="399"/>
      <x:c r="AH39" s="399"/>
      <x:c r="AI39" s="399"/>
      <x:c r="AJ39" s="399"/>
      <x:c r="AK39" s="399"/>
      <x:c r="AL39" s="399"/>
      <x:c r="AM39" s="399"/>
      <x:c r="AN39" s="399"/>
    </x:row>
    <x:row r="40">
      <x:c r="A40" s="399"/>
      <x:c r="B40" s="399"/>
      <x:c r="C40" s="399"/>
      <x:c r="D40" s="399"/>
      <x:c r="E40" s="399"/>
      <x:c r="F40" s="399"/>
      <x:c r="G40" s="399"/>
      <x:c r="H40" s="399"/>
      <x:c r="I40" s="399"/>
      <x:c r="J40" s="399"/>
      <x:c r="K40" s="399"/>
      <x:c r="L40" s="399"/>
      <x:c r="M40" s="399"/>
      <x:c r="N40" s="399"/>
      <x:c r="O40" s="399"/>
      <x:c r="P40" s="399"/>
      <x:c r="Q40" s="399"/>
      <x:c r="R40" s="399"/>
      <x:c r="S40" s="399"/>
      <x:c r="T40" s="399"/>
      <x:c r="U40" s="399"/>
      <x:c r="V40" s="399"/>
      <x:c r="W40" s="399"/>
      <x:c r="X40" s="399"/>
      <x:c r="Y40" s="399"/>
      <x:c r="Z40" s="399"/>
      <x:c r="AA40" s="399"/>
      <x:c r="AB40" s="399"/>
      <x:c r="AC40" s="399"/>
      <x:c r="AD40" s="399"/>
      <x:c r="AE40" s="399"/>
      <x:c r="AF40" s="399"/>
      <x:c r="AG40" s="399"/>
      <x:c r="AH40" s="399"/>
      <x:c r="AI40" s="399"/>
      <x:c r="AJ40" s="399"/>
      <x:c r="AK40" s="399"/>
      <x:c r="AL40" s="399"/>
      <x:c r="AM40" s="399"/>
      <x:c r="AN40" s="399"/>
    </x:row>
    <x:row r="41" ht="30" customHeight="1">
      <x:c r="A41" s="410" t="str">
        <x:v>Сума грантових категорій мінус запит</x:v>
      </x:c>
      <x:c r="B41" s="410"/>
      <x:c r="C41" s="410"/>
      <x:c r="D41" s="492" t="n">
        <x:f>SUM('Бізнес план'!E82:E88)-'Бізнес план'!C26</x:f>
        <x:v>0</x:v>
      </x:c>
      <x:c r="E41" s="399"/>
      <x:c r="F41" s="399"/>
      <x:c r="G41" s="399"/>
      <x:c r="H41" s="399"/>
      <x:c r="I41" s="399"/>
      <x:c r="J41" s="399"/>
      <x:c r="K41" s="399"/>
      <x:c r="L41" s="399"/>
      <x:c r="M41" s="399"/>
      <x:c r="N41" s="399"/>
      <x:c r="O41" s="399"/>
      <x:c r="P41" s="399"/>
      <x:c r="Q41" s="399"/>
      <x:c r="R41" s="399"/>
      <x:c r="S41" s="399"/>
      <x:c r="T41" s="399"/>
      <x:c r="U41" s="399"/>
      <x:c r="V41" s="399"/>
      <x:c r="W41" s="399"/>
      <x:c r="X41" s="399"/>
      <x:c r="Y41" s="399"/>
      <x:c r="Z41" s="399"/>
      <x:c r="AA41" s="399"/>
      <x:c r="AB41" s="399"/>
      <x:c r="AC41" s="399"/>
      <x:c r="AD41" s="399"/>
      <x:c r="AE41" s="399"/>
      <x:c r="AF41" s="399"/>
      <x:c r="AG41" s="399"/>
      <x:c r="AH41" s="399"/>
      <x:c r="AI41" s="399"/>
      <x:c r="AJ41" s="399"/>
      <x:c r="AK41" s="399"/>
      <x:c r="AL41" s="399"/>
      <x:c r="AM41" s="399"/>
      <x:c r="AN41" s="399"/>
    </x:row>
    <x:row r="42" ht="30" customHeight="1">
      <x:c r="A42" s="410" t="str">
        <x:v>Власні кошти мінус сума навчання</x:v>
      </x:c>
      <x:c r="B42" s="410"/>
      <x:c r="C42" s="410"/>
      <x:c r="D42" s="492" t="n">
        <x:f>'Бізнес план'!E96-SUM('Бізнес план'!E92:E95)</x:f>
        <x:v>0</x:v>
      </x:c>
      <x:c r="E42" s="399"/>
      <x:c r="F42" s="399"/>
      <x:c r="G42" s="399"/>
      <x:c r="H42" s="399"/>
      <x:c r="I42" s="399"/>
      <x:c r="J42" s="399"/>
      <x:c r="K42" s="399"/>
      <x:c r="L42" s="399"/>
      <x:c r="M42" s="399"/>
      <x:c r="N42" s="399"/>
      <x:c r="O42" s="399"/>
      <x:c r="P42" s="399"/>
      <x:c r="Q42" s="399"/>
      <x:c r="R42" s="399"/>
      <x:c r="S42" s="399"/>
      <x:c r="T42" s="399"/>
      <x:c r="U42" s="399"/>
      <x:c r="V42" s="399"/>
      <x:c r="W42" s="399"/>
      <x:c r="X42" s="399"/>
      <x:c r="Y42" s="399"/>
      <x:c r="Z42" s="399"/>
      <x:c r="AA42" s="399"/>
      <x:c r="AB42" s="399"/>
      <x:c r="AC42" s="399"/>
      <x:c r="AD42" s="399"/>
      <x:c r="AE42" s="399"/>
      <x:c r="AF42" s="399"/>
      <x:c r="AG42" s="399"/>
      <x:c r="AH42" s="399"/>
      <x:c r="AI42" s="399"/>
      <x:c r="AJ42" s="399"/>
      <x:c r="AK42" s="399"/>
      <x:c r="AL42" s="399"/>
      <x:c r="AM42" s="399"/>
      <x:c r="AN42" s="399"/>
    </x:row>
    <x:row r="43" ht="30" customHeight="1">
      <x:c r="A43" s="410" t="str">
        <x:v>Підсумок надходжень мінус модель</x:v>
      </x:c>
      <x:c r="B43" s="410"/>
      <x:c r="C43" s="410"/>
      <x:c r="D43" s="492" t="n">
        <x:f>'Прибутки та збитки'!BM27-SUM('Модель 36 міс'!C37:AL37)</x:f>
        <x:v>0</x:v>
      </x:c>
      <x:c r="E43" s="399"/>
      <x:c r="F43" s="399"/>
      <x:c r="G43" s="399"/>
      <x:c r="H43" s="399"/>
      <x:c r="I43" s="399"/>
      <x:c r="J43" s="399"/>
      <x:c r="K43" s="399"/>
      <x:c r="L43" s="399"/>
      <x:c r="M43" s="399"/>
      <x:c r="N43" s="399"/>
      <x:c r="O43" s="399"/>
      <x:c r="P43" s="399"/>
      <x:c r="Q43" s="399"/>
      <x:c r="R43" s="399"/>
      <x:c r="S43" s="399"/>
      <x:c r="T43" s="399"/>
      <x:c r="U43" s="399"/>
      <x:c r="V43" s="399"/>
      <x:c r="W43" s="399"/>
      <x:c r="X43" s="399"/>
      <x:c r="Y43" s="399"/>
      <x:c r="Z43" s="399"/>
      <x:c r="AA43" s="399"/>
      <x:c r="AB43" s="399"/>
      <x:c r="AC43" s="399"/>
      <x:c r="AD43" s="399"/>
      <x:c r="AE43" s="399"/>
      <x:c r="AF43" s="399"/>
      <x:c r="AG43" s="399"/>
      <x:c r="AH43" s="399"/>
      <x:c r="AI43" s="399"/>
      <x:c r="AJ43" s="399"/>
      <x:c r="AK43" s="399"/>
      <x:c r="AL43" s="399"/>
      <x:c r="AM43" s="399"/>
      <x:c r="AN43" s="399"/>
    </x:row>
    <x:row r="44" ht="30" customHeight="1">
      <x:c r="A44" s="410" t="str">
        <x:v>Підсумок витрат мінус модель</x:v>
      </x:c>
      <x:c r="B44" s="410"/>
      <x:c r="C44" s="410"/>
      <x:c r="D44" s="492" t="n">
        <x:f>'Прибутки та збитки'!BM72-SUM('Модель 36 міс'!C58:AL58)</x:f>
        <x:v>0</x:v>
      </x:c>
      <x:c r="E44" s="399"/>
      <x:c r="F44" s="399"/>
      <x:c r="G44" s="399"/>
      <x:c r="H44" s="399"/>
      <x:c r="I44" s="399"/>
      <x:c r="J44" s="399"/>
      <x:c r="K44" s="399"/>
      <x:c r="L44" s="399"/>
      <x:c r="M44" s="399"/>
      <x:c r="N44" s="399"/>
      <x:c r="O44" s="399"/>
      <x:c r="P44" s="399"/>
      <x:c r="Q44" s="399"/>
      <x:c r="R44" s="399"/>
      <x:c r="S44" s="399"/>
      <x:c r="T44" s="399"/>
      <x:c r="U44" s="399"/>
      <x:c r="V44" s="399"/>
      <x:c r="W44" s="399"/>
      <x:c r="X44" s="399"/>
      <x:c r="Y44" s="399"/>
      <x:c r="Z44" s="399"/>
      <x:c r="AA44" s="399"/>
      <x:c r="AB44" s="399"/>
      <x:c r="AC44" s="399"/>
      <x:c r="AD44" s="399"/>
      <x:c r="AE44" s="399"/>
      <x:c r="AF44" s="399"/>
      <x:c r="AG44" s="399"/>
      <x:c r="AH44" s="399"/>
      <x:c r="AI44" s="399"/>
      <x:c r="AJ44" s="399"/>
      <x:c r="AK44" s="399"/>
      <x:c r="AL44" s="399"/>
      <x:c r="AM44" s="399"/>
      <x:c r="AN44" s="399"/>
    </x:row>
    <x:row r="45" ht="30" customHeight="1">
      <x:c r="A45" s="410" t="str">
        <x:v>Кінцевий залишок мінус модель</x:v>
      </x:c>
      <x:c r="B45" s="410"/>
      <x:c r="C45" s="410"/>
      <x:c r="D45" s="492" t="n">
        <x:f>'Прибутки та збитки'!BM78-'Модель 36 міс'!AL61</x:f>
        <x:v>0</x:v>
      </x:c>
      <x:c r="E45" s="399"/>
      <x:c r="F45" s="399"/>
      <x:c r="G45" s="399"/>
      <x:c r="H45" s="399"/>
      <x:c r="I45" s="399"/>
      <x:c r="J45" s="399"/>
      <x:c r="K45" s="399"/>
      <x:c r="L45" s="399"/>
      <x:c r="M45" s="399"/>
      <x:c r="N45" s="399"/>
      <x:c r="O45" s="399"/>
      <x:c r="P45" s="399"/>
      <x:c r="Q45" s="399"/>
      <x:c r="R45" s="399"/>
      <x:c r="S45" s="399"/>
      <x:c r="T45" s="399"/>
      <x:c r="U45" s="399"/>
      <x:c r="V45" s="399"/>
      <x:c r="W45" s="399"/>
      <x:c r="X45" s="399"/>
      <x:c r="Y45" s="399"/>
      <x:c r="Z45" s="399"/>
      <x:c r="AA45" s="399"/>
      <x:c r="AB45" s="399"/>
      <x:c r="AC45" s="399"/>
      <x:c r="AD45" s="399"/>
      <x:c r="AE45" s="399"/>
      <x:c r="AF45" s="399"/>
      <x:c r="AG45" s="399"/>
      <x:c r="AH45" s="399"/>
      <x:c r="AI45" s="399"/>
      <x:c r="AJ45" s="399"/>
      <x:c r="AK45" s="399"/>
      <x:c r="AL45" s="399"/>
      <x:c r="AM45" s="399"/>
      <x:c r="AN45" s="399"/>
    </x:row>
    <x:row r="46" ht="30" customHeight="1">
      <x:c r="A46" s="410" t="str">
        <x:v>Баланс надходжень, виплат і коштів</x:v>
      </x:c>
      <x:c r="B46" s="410"/>
      <x:c r="C46" s="410"/>
      <x:c r="D46" s="492" t="n">
        <x:f>SUM('Модель 36 міс'!C37:AL37)-SUM('Модель 36 міс'!C58:AL58)-'Модель 36 міс'!AL61</x:f>
        <x:v>1.862645149230957e-9</x:v>
      </x:c>
      <x:c r="E46" s="399"/>
      <x:c r="F46" s="399"/>
      <x:c r="G46" s="399"/>
      <x:c r="H46" s="399"/>
      <x:c r="I46" s="399"/>
      <x:c r="J46" s="399"/>
      <x:c r="K46" s="399"/>
      <x:c r="L46" s="399"/>
      <x:c r="M46" s="399"/>
      <x:c r="N46" s="399"/>
      <x:c r="O46" s="399"/>
      <x:c r="P46" s="399"/>
      <x:c r="Q46" s="399"/>
      <x:c r="R46" s="399"/>
      <x:c r="S46" s="399"/>
      <x:c r="T46" s="399"/>
      <x:c r="U46" s="399"/>
      <x:c r="V46" s="399"/>
      <x:c r="W46" s="399"/>
      <x:c r="X46" s="399"/>
      <x:c r="Y46" s="399"/>
      <x:c r="Z46" s="399"/>
      <x:c r="AA46" s="399"/>
      <x:c r="AB46" s="399"/>
      <x:c r="AC46" s="399"/>
      <x:c r="AD46" s="399"/>
      <x:c r="AE46" s="399"/>
      <x:c r="AF46" s="399"/>
      <x:c r="AG46" s="399"/>
      <x:c r="AH46" s="399"/>
      <x:c r="AI46" s="399"/>
      <x:c r="AJ46" s="399"/>
      <x:c r="AK46" s="399"/>
      <x:c r="AL46" s="399"/>
      <x:c r="AM46" s="399"/>
      <x:c r="AN46" s="399"/>
    </x:row>
    <x:row r="47">
      <x:c r="A47" s="399"/>
      <x:c r="B47" s="399"/>
      <x:c r="C47" s="399"/>
      <x:c r="D47" s="399"/>
      <x:c r="E47" s="399"/>
      <x:c r="F47" s="399"/>
      <x:c r="G47" s="399"/>
      <x:c r="H47" s="399"/>
      <x:c r="I47" s="399"/>
      <x:c r="J47" s="399"/>
      <x:c r="K47" s="399"/>
      <x:c r="L47" s="399"/>
      <x:c r="M47" s="399"/>
      <x:c r="N47" s="399"/>
      <x:c r="O47" s="399"/>
      <x:c r="P47" s="399"/>
      <x:c r="Q47" s="399"/>
      <x:c r="R47" s="399"/>
      <x:c r="S47" s="399"/>
      <x:c r="T47" s="399"/>
      <x:c r="U47" s="399"/>
      <x:c r="V47" s="399"/>
      <x:c r="W47" s="399"/>
      <x:c r="X47" s="399"/>
      <x:c r="Y47" s="399"/>
      <x:c r="Z47" s="399"/>
      <x:c r="AA47" s="399"/>
      <x:c r="AB47" s="399"/>
      <x:c r="AC47" s="399"/>
      <x:c r="AD47" s="399"/>
      <x:c r="AE47" s="399"/>
      <x:c r="AF47" s="399"/>
      <x:c r="AG47" s="399"/>
      <x:c r="AH47" s="399"/>
      <x:c r="AI47" s="399"/>
      <x:c r="AJ47" s="399"/>
      <x:c r="AK47" s="399"/>
      <x:c r="AL47" s="399"/>
      <x:c r="AM47" s="399"/>
      <x:c r="AN47" s="399"/>
    </x:row>
    <x:row r="48">
      <x:c r="A48" s="399"/>
      <x:c r="B48" s="399"/>
      <x:c r="C48" s="399"/>
      <x:c r="D48" s="399"/>
      <x:c r="E48" s="399"/>
      <x:c r="F48" s="399"/>
      <x:c r="G48" s="399"/>
      <x:c r="H48" s="399"/>
      <x:c r="I48" s="399"/>
      <x:c r="J48" s="399"/>
      <x:c r="K48" s="399"/>
      <x:c r="L48" s="399"/>
      <x:c r="M48" s="399"/>
      <x:c r="N48" s="399"/>
      <x:c r="O48" s="399"/>
      <x:c r="P48" s="399"/>
      <x:c r="Q48" s="399"/>
      <x:c r="R48" s="399"/>
      <x:c r="S48" s="399"/>
      <x:c r="T48" s="399"/>
      <x:c r="U48" s="399"/>
      <x:c r="V48" s="399"/>
      <x:c r="W48" s="399"/>
      <x:c r="X48" s="399"/>
      <x:c r="Y48" s="399"/>
      <x:c r="Z48" s="399"/>
      <x:c r="AA48" s="399"/>
      <x:c r="AB48" s="399"/>
      <x:c r="AC48" s="399"/>
      <x:c r="AD48" s="399"/>
      <x:c r="AE48" s="399"/>
      <x:c r="AF48" s="399"/>
      <x:c r="AG48" s="399"/>
      <x:c r="AH48" s="399"/>
      <x:c r="AI48" s="399"/>
      <x:c r="AJ48" s="399"/>
      <x:c r="AK48" s="399"/>
      <x:c r="AL48" s="399"/>
      <x:c r="AM48" s="399"/>
      <x:c r="AN48" s="399"/>
    </x:row>
    <x:row r="49">
      <x:c r="A49" s="399"/>
      <x:c r="B49" s="399"/>
      <x:c r="C49" s="399"/>
      <x:c r="D49" s="399"/>
      <x:c r="E49" s="399"/>
      <x:c r="F49" s="399"/>
      <x:c r="G49" s="399"/>
      <x:c r="H49" s="399"/>
      <x:c r="I49" s="399"/>
      <x:c r="J49" s="399"/>
      <x:c r="K49" s="399"/>
      <x:c r="L49" s="399"/>
      <x:c r="M49" s="399"/>
      <x:c r="N49" s="399"/>
      <x:c r="O49" s="399"/>
      <x:c r="P49" s="399"/>
      <x:c r="Q49" s="399"/>
      <x:c r="R49" s="399"/>
      <x:c r="S49" s="399"/>
      <x:c r="T49" s="399"/>
      <x:c r="U49" s="399"/>
      <x:c r="V49" s="399"/>
      <x:c r="W49" s="399"/>
      <x:c r="X49" s="399"/>
      <x:c r="Y49" s="399"/>
      <x:c r="Z49" s="399"/>
      <x:c r="AA49" s="399"/>
      <x:c r="AB49" s="399"/>
      <x:c r="AC49" s="399"/>
      <x:c r="AD49" s="399"/>
      <x:c r="AE49" s="399"/>
      <x:c r="AF49" s="399"/>
      <x:c r="AG49" s="399"/>
      <x:c r="AH49" s="399"/>
      <x:c r="AI49" s="399"/>
      <x:c r="AJ49" s="399"/>
      <x:c r="AK49" s="399"/>
      <x:c r="AL49" s="399"/>
      <x:c r="AM49" s="399"/>
      <x:c r="AN49" s="399"/>
    </x:row>
    <x:row r="50">
      <x:c r="A50" s="399"/>
      <x:c r="B50" s="399"/>
      <x:c r="C50" s="399"/>
      <x:c r="D50" s="399"/>
      <x:c r="E50" s="399"/>
      <x:c r="F50" s="399"/>
      <x:c r="G50" s="399"/>
      <x:c r="H50" s="399"/>
      <x:c r="I50" s="399"/>
      <x:c r="J50" s="399"/>
      <x:c r="K50" s="399"/>
      <x:c r="L50" s="399"/>
      <x:c r="M50" s="399"/>
      <x:c r="N50" s="399"/>
      <x:c r="O50" s="399"/>
      <x:c r="P50" s="399"/>
      <x:c r="Q50" s="399"/>
      <x:c r="R50" s="399"/>
      <x:c r="S50" s="399"/>
      <x:c r="T50" s="399"/>
      <x:c r="U50" s="399"/>
      <x:c r="V50" s="399"/>
      <x:c r="W50" s="399"/>
      <x:c r="X50" s="399"/>
      <x:c r="Y50" s="399"/>
      <x:c r="Z50" s="399"/>
      <x:c r="AA50" s="399"/>
      <x:c r="AB50" s="399"/>
      <x:c r="AC50" s="399"/>
      <x:c r="AD50" s="399"/>
      <x:c r="AE50" s="399"/>
      <x:c r="AF50" s="399"/>
      <x:c r="AG50" s="399"/>
      <x:c r="AH50" s="399"/>
      <x:c r="AI50" s="399"/>
      <x:c r="AJ50" s="399"/>
      <x:c r="AK50" s="399"/>
      <x:c r="AL50" s="399"/>
      <x:c r="AM50" s="399"/>
      <x:c r="AN50" s="399"/>
    </x:row>
    <x:row r="51">
      <x:c r="A51" s="399"/>
      <x:c r="B51" s="399"/>
      <x:c r="C51" s="399"/>
      <x:c r="D51" s="399"/>
      <x:c r="E51" s="399"/>
      <x:c r="F51" s="399"/>
      <x:c r="G51" s="399"/>
      <x:c r="H51" s="399"/>
      <x:c r="I51" s="399"/>
      <x:c r="J51" s="399"/>
      <x:c r="K51" s="399"/>
      <x:c r="L51" s="399"/>
      <x:c r="M51" s="399"/>
      <x:c r="N51" s="399"/>
      <x:c r="O51" s="399"/>
      <x:c r="P51" s="399"/>
      <x:c r="Q51" s="399"/>
      <x:c r="R51" s="399"/>
      <x:c r="S51" s="399"/>
      <x:c r="T51" s="399"/>
      <x:c r="U51" s="399"/>
      <x:c r="V51" s="399"/>
      <x:c r="W51" s="399"/>
      <x:c r="X51" s="399"/>
      <x:c r="Y51" s="399"/>
      <x:c r="Z51" s="399"/>
      <x:c r="AA51" s="399"/>
      <x:c r="AB51" s="399"/>
      <x:c r="AC51" s="399"/>
      <x:c r="AD51" s="399"/>
      <x:c r="AE51" s="399"/>
      <x:c r="AF51" s="399"/>
      <x:c r="AG51" s="399"/>
      <x:c r="AH51" s="399"/>
      <x:c r="AI51" s="399"/>
      <x:c r="AJ51" s="399"/>
      <x:c r="AK51" s="399"/>
      <x:c r="AL51" s="399"/>
      <x:c r="AM51" s="399"/>
      <x:c r="AN51" s="399"/>
    </x:row>
    <x:row r="52">
      <x:c r="A52" s="399"/>
      <x:c r="B52" s="399"/>
      <x:c r="C52" s="399"/>
      <x:c r="D52" s="399"/>
      <x:c r="E52" s="399"/>
      <x:c r="F52" s="399"/>
      <x:c r="G52" s="399"/>
      <x:c r="H52" s="399"/>
      <x:c r="I52" s="399"/>
      <x:c r="J52" s="399"/>
      <x:c r="K52" s="399"/>
      <x:c r="L52" s="399"/>
      <x:c r="M52" s="399"/>
      <x:c r="N52" s="399"/>
      <x:c r="O52" s="399"/>
      <x:c r="P52" s="399"/>
      <x:c r="Q52" s="399"/>
      <x:c r="R52" s="399"/>
      <x:c r="S52" s="399"/>
      <x:c r="T52" s="399"/>
      <x:c r="U52" s="399"/>
      <x:c r="V52" s="399"/>
      <x:c r="W52" s="399"/>
      <x:c r="X52" s="399"/>
      <x:c r="Y52" s="399"/>
      <x:c r="Z52" s="399"/>
      <x:c r="AA52" s="399"/>
      <x:c r="AB52" s="399"/>
      <x:c r="AC52" s="399"/>
      <x:c r="AD52" s="399"/>
      <x:c r="AE52" s="399"/>
      <x:c r="AF52" s="399"/>
      <x:c r="AG52" s="399"/>
      <x:c r="AH52" s="399"/>
      <x:c r="AI52" s="399"/>
      <x:c r="AJ52" s="399"/>
      <x:c r="AK52" s="399"/>
      <x:c r="AL52" s="399"/>
      <x:c r="AM52" s="399"/>
      <x:c r="AN52" s="399"/>
    </x:row>
    <x:row r="53">
      <x:c r="A53" s="399"/>
      <x:c r="B53" s="399"/>
      <x:c r="C53" s="399"/>
      <x:c r="D53" s="399"/>
      <x:c r="E53" s="399"/>
      <x:c r="F53" s="399"/>
      <x:c r="G53" s="399"/>
      <x:c r="H53" s="399"/>
      <x:c r="I53" s="399"/>
      <x:c r="J53" s="399"/>
      <x:c r="K53" s="399"/>
      <x:c r="L53" s="399"/>
      <x:c r="M53" s="399"/>
      <x:c r="N53" s="399"/>
      <x:c r="O53" s="399"/>
      <x:c r="P53" s="399"/>
      <x:c r="Q53" s="399"/>
      <x:c r="R53" s="399"/>
      <x:c r="S53" s="399"/>
      <x:c r="T53" s="399"/>
      <x:c r="U53" s="399"/>
      <x:c r="V53" s="399"/>
      <x:c r="W53" s="399"/>
      <x:c r="X53" s="399"/>
      <x:c r="Y53" s="399"/>
      <x:c r="Z53" s="399"/>
      <x:c r="AA53" s="399"/>
      <x:c r="AB53" s="399"/>
      <x:c r="AC53" s="399"/>
      <x:c r="AD53" s="399"/>
      <x:c r="AE53" s="399"/>
      <x:c r="AF53" s="399"/>
      <x:c r="AG53" s="399"/>
      <x:c r="AH53" s="399"/>
      <x:c r="AI53" s="399"/>
      <x:c r="AJ53" s="399"/>
      <x:c r="AK53" s="399"/>
      <x:c r="AL53" s="399"/>
      <x:c r="AM53" s="399"/>
      <x:c r="AN53" s="399"/>
    </x:row>
    <x:row r="54">
      <x:c r="A54" s="399"/>
      <x:c r="B54" s="399"/>
      <x:c r="C54" s="399"/>
      <x:c r="D54" s="399"/>
      <x:c r="E54" s="399"/>
      <x:c r="F54" s="399"/>
      <x:c r="G54" s="399"/>
      <x:c r="H54" s="399"/>
      <x:c r="I54" s="399"/>
      <x:c r="J54" s="399"/>
      <x:c r="K54" s="399"/>
      <x:c r="L54" s="399"/>
      <x:c r="M54" s="399"/>
      <x:c r="N54" s="399"/>
      <x:c r="O54" s="399"/>
      <x:c r="P54" s="399"/>
      <x:c r="Q54" s="399"/>
      <x:c r="R54" s="399"/>
      <x:c r="S54" s="399"/>
      <x:c r="T54" s="399"/>
      <x:c r="U54" s="399"/>
      <x:c r="V54" s="399"/>
      <x:c r="W54" s="399"/>
      <x:c r="X54" s="399"/>
      <x:c r="Y54" s="399"/>
      <x:c r="Z54" s="399"/>
      <x:c r="AA54" s="399"/>
      <x:c r="AB54" s="399"/>
      <x:c r="AC54" s="399"/>
      <x:c r="AD54" s="399"/>
      <x:c r="AE54" s="399"/>
      <x:c r="AF54" s="399"/>
      <x:c r="AG54" s="399"/>
      <x:c r="AH54" s="399"/>
      <x:c r="AI54" s="399"/>
      <x:c r="AJ54" s="399"/>
      <x:c r="AK54" s="399"/>
      <x:c r="AL54" s="399"/>
      <x:c r="AM54" s="399"/>
      <x:c r="AN54" s="399"/>
    </x:row>
    <x:row r="55">
      <x:c r="A55" s="399"/>
      <x:c r="B55" s="399"/>
      <x:c r="C55" s="399"/>
      <x:c r="D55" s="399"/>
      <x:c r="E55" s="399"/>
      <x:c r="F55" s="399"/>
      <x:c r="G55" s="399"/>
      <x:c r="H55" s="399"/>
      <x:c r="I55" s="399"/>
      <x:c r="J55" s="399"/>
      <x:c r="K55" s="399"/>
      <x:c r="L55" s="399"/>
      <x:c r="M55" s="399"/>
      <x:c r="N55" s="399"/>
      <x:c r="O55" s="399"/>
      <x:c r="P55" s="399"/>
      <x:c r="Q55" s="399"/>
      <x:c r="R55" s="399"/>
      <x:c r="S55" s="399"/>
      <x:c r="T55" s="399"/>
      <x:c r="U55" s="399"/>
      <x:c r="V55" s="399"/>
      <x:c r="W55" s="399"/>
      <x:c r="X55" s="399"/>
      <x:c r="Y55" s="399"/>
      <x:c r="Z55" s="399"/>
      <x:c r="AA55" s="399"/>
      <x:c r="AB55" s="399"/>
      <x:c r="AC55" s="399"/>
      <x:c r="AD55" s="399"/>
      <x:c r="AE55" s="399"/>
      <x:c r="AF55" s="399"/>
      <x:c r="AG55" s="399"/>
      <x:c r="AH55" s="399"/>
      <x:c r="AI55" s="399"/>
      <x:c r="AJ55" s="399"/>
      <x:c r="AK55" s="399"/>
      <x:c r="AL55" s="399"/>
      <x:c r="AM55" s="399"/>
      <x:c r="AN55" s="399"/>
    </x:row>
    <x:row r="56">
      <x:c r="A56" s="399"/>
      <x:c r="B56" s="399"/>
      <x:c r="C56" s="399"/>
      <x:c r="D56" s="399"/>
      <x:c r="E56" s="399"/>
      <x:c r="F56" s="399"/>
      <x:c r="G56" s="399"/>
      <x:c r="H56" s="399"/>
      <x:c r="I56" s="399"/>
      <x:c r="J56" s="399"/>
      <x:c r="K56" s="399"/>
      <x:c r="L56" s="399"/>
      <x:c r="M56" s="399"/>
      <x:c r="N56" s="399"/>
      <x:c r="O56" s="399"/>
      <x:c r="P56" s="399"/>
      <x:c r="Q56" s="399"/>
      <x:c r="R56" s="399"/>
      <x:c r="S56" s="399"/>
      <x:c r="T56" s="399"/>
      <x:c r="U56" s="399"/>
      <x:c r="V56" s="399"/>
      <x:c r="W56" s="399"/>
      <x:c r="X56" s="399"/>
      <x:c r="Y56" s="399"/>
      <x:c r="Z56" s="399"/>
      <x:c r="AA56" s="399"/>
      <x:c r="AB56" s="399"/>
      <x:c r="AC56" s="399"/>
      <x:c r="AD56" s="399"/>
      <x:c r="AE56" s="399"/>
      <x:c r="AF56" s="399"/>
      <x:c r="AG56" s="399"/>
      <x:c r="AH56" s="399"/>
      <x:c r="AI56" s="399"/>
      <x:c r="AJ56" s="399"/>
      <x:c r="AK56" s="399"/>
      <x:c r="AL56" s="399"/>
      <x:c r="AM56" s="399"/>
      <x:c r="AN56" s="399"/>
    </x:row>
    <x:row r="57">
      <x:c r="A57" s="399"/>
      <x:c r="B57" s="399"/>
      <x:c r="C57" s="399"/>
      <x:c r="D57" s="399"/>
      <x:c r="E57" s="399"/>
      <x:c r="F57" s="399"/>
      <x:c r="G57" s="399"/>
      <x:c r="H57" s="399"/>
      <x:c r="I57" s="399"/>
      <x:c r="J57" s="399"/>
      <x:c r="K57" s="399"/>
      <x:c r="L57" s="399"/>
      <x:c r="M57" s="399"/>
      <x:c r="N57" s="399"/>
      <x:c r="O57" s="399"/>
      <x:c r="P57" s="399"/>
      <x:c r="Q57" s="399"/>
      <x:c r="R57" s="399"/>
      <x:c r="S57" s="399"/>
      <x:c r="T57" s="399"/>
      <x:c r="U57" s="399"/>
      <x:c r="V57" s="399"/>
      <x:c r="W57" s="399"/>
      <x:c r="X57" s="399"/>
      <x:c r="Y57" s="399"/>
      <x:c r="Z57" s="399"/>
      <x:c r="AA57" s="399"/>
      <x:c r="AB57" s="399"/>
      <x:c r="AC57" s="399"/>
      <x:c r="AD57" s="399"/>
      <x:c r="AE57" s="399"/>
      <x:c r="AF57" s="399"/>
      <x:c r="AG57" s="399"/>
      <x:c r="AH57" s="399"/>
      <x:c r="AI57" s="399"/>
      <x:c r="AJ57" s="399"/>
      <x:c r="AK57" s="399"/>
      <x:c r="AL57" s="399"/>
      <x:c r="AM57" s="399"/>
      <x:c r="AN57" s="399"/>
    </x:row>
    <x:row r="58">
      <x:c r="A58" s="399"/>
      <x:c r="B58" s="399"/>
      <x:c r="C58" s="399"/>
      <x:c r="D58" s="399"/>
      <x:c r="E58" s="399"/>
      <x:c r="F58" s="399"/>
      <x:c r="G58" s="399"/>
      <x:c r="H58" s="399"/>
      <x:c r="I58" s="399"/>
      <x:c r="J58" s="399"/>
      <x:c r="K58" s="399"/>
      <x:c r="L58" s="399"/>
      <x:c r="M58" s="399"/>
      <x:c r="N58" s="399"/>
      <x:c r="O58" s="399"/>
      <x:c r="P58" s="399"/>
      <x:c r="Q58" s="399"/>
      <x:c r="R58" s="399"/>
      <x:c r="S58" s="399"/>
      <x:c r="T58" s="399"/>
      <x:c r="U58" s="399"/>
      <x:c r="V58" s="399"/>
      <x:c r="W58" s="399"/>
      <x:c r="X58" s="399"/>
      <x:c r="Y58" s="399"/>
      <x:c r="Z58" s="399"/>
      <x:c r="AA58" s="399"/>
      <x:c r="AB58" s="399"/>
      <x:c r="AC58" s="399"/>
      <x:c r="AD58" s="399"/>
      <x:c r="AE58" s="399"/>
      <x:c r="AF58" s="399"/>
      <x:c r="AG58" s="399"/>
      <x:c r="AH58" s="399"/>
      <x:c r="AI58" s="399"/>
      <x:c r="AJ58" s="399"/>
      <x:c r="AK58" s="399"/>
      <x:c r="AL58" s="399"/>
      <x:c r="AM58" s="399"/>
      <x:c r="AN58" s="399"/>
    </x:row>
    <x:row r="59">
      <x:c r="A59" s="399"/>
      <x:c r="B59" s="399"/>
      <x:c r="C59" s="399"/>
      <x:c r="D59" s="399"/>
      <x:c r="E59" s="399"/>
      <x:c r="F59" s="399"/>
      <x:c r="G59" s="399"/>
      <x:c r="H59" s="399"/>
      <x:c r="I59" s="399"/>
      <x:c r="J59" s="399"/>
      <x:c r="K59" s="399"/>
      <x:c r="L59" s="399"/>
      <x:c r="M59" s="399"/>
      <x:c r="N59" s="399"/>
      <x:c r="O59" s="399"/>
      <x:c r="P59" s="399"/>
      <x:c r="Q59" s="399"/>
      <x:c r="R59" s="399"/>
      <x:c r="S59" s="399"/>
      <x:c r="T59" s="399"/>
      <x:c r="U59" s="399"/>
      <x:c r="V59" s="399"/>
      <x:c r="W59" s="399"/>
      <x:c r="X59" s="399"/>
      <x:c r="Y59" s="399"/>
      <x:c r="Z59" s="399"/>
      <x:c r="AA59" s="399"/>
      <x:c r="AB59" s="399"/>
      <x:c r="AC59" s="399"/>
      <x:c r="AD59" s="399"/>
      <x:c r="AE59" s="399"/>
      <x:c r="AF59" s="399"/>
      <x:c r="AG59" s="399"/>
      <x:c r="AH59" s="399"/>
      <x:c r="AI59" s="399"/>
      <x:c r="AJ59" s="399"/>
      <x:c r="AK59" s="399"/>
      <x:c r="AL59" s="399"/>
      <x:c r="AM59" s="399"/>
      <x:c r="AN59" s="399"/>
    </x:row>
    <x:row r="60">
      <x:c r="A60" s="399"/>
      <x:c r="B60" s="399"/>
      <x:c r="C60" s="399"/>
      <x:c r="D60" s="399"/>
      <x:c r="E60" s="399"/>
      <x:c r="F60" s="399"/>
      <x:c r="G60" s="399"/>
      <x:c r="H60" s="399"/>
      <x:c r="I60" s="399"/>
      <x:c r="J60" s="399"/>
      <x:c r="K60" s="399"/>
      <x:c r="L60" s="399"/>
      <x:c r="M60" s="399"/>
      <x:c r="N60" s="399"/>
      <x:c r="O60" s="399"/>
      <x:c r="P60" s="399"/>
      <x:c r="Q60" s="399"/>
      <x:c r="R60" s="399"/>
      <x:c r="S60" s="399"/>
      <x:c r="T60" s="399"/>
      <x:c r="U60" s="399"/>
      <x:c r="V60" s="399"/>
      <x:c r="W60" s="399"/>
      <x:c r="X60" s="399"/>
      <x:c r="Y60" s="399"/>
      <x:c r="Z60" s="399"/>
      <x:c r="AA60" s="399"/>
      <x:c r="AB60" s="399"/>
      <x:c r="AC60" s="399"/>
      <x:c r="AD60" s="399"/>
      <x:c r="AE60" s="399"/>
      <x:c r="AF60" s="399"/>
      <x:c r="AG60" s="399"/>
      <x:c r="AH60" s="399"/>
      <x:c r="AI60" s="399"/>
      <x:c r="AJ60" s="399"/>
      <x:c r="AK60" s="399"/>
      <x:c r="AL60" s="399"/>
      <x:c r="AM60" s="399"/>
      <x:c r="AN60" s="399"/>
    </x:row>
    <x:row r="61">
      <x:c r="A61" s="399"/>
      <x:c r="B61" s="399"/>
      <x:c r="C61" s="399"/>
      <x:c r="D61" s="399"/>
      <x:c r="E61" s="399"/>
      <x:c r="F61" s="399"/>
      <x:c r="G61" s="399"/>
      <x:c r="H61" s="399"/>
      <x:c r="I61" s="399"/>
      <x:c r="J61" s="399"/>
      <x:c r="K61" s="399"/>
      <x:c r="L61" s="399"/>
      <x:c r="M61" s="399"/>
      <x:c r="N61" s="399"/>
      <x:c r="O61" s="399"/>
      <x:c r="P61" s="399"/>
      <x:c r="Q61" s="399"/>
      <x:c r="R61" s="399"/>
      <x:c r="S61" s="399"/>
      <x:c r="T61" s="399"/>
      <x:c r="U61" s="399"/>
      <x:c r="V61" s="399"/>
      <x:c r="W61" s="399"/>
      <x:c r="X61" s="399"/>
      <x:c r="Y61" s="399"/>
      <x:c r="Z61" s="399"/>
      <x:c r="AA61" s="399"/>
      <x:c r="AB61" s="399"/>
      <x:c r="AC61" s="399"/>
      <x:c r="AD61" s="399"/>
      <x:c r="AE61" s="399"/>
      <x:c r="AF61" s="399"/>
      <x:c r="AG61" s="399"/>
      <x:c r="AH61" s="399"/>
      <x:c r="AI61" s="399"/>
      <x:c r="AJ61" s="399"/>
      <x:c r="AK61" s="399"/>
      <x:c r="AL61" s="399"/>
      <x:c r="AM61" s="399"/>
      <x:c r="AN61" s="399"/>
    </x:row>
    <x:row r="62">
      <x:c r="A62" s="399"/>
      <x:c r="B62" s="399"/>
      <x:c r="C62" s="399"/>
      <x:c r="D62" s="399"/>
      <x:c r="E62" s="399"/>
      <x:c r="F62" s="399"/>
      <x:c r="G62" s="399"/>
      <x:c r="H62" s="399"/>
      <x:c r="I62" s="399"/>
      <x:c r="J62" s="399"/>
      <x:c r="K62" s="399"/>
      <x:c r="L62" s="399"/>
      <x:c r="M62" s="399"/>
      <x:c r="N62" s="399"/>
      <x:c r="O62" s="399"/>
      <x:c r="P62" s="399"/>
      <x:c r="Q62" s="399"/>
      <x:c r="R62" s="399"/>
      <x:c r="S62" s="399"/>
      <x:c r="T62" s="399"/>
      <x:c r="U62" s="399"/>
      <x:c r="V62" s="399"/>
      <x:c r="W62" s="399"/>
      <x:c r="X62" s="399"/>
      <x:c r="Y62" s="399"/>
      <x:c r="Z62" s="399"/>
      <x:c r="AA62" s="399"/>
      <x:c r="AB62" s="399"/>
      <x:c r="AC62" s="399"/>
      <x:c r="AD62" s="399"/>
      <x:c r="AE62" s="399"/>
      <x:c r="AF62" s="399"/>
      <x:c r="AG62" s="399"/>
      <x:c r="AH62" s="399"/>
      <x:c r="AI62" s="399"/>
      <x:c r="AJ62" s="399"/>
      <x:c r="AK62" s="399"/>
      <x:c r="AL62" s="399"/>
      <x:c r="AM62" s="399"/>
      <x:c r="AN62" s="399"/>
    </x:row>
    <x:row r="63">
      <x:c r="A63" s="399"/>
      <x:c r="B63" s="399"/>
      <x:c r="C63" s="399"/>
      <x:c r="D63" s="399"/>
      <x:c r="E63" s="399"/>
      <x:c r="F63" s="399"/>
      <x:c r="G63" s="399"/>
      <x:c r="H63" s="399"/>
      <x:c r="I63" s="399"/>
      <x:c r="J63" s="399"/>
      <x:c r="K63" s="399"/>
      <x:c r="L63" s="399"/>
      <x:c r="M63" s="399"/>
      <x:c r="N63" s="399"/>
      <x:c r="O63" s="399"/>
      <x:c r="P63" s="399"/>
      <x:c r="Q63" s="399"/>
      <x:c r="R63" s="399"/>
      <x:c r="S63" s="399"/>
      <x:c r="T63" s="399"/>
      <x:c r="U63" s="399"/>
      <x:c r="V63" s="399"/>
      <x:c r="W63" s="399"/>
      <x:c r="X63" s="399"/>
      <x:c r="Y63" s="399"/>
      <x:c r="Z63" s="399"/>
      <x:c r="AA63" s="399"/>
      <x:c r="AB63" s="399"/>
      <x:c r="AC63" s="399"/>
      <x:c r="AD63" s="399"/>
      <x:c r="AE63" s="399"/>
      <x:c r="AF63" s="399"/>
      <x:c r="AG63" s="399"/>
      <x:c r="AH63" s="399"/>
      <x:c r="AI63" s="399"/>
      <x:c r="AJ63" s="399"/>
      <x:c r="AK63" s="399"/>
      <x:c r="AL63" s="399"/>
      <x:c r="AM63" s="399"/>
      <x:c r="AN63" s="399"/>
    </x:row>
    <x:row r="64">
      <x:c r="A64" s="399"/>
      <x:c r="B64" s="399"/>
      <x:c r="C64" s="399"/>
      <x:c r="D64" s="399"/>
      <x:c r="E64" s="399"/>
      <x:c r="F64" s="399"/>
      <x:c r="G64" s="399"/>
      <x:c r="H64" s="399"/>
      <x:c r="I64" s="399"/>
      <x:c r="J64" s="399"/>
      <x:c r="K64" s="399"/>
      <x:c r="L64" s="399"/>
      <x:c r="M64" s="399"/>
      <x:c r="N64" s="399"/>
      <x:c r="O64" s="399"/>
      <x:c r="P64" s="399"/>
      <x:c r="Q64" s="399"/>
      <x:c r="R64" s="399"/>
      <x:c r="S64" s="399"/>
      <x:c r="T64" s="399"/>
      <x:c r="U64" s="399"/>
      <x:c r="V64" s="399"/>
      <x:c r="W64" s="399"/>
      <x:c r="X64" s="399"/>
      <x:c r="Y64" s="399"/>
      <x:c r="Z64" s="399"/>
      <x:c r="AA64" s="399"/>
      <x:c r="AB64" s="399"/>
      <x:c r="AC64" s="399"/>
      <x:c r="AD64" s="399"/>
      <x:c r="AE64" s="399"/>
      <x:c r="AF64" s="399"/>
      <x:c r="AG64" s="399"/>
      <x:c r="AH64" s="399"/>
      <x:c r="AI64" s="399"/>
      <x:c r="AJ64" s="399"/>
      <x:c r="AK64" s="399"/>
      <x:c r="AL64" s="399"/>
      <x:c r="AM64" s="399"/>
      <x:c r="AN64" s="399"/>
    </x:row>
    <x:row r="65">
      <x:c r="A65" s="399"/>
      <x:c r="B65" s="399"/>
      <x:c r="C65" s="399"/>
      <x:c r="D65" s="399"/>
      <x:c r="E65" s="399"/>
      <x:c r="F65" s="399"/>
      <x:c r="G65" s="399"/>
      <x:c r="H65" s="399"/>
      <x:c r="I65" s="399"/>
      <x:c r="J65" s="399"/>
      <x:c r="K65" s="399"/>
      <x:c r="L65" s="399"/>
      <x:c r="M65" s="399"/>
      <x:c r="N65" s="399"/>
      <x:c r="O65" s="399"/>
      <x:c r="P65" s="399"/>
      <x:c r="Q65" s="399"/>
      <x:c r="R65" s="399"/>
      <x:c r="S65" s="399"/>
      <x:c r="T65" s="399"/>
      <x:c r="U65" s="399"/>
      <x:c r="V65" s="399"/>
      <x:c r="W65" s="399"/>
      <x:c r="X65" s="399"/>
      <x:c r="Y65" s="399"/>
      <x:c r="Z65" s="399"/>
      <x:c r="AA65" s="399"/>
      <x:c r="AB65" s="399"/>
      <x:c r="AC65" s="399"/>
      <x:c r="AD65" s="399"/>
      <x:c r="AE65" s="399"/>
      <x:c r="AF65" s="399"/>
      <x:c r="AG65" s="399"/>
      <x:c r="AH65" s="399"/>
      <x:c r="AI65" s="399"/>
      <x:c r="AJ65" s="399"/>
      <x:c r="AK65" s="399"/>
      <x:c r="AL65" s="399"/>
      <x:c r="AM65" s="399"/>
      <x:c r="AN65" s="399"/>
    </x:row>
    <x:row r="66">
      <x:c r="A66" s="399"/>
      <x:c r="B66" s="399"/>
      <x:c r="C66" s="399"/>
      <x:c r="D66" s="399"/>
      <x:c r="E66" s="399"/>
      <x:c r="F66" s="399"/>
      <x:c r="G66" s="399"/>
      <x:c r="H66" s="399"/>
      <x:c r="I66" s="399"/>
      <x:c r="J66" s="399"/>
      <x:c r="K66" s="399"/>
      <x:c r="L66" s="399"/>
      <x:c r="M66" s="399"/>
      <x:c r="N66" s="399"/>
      <x:c r="O66" s="399"/>
      <x:c r="P66" s="399"/>
      <x:c r="Q66" s="399"/>
      <x:c r="R66" s="399"/>
      <x:c r="S66" s="399"/>
      <x:c r="T66" s="399"/>
      <x:c r="U66" s="399"/>
      <x:c r="V66" s="399"/>
      <x:c r="W66" s="399"/>
      <x:c r="X66" s="399"/>
      <x:c r="Y66" s="399"/>
      <x:c r="Z66" s="399"/>
      <x:c r="AA66" s="399"/>
      <x:c r="AB66" s="399"/>
      <x:c r="AC66" s="399"/>
      <x:c r="AD66" s="399"/>
      <x:c r="AE66" s="399"/>
      <x:c r="AF66" s="399"/>
      <x:c r="AG66" s="399"/>
      <x:c r="AH66" s="399"/>
      <x:c r="AI66" s="399"/>
      <x:c r="AJ66" s="399"/>
      <x:c r="AK66" s="399"/>
      <x:c r="AL66" s="399"/>
      <x:c r="AM66" s="399"/>
      <x:c r="AN66" s="399"/>
    </x:row>
    <x:row r="67">
      <x:c r="A67" s="399"/>
      <x:c r="B67" s="399"/>
      <x:c r="C67" s="399"/>
      <x:c r="D67" s="399"/>
      <x:c r="E67" s="399"/>
      <x:c r="F67" s="399"/>
      <x:c r="G67" s="399"/>
      <x:c r="H67" s="399"/>
      <x:c r="I67" s="399"/>
      <x:c r="J67" s="399"/>
      <x:c r="K67" s="399"/>
      <x:c r="L67" s="399"/>
      <x:c r="M67" s="399"/>
      <x:c r="N67" s="399"/>
      <x:c r="O67" s="399"/>
      <x:c r="P67" s="399"/>
      <x:c r="Q67" s="399"/>
      <x:c r="R67" s="399"/>
      <x:c r="S67" s="399"/>
      <x:c r="T67" s="399"/>
      <x:c r="U67" s="399"/>
      <x:c r="V67" s="399"/>
      <x:c r="W67" s="399"/>
      <x:c r="X67" s="399"/>
      <x:c r="Y67" s="399"/>
      <x:c r="Z67" s="399"/>
      <x:c r="AA67" s="399"/>
      <x:c r="AB67" s="399"/>
      <x:c r="AC67" s="399"/>
      <x:c r="AD67" s="399"/>
      <x:c r="AE67" s="399"/>
      <x:c r="AF67" s="399"/>
      <x:c r="AG67" s="399"/>
      <x:c r="AH67" s="399"/>
      <x:c r="AI67" s="399"/>
      <x:c r="AJ67" s="399"/>
      <x:c r="AK67" s="399"/>
      <x:c r="AL67" s="399"/>
      <x:c r="AM67" s="399"/>
      <x:c r="AN67" s="399"/>
    </x:row>
    <x:row r="68">
      <x:c r="A68" s="399"/>
      <x:c r="B68" s="399"/>
      <x:c r="C68" s="399"/>
      <x:c r="D68" s="399"/>
      <x:c r="E68" s="399"/>
      <x:c r="F68" s="399"/>
      <x:c r="G68" s="399"/>
      <x:c r="H68" s="399"/>
      <x:c r="I68" s="399"/>
      <x:c r="J68" s="399"/>
      <x:c r="K68" s="399"/>
      <x:c r="L68" s="399"/>
      <x:c r="M68" s="399"/>
      <x:c r="N68" s="399"/>
      <x:c r="O68" s="399"/>
      <x:c r="P68" s="399"/>
      <x:c r="Q68" s="399"/>
      <x:c r="R68" s="399"/>
      <x:c r="S68" s="399"/>
      <x:c r="T68" s="399"/>
      <x:c r="U68" s="399"/>
      <x:c r="V68" s="399"/>
      <x:c r="W68" s="399"/>
      <x:c r="X68" s="399"/>
      <x:c r="Y68" s="399"/>
      <x:c r="Z68" s="399"/>
      <x:c r="AA68" s="399"/>
      <x:c r="AB68" s="399"/>
      <x:c r="AC68" s="399"/>
      <x:c r="AD68" s="399"/>
      <x:c r="AE68" s="399"/>
      <x:c r="AF68" s="399"/>
      <x:c r="AG68" s="399"/>
      <x:c r="AH68" s="399"/>
      <x:c r="AI68" s="399"/>
      <x:c r="AJ68" s="399"/>
      <x:c r="AK68" s="399"/>
      <x:c r="AL68" s="399"/>
      <x:c r="AM68" s="399"/>
      <x:c r="AN68" s="399"/>
    </x:row>
    <x:row r="69">
      <x:c r="A69" s="399"/>
      <x:c r="B69" s="399"/>
      <x:c r="C69" s="399"/>
      <x:c r="D69" s="399"/>
      <x:c r="E69" s="399"/>
      <x:c r="F69" s="399"/>
      <x:c r="G69" s="399"/>
      <x:c r="H69" s="399"/>
      <x:c r="I69" s="399"/>
      <x:c r="J69" s="399"/>
      <x:c r="K69" s="399"/>
      <x:c r="L69" s="399"/>
      <x:c r="M69" s="399"/>
      <x:c r="N69" s="399"/>
      <x:c r="O69" s="399"/>
      <x:c r="P69" s="399"/>
      <x:c r="Q69" s="399"/>
      <x:c r="R69" s="399"/>
      <x:c r="S69" s="399"/>
      <x:c r="T69" s="399"/>
      <x:c r="U69" s="399"/>
      <x:c r="V69" s="399"/>
      <x:c r="W69" s="399"/>
      <x:c r="X69" s="399"/>
      <x:c r="Y69" s="399"/>
      <x:c r="Z69" s="399"/>
      <x:c r="AA69" s="399"/>
      <x:c r="AB69" s="399"/>
      <x:c r="AC69" s="399"/>
      <x:c r="AD69" s="399"/>
      <x:c r="AE69" s="399"/>
      <x:c r="AF69" s="399"/>
      <x:c r="AG69" s="399"/>
      <x:c r="AH69" s="399"/>
      <x:c r="AI69" s="399"/>
      <x:c r="AJ69" s="399"/>
      <x:c r="AK69" s="399"/>
      <x:c r="AL69" s="399"/>
      <x:c r="AM69" s="399"/>
      <x:c r="AN69" s="399"/>
    </x:row>
    <x:row r="70">
      <x:c r="A70" s="399"/>
      <x:c r="B70" s="399"/>
      <x:c r="C70" s="399"/>
      <x:c r="D70" s="399"/>
      <x:c r="E70" s="399"/>
      <x:c r="F70" s="399"/>
      <x:c r="G70" s="399"/>
      <x:c r="H70" s="399"/>
      <x:c r="I70" s="399"/>
      <x:c r="J70" s="399"/>
      <x:c r="K70" s="399"/>
      <x:c r="L70" s="399"/>
      <x:c r="M70" s="399"/>
      <x:c r="N70" s="399"/>
      <x:c r="O70" s="399"/>
      <x:c r="P70" s="399"/>
      <x:c r="Q70" s="399"/>
      <x:c r="R70" s="399"/>
      <x:c r="S70" s="399"/>
      <x:c r="T70" s="399"/>
      <x:c r="U70" s="399"/>
      <x:c r="V70" s="399"/>
      <x:c r="W70" s="399"/>
      <x:c r="X70" s="399"/>
      <x:c r="Y70" s="399"/>
      <x:c r="Z70" s="399"/>
      <x:c r="AA70" s="399"/>
      <x:c r="AB70" s="399"/>
      <x:c r="AC70" s="399"/>
      <x:c r="AD70" s="399"/>
      <x:c r="AE70" s="399"/>
      <x:c r="AF70" s="399"/>
      <x:c r="AG70" s="399"/>
      <x:c r="AH70" s="399"/>
      <x:c r="AI70" s="399"/>
      <x:c r="AJ70" s="399"/>
      <x:c r="AK70" s="399"/>
      <x:c r="AL70" s="399"/>
      <x:c r="AM70" s="399"/>
      <x:c r="AN70" s="399"/>
    </x:row>
    <x:row r="71">
      <x:c r="A71" s="399"/>
      <x:c r="B71" s="399"/>
      <x:c r="C71" s="399"/>
      <x:c r="D71" s="399"/>
      <x:c r="E71" s="399"/>
      <x:c r="F71" s="399"/>
      <x:c r="G71" s="399"/>
      <x:c r="H71" s="399"/>
      <x:c r="I71" s="399"/>
      <x:c r="J71" s="399"/>
      <x:c r="K71" s="399"/>
      <x:c r="L71" s="399"/>
      <x:c r="M71" s="399"/>
      <x:c r="N71" s="399"/>
      <x:c r="O71" s="399"/>
      <x:c r="P71" s="399"/>
      <x:c r="Q71" s="399"/>
      <x:c r="R71" s="399"/>
      <x:c r="S71" s="399"/>
      <x:c r="T71" s="399"/>
      <x:c r="U71" s="399"/>
      <x:c r="V71" s="399"/>
      <x:c r="W71" s="399"/>
      <x:c r="X71" s="399"/>
      <x:c r="Y71" s="399"/>
      <x:c r="Z71" s="399"/>
      <x:c r="AA71" s="399"/>
      <x:c r="AB71" s="399"/>
      <x:c r="AC71" s="399"/>
      <x:c r="AD71" s="399"/>
      <x:c r="AE71" s="399"/>
      <x:c r="AF71" s="399"/>
      <x:c r="AG71" s="399"/>
      <x:c r="AH71" s="399"/>
      <x:c r="AI71" s="399"/>
      <x:c r="AJ71" s="399"/>
      <x:c r="AK71" s="399"/>
      <x:c r="AL71" s="399"/>
      <x:c r="AM71" s="399"/>
      <x:c r="AN71" s="399"/>
    </x:row>
    <x:row r="72">
      <x:c r="A72" s="399"/>
      <x:c r="B72" s="399"/>
      <x:c r="C72" s="399"/>
      <x:c r="D72" s="399"/>
      <x:c r="E72" s="399"/>
      <x:c r="F72" s="399"/>
      <x:c r="G72" s="399"/>
      <x:c r="H72" s="399"/>
      <x:c r="I72" s="399"/>
      <x:c r="J72" s="399"/>
      <x:c r="K72" s="399"/>
      <x:c r="L72" s="399"/>
      <x:c r="M72" s="399"/>
      <x:c r="N72" s="399"/>
      <x:c r="O72" s="399"/>
      <x:c r="P72" s="399"/>
      <x:c r="Q72" s="399"/>
      <x:c r="R72" s="399"/>
      <x:c r="S72" s="399"/>
      <x:c r="T72" s="399"/>
      <x:c r="U72" s="399"/>
      <x:c r="V72" s="399"/>
      <x:c r="W72" s="399"/>
      <x:c r="X72" s="399"/>
      <x:c r="Y72" s="399"/>
      <x:c r="Z72" s="399"/>
      <x:c r="AA72" s="399"/>
      <x:c r="AB72" s="399"/>
      <x:c r="AC72" s="399"/>
      <x:c r="AD72" s="399"/>
      <x:c r="AE72" s="399"/>
      <x:c r="AF72" s="399"/>
      <x:c r="AG72" s="399"/>
      <x:c r="AH72" s="399"/>
      <x:c r="AI72" s="399"/>
      <x:c r="AJ72" s="399"/>
      <x:c r="AK72" s="399"/>
      <x:c r="AL72" s="399"/>
      <x:c r="AM72" s="399"/>
      <x:c r="AN72" s="399"/>
    </x:row>
    <x:row r="73">
      <x:c r="A73" s="399"/>
      <x:c r="B73" s="399"/>
      <x:c r="C73" s="399"/>
      <x:c r="D73" s="399"/>
      <x:c r="E73" s="399"/>
      <x:c r="F73" s="399"/>
      <x:c r="G73" s="399"/>
      <x:c r="H73" s="399"/>
      <x:c r="I73" s="399"/>
      <x:c r="J73" s="399"/>
      <x:c r="K73" s="399"/>
      <x:c r="L73" s="399"/>
      <x:c r="M73" s="399"/>
      <x:c r="N73" s="399"/>
      <x:c r="O73" s="399"/>
      <x:c r="P73" s="399"/>
      <x:c r="Q73" s="399"/>
      <x:c r="R73" s="399"/>
      <x:c r="S73" s="399"/>
      <x:c r="T73" s="399"/>
      <x:c r="U73" s="399"/>
      <x:c r="V73" s="399"/>
      <x:c r="W73" s="399"/>
      <x:c r="X73" s="399"/>
      <x:c r="Y73" s="399"/>
      <x:c r="Z73" s="399"/>
      <x:c r="AA73" s="399"/>
      <x:c r="AB73" s="399"/>
      <x:c r="AC73" s="399"/>
      <x:c r="AD73" s="399"/>
      <x:c r="AE73" s="399"/>
      <x:c r="AF73" s="399"/>
      <x:c r="AG73" s="399"/>
      <x:c r="AH73" s="399"/>
      <x:c r="AI73" s="399"/>
      <x:c r="AJ73" s="399"/>
      <x:c r="AK73" s="399"/>
      <x:c r="AL73" s="399"/>
      <x:c r="AM73" s="399"/>
      <x:c r="AN73" s="399"/>
    </x:row>
    <x:row r="74">
      <x:c r="A74" s="399"/>
      <x:c r="B74" s="399"/>
      <x:c r="C74" s="399"/>
      <x:c r="D74" s="399"/>
      <x:c r="E74" s="399"/>
      <x:c r="F74" s="399"/>
      <x:c r="G74" s="399"/>
      <x:c r="H74" s="399"/>
      <x:c r="I74" s="399"/>
      <x:c r="J74" s="399"/>
      <x:c r="K74" s="399"/>
      <x:c r="L74" s="399"/>
      <x:c r="M74" s="399"/>
      <x:c r="N74" s="399"/>
      <x:c r="O74" s="399"/>
      <x:c r="P74" s="399"/>
      <x:c r="Q74" s="399"/>
      <x:c r="R74" s="399"/>
      <x:c r="S74" s="399"/>
      <x:c r="T74" s="399"/>
      <x:c r="U74" s="399"/>
      <x:c r="V74" s="399"/>
      <x:c r="W74" s="399"/>
      <x:c r="X74" s="399"/>
      <x:c r="Y74" s="399"/>
      <x:c r="Z74" s="399"/>
      <x:c r="AA74" s="399"/>
      <x:c r="AB74" s="399"/>
      <x:c r="AC74" s="399"/>
      <x:c r="AD74" s="399"/>
      <x:c r="AE74" s="399"/>
      <x:c r="AF74" s="399"/>
      <x:c r="AG74" s="399"/>
      <x:c r="AH74" s="399"/>
      <x:c r="AI74" s="399"/>
      <x:c r="AJ74" s="399"/>
      <x:c r="AK74" s="399"/>
      <x:c r="AL74" s="399"/>
      <x:c r="AM74" s="399"/>
      <x:c r="AN74" s="399"/>
    </x:row>
    <x:row r="75">
      <x:c r="A75" s="399"/>
      <x:c r="B75" s="399"/>
      <x:c r="C75" s="399"/>
      <x:c r="D75" s="399"/>
      <x:c r="E75" s="399"/>
      <x:c r="F75" s="399"/>
      <x:c r="G75" s="399"/>
      <x:c r="H75" s="399"/>
      <x:c r="I75" s="399"/>
      <x:c r="J75" s="399"/>
      <x:c r="K75" s="399"/>
      <x:c r="L75" s="399"/>
      <x:c r="M75" s="399"/>
      <x:c r="N75" s="399"/>
      <x:c r="O75" s="399"/>
      <x:c r="P75" s="399"/>
      <x:c r="Q75" s="399"/>
      <x:c r="R75" s="399"/>
      <x:c r="S75" s="399"/>
      <x:c r="T75" s="399"/>
      <x:c r="U75" s="399"/>
      <x:c r="V75" s="399"/>
      <x:c r="W75" s="399"/>
      <x:c r="X75" s="399"/>
      <x:c r="Y75" s="399"/>
      <x:c r="Z75" s="399"/>
      <x:c r="AA75" s="399"/>
      <x:c r="AB75" s="399"/>
      <x:c r="AC75" s="399"/>
      <x:c r="AD75" s="399"/>
      <x:c r="AE75" s="399"/>
      <x:c r="AF75" s="399"/>
      <x:c r="AG75" s="399"/>
      <x:c r="AH75" s="399"/>
      <x:c r="AI75" s="399"/>
      <x:c r="AJ75" s="399"/>
      <x:c r="AK75" s="399"/>
      <x:c r="AL75" s="399"/>
      <x:c r="AM75" s="399"/>
      <x:c r="AN75" s="399"/>
    </x:row>
    <x:row r="76">
      <x:c r="A76" s="399"/>
      <x:c r="B76" s="399"/>
      <x:c r="C76" s="399"/>
      <x:c r="D76" s="399"/>
      <x:c r="E76" s="399"/>
      <x:c r="F76" s="399"/>
      <x:c r="G76" s="399"/>
      <x:c r="H76" s="399"/>
      <x:c r="I76" s="399"/>
      <x:c r="J76" s="399"/>
      <x:c r="K76" s="399"/>
      <x:c r="L76" s="399"/>
      <x:c r="M76" s="399"/>
      <x:c r="N76" s="399"/>
      <x:c r="O76" s="399"/>
      <x:c r="P76" s="399"/>
      <x:c r="Q76" s="399"/>
      <x:c r="R76" s="399"/>
      <x:c r="S76" s="399"/>
      <x:c r="T76" s="399"/>
      <x:c r="U76" s="399"/>
      <x:c r="V76" s="399"/>
      <x:c r="W76" s="399"/>
      <x:c r="X76" s="399"/>
      <x:c r="Y76" s="399"/>
      <x:c r="Z76" s="399"/>
      <x:c r="AA76" s="399"/>
      <x:c r="AB76" s="399"/>
      <x:c r="AC76" s="399"/>
      <x:c r="AD76" s="399"/>
      <x:c r="AE76" s="399"/>
      <x:c r="AF76" s="399"/>
      <x:c r="AG76" s="399"/>
      <x:c r="AH76" s="399"/>
      <x:c r="AI76" s="399"/>
      <x:c r="AJ76" s="399"/>
      <x:c r="AK76" s="399"/>
      <x:c r="AL76" s="399"/>
      <x:c r="AM76" s="399"/>
      <x:c r="AN76" s="399"/>
    </x:row>
    <x:row r="77">
      <x:c r="A77" s="399"/>
      <x:c r="B77" s="399"/>
      <x:c r="C77" s="399"/>
      <x:c r="D77" s="399"/>
      <x:c r="E77" s="399"/>
      <x:c r="F77" s="399"/>
      <x:c r="G77" s="399"/>
      <x:c r="H77" s="399"/>
      <x:c r="I77" s="399"/>
      <x:c r="J77" s="399"/>
      <x:c r="K77" s="399"/>
      <x:c r="L77" s="399"/>
      <x:c r="M77" s="399"/>
      <x:c r="N77" s="399"/>
      <x:c r="O77" s="399"/>
      <x:c r="P77" s="399"/>
      <x:c r="Q77" s="399"/>
      <x:c r="R77" s="399"/>
      <x:c r="S77" s="399"/>
      <x:c r="T77" s="399"/>
      <x:c r="U77" s="399"/>
      <x:c r="V77" s="399"/>
      <x:c r="W77" s="399"/>
      <x:c r="X77" s="399"/>
      <x:c r="Y77" s="399"/>
      <x:c r="Z77" s="399"/>
      <x:c r="AA77" s="399"/>
      <x:c r="AB77" s="399"/>
      <x:c r="AC77" s="399"/>
      <x:c r="AD77" s="399"/>
      <x:c r="AE77" s="399"/>
      <x:c r="AF77" s="399"/>
      <x:c r="AG77" s="399"/>
      <x:c r="AH77" s="399"/>
      <x:c r="AI77" s="399"/>
      <x:c r="AJ77" s="399"/>
      <x:c r="AK77" s="399"/>
      <x:c r="AL77" s="399"/>
      <x:c r="AM77" s="399"/>
      <x:c r="AN77" s="399"/>
    </x:row>
    <x:row r="78">
      <x:c r="A78" s="399"/>
      <x:c r="B78" s="399"/>
      <x:c r="C78" s="399"/>
      <x:c r="D78" s="399"/>
      <x:c r="E78" s="399"/>
      <x:c r="F78" s="399"/>
      <x:c r="G78" s="399"/>
      <x:c r="H78" s="399"/>
      <x:c r="I78" s="399"/>
      <x:c r="J78" s="399"/>
      <x:c r="K78" s="399"/>
      <x:c r="L78" s="399"/>
      <x:c r="M78" s="399"/>
      <x:c r="N78" s="399"/>
      <x:c r="O78" s="399"/>
      <x:c r="P78" s="399"/>
      <x:c r="Q78" s="399"/>
      <x:c r="R78" s="399"/>
      <x:c r="S78" s="399"/>
      <x:c r="T78" s="399"/>
      <x:c r="U78" s="399"/>
      <x:c r="V78" s="399"/>
      <x:c r="W78" s="399"/>
      <x:c r="X78" s="399"/>
      <x:c r="Y78" s="399"/>
      <x:c r="Z78" s="399"/>
      <x:c r="AA78" s="399"/>
      <x:c r="AB78" s="399"/>
      <x:c r="AC78" s="399"/>
      <x:c r="AD78" s="399"/>
      <x:c r="AE78" s="399"/>
      <x:c r="AF78" s="399"/>
      <x:c r="AG78" s="399"/>
      <x:c r="AH78" s="399"/>
      <x:c r="AI78" s="399"/>
      <x:c r="AJ78" s="399"/>
      <x:c r="AK78" s="399"/>
      <x:c r="AL78" s="399"/>
      <x:c r="AM78" s="399"/>
      <x:c r="AN78" s="399"/>
    </x:row>
    <x:row r="79">
      <x:c r="A79" s="399"/>
      <x:c r="B79" s="399"/>
      <x:c r="C79" s="399"/>
      <x:c r="D79" s="399"/>
      <x:c r="E79" s="399"/>
      <x:c r="F79" s="399"/>
      <x:c r="G79" s="399"/>
      <x:c r="H79" s="399"/>
      <x:c r="I79" s="399"/>
      <x:c r="J79" s="399"/>
      <x:c r="K79" s="399"/>
      <x:c r="L79" s="399"/>
      <x:c r="M79" s="399"/>
      <x:c r="N79" s="399"/>
      <x:c r="O79" s="399"/>
      <x:c r="P79" s="399"/>
      <x:c r="Q79" s="399"/>
      <x:c r="R79" s="399"/>
      <x:c r="S79" s="399"/>
      <x:c r="T79" s="399"/>
      <x:c r="U79" s="399"/>
      <x:c r="V79" s="399"/>
      <x:c r="W79" s="399"/>
      <x:c r="X79" s="399"/>
      <x:c r="Y79" s="399"/>
      <x:c r="Z79" s="399"/>
      <x:c r="AA79" s="399"/>
      <x:c r="AB79" s="399"/>
      <x:c r="AC79" s="399"/>
      <x:c r="AD79" s="399"/>
      <x:c r="AE79" s="399"/>
      <x:c r="AF79" s="399"/>
      <x:c r="AG79" s="399"/>
      <x:c r="AH79" s="399"/>
      <x:c r="AI79" s="399"/>
      <x:c r="AJ79" s="399"/>
      <x:c r="AK79" s="399"/>
      <x:c r="AL79" s="399"/>
      <x:c r="AM79" s="399"/>
      <x:c r="AN79" s="399"/>
    </x:row>
    <x:row r="80">
      <x:c r="A80" s="399"/>
      <x:c r="B80" s="399"/>
      <x:c r="C80" s="399"/>
      <x:c r="D80" s="399"/>
      <x:c r="E80" s="399"/>
      <x:c r="F80" s="399"/>
      <x:c r="G80" s="399"/>
      <x:c r="H80" s="399"/>
      <x:c r="I80" s="399"/>
      <x:c r="J80" s="399"/>
      <x:c r="K80" s="399"/>
      <x:c r="L80" s="399"/>
      <x:c r="M80" s="399"/>
      <x:c r="N80" s="399"/>
      <x:c r="O80" s="399"/>
      <x:c r="P80" s="399"/>
      <x:c r="Q80" s="399"/>
      <x:c r="R80" s="399"/>
      <x:c r="S80" s="399"/>
      <x:c r="T80" s="399"/>
      <x:c r="U80" s="399"/>
      <x:c r="V80" s="399"/>
      <x:c r="W80" s="399"/>
      <x:c r="X80" s="399"/>
      <x:c r="Y80" s="399"/>
      <x:c r="Z80" s="399"/>
      <x:c r="AA80" s="399"/>
      <x:c r="AB80" s="399"/>
      <x:c r="AC80" s="399"/>
      <x:c r="AD80" s="399"/>
      <x:c r="AE80" s="399"/>
      <x:c r="AF80" s="399"/>
      <x:c r="AG80" s="399"/>
      <x:c r="AH80" s="399"/>
      <x:c r="AI80" s="399"/>
      <x:c r="AJ80" s="399"/>
      <x:c r="AK80" s="399"/>
      <x:c r="AL80" s="399"/>
      <x:c r="AM80" s="399"/>
      <x:c r="AN80" s="399"/>
    </x:row>
    <x:row r="81">
      <x:c r="A81" s="399"/>
      <x:c r="B81" s="399"/>
      <x:c r="C81" s="399"/>
      <x:c r="D81" s="399"/>
      <x:c r="E81" s="399"/>
      <x:c r="F81" s="399"/>
      <x:c r="G81" s="399"/>
      <x:c r="H81" s="399"/>
      <x:c r="I81" s="399"/>
      <x:c r="J81" s="399"/>
      <x:c r="K81" s="399"/>
      <x:c r="L81" s="399"/>
      <x:c r="M81" s="399"/>
      <x:c r="N81" s="399"/>
      <x:c r="O81" s="399"/>
      <x:c r="P81" s="399"/>
      <x:c r="Q81" s="399"/>
      <x:c r="R81" s="399"/>
      <x:c r="S81" s="399"/>
      <x:c r="T81" s="399"/>
      <x:c r="U81" s="399"/>
      <x:c r="V81" s="399"/>
      <x:c r="W81" s="399"/>
      <x:c r="X81" s="399"/>
      <x:c r="Y81" s="399"/>
      <x:c r="Z81" s="399"/>
      <x:c r="AA81" s="399"/>
      <x:c r="AB81" s="399"/>
      <x:c r="AC81" s="399"/>
      <x:c r="AD81" s="399"/>
      <x:c r="AE81" s="399"/>
      <x:c r="AF81" s="399"/>
      <x:c r="AG81" s="399"/>
      <x:c r="AH81" s="399"/>
      <x:c r="AI81" s="399"/>
      <x:c r="AJ81" s="399"/>
      <x:c r="AK81" s="399"/>
      <x:c r="AL81" s="399"/>
      <x:c r="AM81" s="399"/>
      <x:c r="AN81" s="399"/>
    </x:row>
    <x:row r="82">
      <x:c r="A82" s="399"/>
      <x:c r="B82" s="399"/>
      <x:c r="C82" s="399"/>
      <x:c r="D82" s="399"/>
      <x:c r="E82" s="399"/>
      <x:c r="F82" s="399"/>
      <x:c r="G82" s="399"/>
      <x:c r="H82" s="399"/>
      <x:c r="I82" s="399"/>
      <x:c r="J82" s="399"/>
      <x:c r="K82" s="399"/>
      <x:c r="L82" s="399"/>
      <x:c r="M82" s="399"/>
      <x:c r="N82" s="399"/>
      <x:c r="O82" s="399"/>
      <x:c r="P82" s="399"/>
      <x:c r="Q82" s="399"/>
      <x:c r="R82" s="399"/>
      <x:c r="S82" s="399"/>
      <x:c r="T82" s="399"/>
      <x:c r="U82" s="399"/>
      <x:c r="V82" s="399"/>
      <x:c r="W82" s="399"/>
      <x:c r="X82" s="399"/>
      <x:c r="Y82" s="399"/>
      <x:c r="Z82" s="399"/>
      <x:c r="AA82" s="399"/>
      <x:c r="AB82" s="399"/>
      <x:c r="AC82" s="399"/>
      <x:c r="AD82" s="399"/>
      <x:c r="AE82" s="399"/>
      <x:c r="AF82" s="399"/>
      <x:c r="AG82" s="399"/>
      <x:c r="AH82" s="399"/>
      <x:c r="AI82" s="399"/>
      <x:c r="AJ82" s="399"/>
      <x:c r="AK82" s="399"/>
      <x:c r="AL82" s="399"/>
      <x:c r="AM82" s="399"/>
      <x:c r="AN82" s="399"/>
    </x:row>
    <x:row r="83">
      <x:c r="A83" s="399"/>
      <x:c r="B83" s="399"/>
      <x:c r="C83" s="399"/>
      <x:c r="D83" s="399"/>
      <x:c r="E83" s="399"/>
      <x:c r="F83" s="399"/>
      <x:c r="G83" s="399"/>
      <x:c r="H83" s="399"/>
      <x:c r="I83" s="399"/>
      <x:c r="J83" s="399"/>
      <x:c r="K83" s="399"/>
      <x:c r="L83" s="399"/>
      <x:c r="M83" s="399"/>
      <x:c r="N83" s="399"/>
      <x:c r="O83" s="399"/>
      <x:c r="P83" s="399"/>
      <x:c r="Q83" s="399"/>
      <x:c r="R83" s="399"/>
      <x:c r="S83" s="399"/>
      <x:c r="T83" s="399"/>
      <x:c r="U83" s="399"/>
      <x:c r="V83" s="399"/>
      <x:c r="W83" s="399"/>
      <x:c r="X83" s="399"/>
      <x:c r="Y83" s="399"/>
      <x:c r="Z83" s="399"/>
      <x:c r="AA83" s="399"/>
      <x:c r="AB83" s="399"/>
      <x:c r="AC83" s="399"/>
      <x:c r="AD83" s="399"/>
      <x:c r="AE83" s="399"/>
      <x:c r="AF83" s="399"/>
      <x:c r="AG83" s="399"/>
      <x:c r="AH83" s="399"/>
      <x:c r="AI83" s="399"/>
      <x:c r="AJ83" s="399"/>
      <x:c r="AK83" s="399"/>
      <x:c r="AL83" s="399"/>
      <x:c r="AM83" s="399"/>
      <x:c r="AN83" s="399"/>
    </x:row>
    <x:row r="84">
      <x:c r="A84" s="399"/>
      <x:c r="B84" s="399"/>
      <x:c r="C84" s="399"/>
      <x:c r="D84" s="399"/>
      <x:c r="E84" s="399"/>
      <x:c r="F84" s="399"/>
      <x:c r="G84" s="399"/>
      <x:c r="H84" s="399"/>
      <x:c r="I84" s="399"/>
      <x:c r="J84" s="399"/>
      <x:c r="K84" s="399"/>
      <x:c r="L84" s="399"/>
      <x:c r="M84" s="399"/>
      <x:c r="N84" s="399"/>
      <x:c r="O84" s="399"/>
      <x:c r="P84" s="399"/>
      <x:c r="Q84" s="399"/>
      <x:c r="R84" s="399"/>
      <x:c r="S84" s="399"/>
      <x:c r="T84" s="399"/>
      <x:c r="U84" s="399"/>
      <x:c r="V84" s="399"/>
      <x:c r="W84" s="399"/>
      <x:c r="X84" s="399"/>
      <x:c r="Y84" s="399"/>
      <x:c r="Z84" s="399"/>
      <x:c r="AA84" s="399"/>
      <x:c r="AB84" s="399"/>
      <x:c r="AC84" s="399"/>
      <x:c r="AD84" s="399"/>
      <x:c r="AE84" s="399"/>
      <x:c r="AF84" s="399"/>
      <x:c r="AG84" s="399"/>
      <x:c r="AH84" s="399"/>
      <x:c r="AI84" s="399"/>
      <x:c r="AJ84" s="399"/>
      <x:c r="AK84" s="399"/>
      <x:c r="AL84" s="399"/>
      <x:c r="AM84" s="399"/>
      <x:c r="AN84" s="399"/>
    </x:row>
    <x:row r="85">
      <x:c r="A85" s="399"/>
      <x:c r="B85" s="399"/>
      <x:c r="C85" s="399"/>
      <x:c r="D85" s="399"/>
      <x:c r="E85" s="399"/>
      <x:c r="F85" s="399"/>
      <x:c r="G85" s="399"/>
      <x:c r="H85" s="399"/>
      <x:c r="I85" s="399"/>
      <x:c r="J85" s="399"/>
      <x:c r="K85" s="399"/>
      <x:c r="L85" s="399"/>
      <x:c r="M85" s="399"/>
      <x:c r="N85" s="399"/>
      <x:c r="O85" s="399"/>
      <x:c r="P85" s="399"/>
      <x:c r="Q85" s="399"/>
      <x:c r="R85" s="399"/>
      <x:c r="S85" s="399"/>
      <x:c r="T85" s="399"/>
      <x:c r="U85" s="399"/>
      <x:c r="V85" s="399"/>
      <x:c r="W85" s="399"/>
      <x:c r="X85" s="399"/>
      <x:c r="Y85" s="399"/>
      <x:c r="Z85" s="399"/>
      <x:c r="AA85" s="399"/>
      <x:c r="AB85" s="399"/>
      <x:c r="AC85" s="399"/>
      <x:c r="AD85" s="399"/>
      <x:c r="AE85" s="399"/>
      <x:c r="AF85" s="399"/>
      <x:c r="AG85" s="399"/>
      <x:c r="AH85" s="399"/>
      <x:c r="AI85" s="399"/>
      <x:c r="AJ85" s="399"/>
      <x:c r="AK85" s="399"/>
      <x:c r="AL85" s="399"/>
      <x:c r="AM85" s="399"/>
      <x:c r="AN85" s="399"/>
    </x:row>
    <x:row r="86">
      <x:c r="A86" s="399"/>
      <x:c r="B86" s="399"/>
      <x:c r="C86" s="399"/>
      <x:c r="D86" s="399"/>
      <x:c r="E86" s="399"/>
      <x:c r="F86" s="399"/>
      <x:c r="G86" s="399"/>
      <x:c r="H86" s="399"/>
      <x:c r="I86" s="399"/>
      <x:c r="J86" s="399"/>
      <x:c r="K86" s="399"/>
      <x:c r="L86" s="399"/>
      <x:c r="M86" s="399"/>
      <x:c r="N86" s="399"/>
      <x:c r="O86" s="399"/>
      <x:c r="P86" s="399"/>
      <x:c r="Q86" s="399"/>
      <x:c r="R86" s="399"/>
      <x:c r="S86" s="399"/>
      <x:c r="T86" s="399"/>
      <x:c r="U86" s="399"/>
      <x:c r="V86" s="399"/>
      <x:c r="W86" s="399"/>
      <x:c r="X86" s="399"/>
      <x:c r="Y86" s="399"/>
      <x:c r="Z86" s="399"/>
      <x:c r="AA86" s="399"/>
      <x:c r="AB86" s="399"/>
      <x:c r="AC86" s="399"/>
      <x:c r="AD86" s="399"/>
      <x:c r="AE86" s="399"/>
      <x:c r="AF86" s="399"/>
      <x:c r="AG86" s="399"/>
      <x:c r="AH86" s="399"/>
      <x:c r="AI86" s="399"/>
      <x:c r="AJ86" s="399"/>
      <x:c r="AK86" s="399"/>
      <x:c r="AL86" s="399"/>
      <x:c r="AM86" s="399"/>
      <x:c r="AN86" s="399"/>
    </x:row>
    <x:row r="87">
      <x:c r="A87" s="399"/>
      <x:c r="B87" s="399"/>
      <x:c r="C87" s="399"/>
      <x:c r="D87" s="399"/>
      <x:c r="E87" s="399"/>
      <x:c r="F87" s="399"/>
      <x:c r="G87" s="399"/>
      <x:c r="H87" s="399"/>
      <x:c r="I87" s="399"/>
      <x:c r="J87" s="399"/>
      <x:c r="K87" s="399"/>
      <x:c r="L87" s="399"/>
      <x:c r="M87" s="399"/>
      <x:c r="N87" s="399"/>
      <x:c r="O87" s="399"/>
      <x:c r="P87" s="399"/>
      <x:c r="Q87" s="399"/>
      <x:c r="R87" s="399"/>
      <x:c r="S87" s="399"/>
      <x:c r="T87" s="399"/>
      <x:c r="U87" s="399"/>
      <x:c r="V87" s="399"/>
      <x:c r="W87" s="399"/>
      <x:c r="X87" s="399"/>
      <x:c r="Y87" s="399"/>
      <x:c r="Z87" s="399"/>
      <x:c r="AA87" s="399"/>
      <x:c r="AB87" s="399"/>
      <x:c r="AC87" s="399"/>
      <x:c r="AD87" s="399"/>
      <x:c r="AE87" s="399"/>
      <x:c r="AF87" s="399"/>
      <x:c r="AG87" s="399"/>
      <x:c r="AH87" s="399"/>
      <x:c r="AI87" s="399"/>
      <x:c r="AJ87" s="399"/>
      <x:c r="AK87" s="399"/>
      <x:c r="AL87" s="399"/>
      <x:c r="AM87" s="399"/>
      <x:c r="AN87" s="399"/>
    </x:row>
    <x:row r="88">
      <x:c r="A88" s="399"/>
      <x:c r="B88" s="399"/>
      <x:c r="C88" s="399"/>
      <x:c r="D88" s="399"/>
      <x:c r="E88" s="399"/>
      <x:c r="F88" s="399"/>
      <x:c r="G88" s="399"/>
      <x:c r="H88" s="399"/>
      <x:c r="I88" s="399"/>
      <x:c r="J88" s="399"/>
      <x:c r="K88" s="399"/>
      <x:c r="L88" s="399"/>
      <x:c r="M88" s="399"/>
      <x:c r="N88" s="399"/>
      <x:c r="O88" s="399"/>
      <x:c r="P88" s="399"/>
      <x:c r="Q88" s="399"/>
      <x:c r="R88" s="399"/>
      <x:c r="S88" s="399"/>
      <x:c r="T88" s="399"/>
      <x:c r="U88" s="399"/>
      <x:c r="V88" s="399"/>
      <x:c r="W88" s="399"/>
      <x:c r="X88" s="399"/>
      <x:c r="Y88" s="399"/>
      <x:c r="Z88" s="399"/>
      <x:c r="AA88" s="399"/>
      <x:c r="AB88" s="399"/>
      <x:c r="AC88" s="399"/>
      <x:c r="AD88" s="399"/>
      <x:c r="AE88" s="399"/>
      <x:c r="AF88" s="399"/>
      <x:c r="AG88" s="399"/>
      <x:c r="AH88" s="399"/>
      <x:c r="AI88" s="399"/>
      <x:c r="AJ88" s="399"/>
      <x:c r="AK88" s="399"/>
      <x:c r="AL88" s="399"/>
      <x:c r="AM88" s="399"/>
      <x:c r="AN88" s="399"/>
    </x:row>
    <x:row r="89">
      <x:c r="A89" s="399"/>
      <x:c r="B89" s="399"/>
      <x:c r="C89" s="399"/>
      <x:c r="D89" s="399"/>
      <x:c r="E89" s="399"/>
      <x:c r="F89" s="399"/>
      <x:c r="G89" s="399"/>
      <x:c r="H89" s="399"/>
      <x:c r="I89" s="399"/>
      <x:c r="J89" s="399"/>
      <x:c r="K89" s="399"/>
      <x:c r="L89" s="399"/>
      <x:c r="M89" s="399"/>
      <x:c r="N89" s="399"/>
      <x:c r="O89" s="399"/>
      <x:c r="P89" s="399"/>
      <x:c r="Q89" s="399"/>
      <x:c r="R89" s="399"/>
      <x:c r="S89" s="399"/>
      <x:c r="T89" s="399"/>
      <x:c r="U89" s="399"/>
      <x:c r="V89" s="399"/>
      <x:c r="W89" s="399"/>
      <x:c r="X89" s="399"/>
      <x:c r="Y89" s="399"/>
      <x:c r="Z89" s="399"/>
      <x:c r="AA89" s="399"/>
      <x:c r="AB89" s="399"/>
      <x:c r="AC89" s="399"/>
      <x:c r="AD89" s="399"/>
      <x:c r="AE89" s="399"/>
      <x:c r="AF89" s="399"/>
      <x:c r="AG89" s="399"/>
      <x:c r="AH89" s="399"/>
      <x:c r="AI89" s="399"/>
      <x:c r="AJ89" s="399"/>
      <x:c r="AK89" s="399"/>
      <x:c r="AL89" s="399"/>
      <x:c r="AM89" s="399"/>
      <x:c r="AN89" s="399"/>
    </x:row>
    <x:row r="90">
      <x:c r="A90" s="399"/>
      <x:c r="B90" s="399"/>
      <x:c r="C90" s="399"/>
      <x:c r="D90" s="399"/>
      <x:c r="E90" s="399"/>
      <x:c r="F90" s="399"/>
      <x:c r="G90" s="399"/>
      <x:c r="H90" s="399"/>
      <x:c r="I90" s="399"/>
      <x:c r="J90" s="399"/>
      <x:c r="K90" s="399"/>
      <x:c r="L90" s="399"/>
      <x:c r="M90" s="399"/>
      <x:c r="N90" s="399"/>
      <x:c r="O90" s="399"/>
      <x:c r="P90" s="399"/>
      <x:c r="Q90" s="399"/>
      <x:c r="R90" s="399"/>
      <x:c r="S90" s="399"/>
      <x:c r="T90" s="399"/>
      <x:c r="U90" s="399"/>
      <x:c r="V90" s="399"/>
      <x:c r="W90" s="399"/>
      <x:c r="X90" s="399"/>
      <x:c r="Y90" s="399"/>
      <x:c r="Z90" s="399"/>
      <x:c r="AA90" s="399"/>
      <x:c r="AB90" s="399"/>
      <x:c r="AC90" s="399"/>
      <x:c r="AD90" s="399"/>
      <x:c r="AE90" s="399"/>
      <x:c r="AF90" s="399"/>
      <x:c r="AG90" s="399"/>
      <x:c r="AH90" s="399"/>
      <x:c r="AI90" s="399"/>
      <x:c r="AJ90" s="399"/>
      <x:c r="AK90" s="399"/>
      <x:c r="AL90" s="399"/>
      <x:c r="AM90" s="399"/>
      <x:c r="AN90" s="399"/>
    </x:row>
    <x:row r="91">
      <x:c r="A91" s="399"/>
      <x:c r="B91" s="399"/>
      <x:c r="C91" s="399"/>
      <x:c r="D91" s="399"/>
      <x:c r="E91" s="399"/>
      <x:c r="F91" s="399"/>
      <x:c r="G91" s="399"/>
      <x:c r="H91" s="399"/>
      <x:c r="I91" s="399"/>
      <x:c r="J91" s="399"/>
      <x:c r="K91" s="399"/>
      <x:c r="L91" s="399"/>
      <x:c r="M91" s="399"/>
      <x:c r="N91" s="399"/>
      <x:c r="O91" s="399"/>
      <x:c r="P91" s="399"/>
      <x:c r="Q91" s="399"/>
      <x:c r="R91" s="399"/>
      <x:c r="S91" s="399"/>
      <x:c r="T91" s="399"/>
      <x:c r="U91" s="399"/>
      <x:c r="V91" s="399"/>
      <x:c r="W91" s="399"/>
      <x:c r="X91" s="399"/>
      <x:c r="Y91" s="399"/>
      <x:c r="Z91" s="399"/>
      <x:c r="AA91" s="399"/>
      <x:c r="AB91" s="399"/>
      <x:c r="AC91" s="399"/>
      <x:c r="AD91" s="399"/>
      <x:c r="AE91" s="399"/>
      <x:c r="AF91" s="399"/>
      <x:c r="AG91" s="399"/>
      <x:c r="AH91" s="399"/>
      <x:c r="AI91" s="399"/>
      <x:c r="AJ91" s="399"/>
      <x:c r="AK91" s="399"/>
      <x:c r="AL91" s="399"/>
      <x:c r="AM91" s="399"/>
      <x:c r="AN91" s="399"/>
    </x:row>
    <x:row r="92">
      <x:c r="A92" s="399"/>
      <x:c r="B92" s="399"/>
      <x:c r="C92" s="399"/>
      <x:c r="D92" s="399"/>
      <x:c r="E92" s="399"/>
      <x:c r="F92" s="399"/>
      <x:c r="G92" s="399"/>
      <x:c r="H92" s="399"/>
      <x:c r="I92" s="399"/>
      <x:c r="J92" s="399"/>
      <x:c r="K92" s="399"/>
      <x:c r="L92" s="399"/>
      <x:c r="M92" s="399"/>
      <x:c r="N92" s="399"/>
      <x:c r="O92" s="399"/>
      <x:c r="P92" s="399"/>
      <x:c r="Q92" s="399"/>
      <x:c r="R92" s="399"/>
      <x:c r="S92" s="399"/>
      <x:c r="T92" s="399"/>
      <x:c r="U92" s="399"/>
      <x:c r="V92" s="399"/>
      <x:c r="W92" s="399"/>
      <x:c r="X92" s="399"/>
      <x:c r="Y92" s="399"/>
      <x:c r="Z92" s="399"/>
      <x:c r="AA92" s="399"/>
      <x:c r="AB92" s="399"/>
      <x:c r="AC92" s="399"/>
      <x:c r="AD92" s="399"/>
      <x:c r="AE92" s="399"/>
      <x:c r="AF92" s="399"/>
      <x:c r="AG92" s="399"/>
      <x:c r="AH92" s="399"/>
      <x:c r="AI92" s="399"/>
      <x:c r="AJ92" s="399"/>
      <x:c r="AK92" s="399"/>
      <x:c r="AL92" s="399"/>
      <x:c r="AM92" s="399"/>
      <x:c r="AN92" s="399"/>
    </x:row>
    <x:row r="93">
      <x:c r="A93" s="399"/>
      <x:c r="B93" s="399"/>
      <x:c r="C93" s="399"/>
      <x:c r="D93" s="399"/>
      <x:c r="E93" s="399"/>
      <x:c r="F93" s="399"/>
      <x:c r="G93" s="399"/>
      <x:c r="H93" s="399"/>
      <x:c r="I93" s="399"/>
      <x:c r="J93" s="399"/>
      <x:c r="K93" s="399"/>
      <x:c r="L93" s="399"/>
      <x:c r="M93" s="399"/>
      <x:c r="N93" s="399"/>
      <x:c r="O93" s="399"/>
      <x:c r="P93" s="399"/>
      <x:c r="Q93" s="399"/>
      <x:c r="R93" s="399"/>
      <x:c r="S93" s="399"/>
      <x:c r="T93" s="399"/>
      <x:c r="U93" s="399"/>
      <x:c r="V93" s="399"/>
      <x:c r="W93" s="399"/>
      <x:c r="X93" s="399"/>
      <x:c r="Y93" s="399"/>
      <x:c r="Z93" s="399"/>
      <x:c r="AA93" s="399"/>
      <x:c r="AB93" s="399"/>
      <x:c r="AC93" s="399"/>
      <x:c r="AD93" s="399"/>
      <x:c r="AE93" s="399"/>
      <x:c r="AF93" s="399"/>
      <x:c r="AG93" s="399"/>
      <x:c r="AH93" s="399"/>
      <x:c r="AI93" s="399"/>
      <x:c r="AJ93" s="399"/>
      <x:c r="AK93" s="399"/>
      <x:c r="AL93" s="399"/>
      <x:c r="AM93" s="399"/>
      <x:c r="AN93" s="399"/>
    </x:row>
    <x:row r="94">
      <x:c r="A94" s="399"/>
      <x:c r="B94" s="399"/>
      <x:c r="C94" s="399"/>
      <x:c r="D94" s="399"/>
      <x:c r="E94" s="399"/>
      <x:c r="F94" s="399"/>
      <x:c r="G94" s="399"/>
      <x:c r="H94" s="399"/>
      <x:c r="I94" s="399"/>
      <x:c r="J94" s="399"/>
      <x:c r="K94" s="399"/>
      <x:c r="L94" s="399"/>
      <x:c r="M94" s="399"/>
      <x:c r="N94" s="399"/>
      <x:c r="O94" s="399"/>
      <x:c r="P94" s="399"/>
      <x:c r="Q94" s="399"/>
      <x:c r="R94" s="399"/>
      <x:c r="S94" s="399"/>
      <x:c r="T94" s="399"/>
      <x:c r="U94" s="399"/>
      <x:c r="V94" s="399"/>
      <x:c r="W94" s="399"/>
      <x:c r="X94" s="399"/>
      <x:c r="Y94" s="399"/>
      <x:c r="Z94" s="399"/>
      <x:c r="AA94" s="399"/>
      <x:c r="AB94" s="399"/>
      <x:c r="AC94" s="399"/>
      <x:c r="AD94" s="399"/>
      <x:c r="AE94" s="399"/>
      <x:c r="AF94" s="399"/>
      <x:c r="AG94" s="399"/>
      <x:c r="AH94" s="399"/>
      <x:c r="AI94" s="399"/>
      <x:c r="AJ94" s="399"/>
      <x:c r="AK94" s="399"/>
      <x:c r="AL94" s="399"/>
      <x:c r="AM94" s="399"/>
      <x:c r="AN94" s="399"/>
    </x:row>
    <x:row r="95">
      <x:c r="A95" s="399"/>
      <x:c r="B95" s="399"/>
      <x:c r="C95" s="399"/>
      <x:c r="D95" s="399"/>
      <x:c r="E95" s="399"/>
      <x:c r="F95" s="399"/>
      <x:c r="G95" s="399"/>
      <x:c r="H95" s="399"/>
      <x:c r="I95" s="399"/>
      <x:c r="J95" s="399"/>
      <x:c r="K95" s="399"/>
      <x:c r="L95" s="399"/>
      <x:c r="M95" s="399"/>
      <x:c r="N95" s="399"/>
      <x:c r="O95" s="399"/>
      <x:c r="P95" s="399"/>
      <x:c r="Q95" s="399"/>
      <x:c r="R95" s="399"/>
      <x:c r="S95" s="399"/>
      <x:c r="T95" s="399"/>
      <x:c r="U95" s="399"/>
      <x:c r="V95" s="399"/>
      <x:c r="W95" s="399"/>
      <x:c r="X95" s="399"/>
      <x:c r="Y95" s="399"/>
      <x:c r="Z95" s="399"/>
      <x:c r="AA95" s="399"/>
      <x:c r="AB95" s="399"/>
      <x:c r="AC95" s="399"/>
      <x:c r="AD95" s="399"/>
      <x:c r="AE95" s="399"/>
      <x:c r="AF95" s="399"/>
      <x:c r="AG95" s="399"/>
      <x:c r="AH95" s="399"/>
      <x:c r="AI95" s="399"/>
      <x:c r="AJ95" s="399"/>
      <x:c r="AK95" s="399"/>
      <x:c r="AL95" s="399"/>
      <x:c r="AM95" s="399"/>
      <x:c r="AN95" s="399"/>
    </x:row>
    <x:row r="96">
      <x:c r="A96" s="399"/>
      <x:c r="B96" s="399"/>
      <x:c r="C96" s="399"/>
      <x:c r="D96" s="399"/>
      <x:c r="E96" s="399"/>
      <x:c r="F96" s="399"/>
      <x:c r="G96" s="399"/>
      <x:c r="H96" s="399"/>
      <x:c r="I96" s="399"/>
      <x:c r="J96" s="399"/>
      <x:c r="K96" s="399"/>
      <x:c r="L96" s="399"/>
      <x:c r="M96" s="399"/>
      <x:c r="N96" s="399"/>
      <x:c r="O96" s="399"/>
      <x:c r="P96" s="399"/>
      <x:c r="Q96" s="399"/>
      <x:c r="R96" s="399"/>
      <x:c r="S96" s="399"/>
      <x:c r="T96" s="399"/>
      <x:c r="U96" s="399"/>
      <x:c r="V96" s="399"/>
      <x:c r="W96" s="399"/>
      <x:c r="X96" s="399"/>
      <x:c r="Y96" s="399"/>
      <x:c r="Z96" s="399"/>
      <x:c r="AA96" s="399"/>
      <x:c r="AB96" s="399"/>
      <x:c r="AC96" s="399"/>
      <x:c r="AD96" s="399"/>
      <x:c r="AE96" s="399"/>
      <x:c r="AF96" s="399"/>
      <x:c r="AG96" s="399"/>
      <x:c r="AH96" s="399"/>
      <x:c r="AI96" s="399"/>
      <x:c r="AJ96" s="399"/>
      <x:c r="AK96" s="399"/>
      <x:c r="AL96" s="399"/>
      <x:c r="AM96" s="399"/>
      <x:c r="AN96" s="399"/>
    </x:row>
    <x:row r="97">
      <x:c r="A97" s="399"/>
      <x:c r="B97" s="399"/>
      <x:c r="C97" s="399"/>
      <x:c r="D97" s="399"/>
      <x:c r="E97" s="399"/>
      <x:c r="F97" s="399"/>
      <x:c r="G97" s="399"/>
      <x:c r="H97" s="399"/>
      <x:c r="I97" s="399"/>
      <x:c r="J97" s="399"/>
      <x:c r="K97" s="399"/>
      <x:c r="L97" s="399"/>
      <x:c r="M97" s="399"/>
      <x:c r="N97" s="399"/>
      <x:c r="O97" s="399"/>
      <x:c r="P97" s="399"/>
      <x:c r="Q97" s="399"/>
      <x:c r="R97" s="399"/>
      <x:c r="S97" s="399"/>
      <x:c r="T97" s="399"/>
      <x:c r="U97" s="399"/>
      <x:c r="V97" s="399"/>
      <x:c r="W97" s="399"/>
      <x:c r="X97" s="399"/>
      <x:c r="Y97" s="399"/>
      <x:c r="Z97" s="399"/>
      <x:c r="AA97" s="399"/>
      <x:c r="AB97" s="399"/>
      <x:c r="AC97" s="399"/>
      <x:c r="AD97" s="399"/>
      <x:c r="AE97" s="399"/>
      <x:c r="AF97" s="399"/>
      <x:c r="AG97" s="399"/>
      <x:c r="AH97" s="399"/>
      <x:c r="AI97" s="399"/>
      <x:c r="AJ97" s="399"/>
      <x:c r="AK97" s="399"/>
      <x:c r="AL97" s="399"/>
      <x:c r="AM97" s="399"/>
      <x:c r="AN97" s="399"/>
    </x:row>
    <x:row r="98">
      <x:c r="A98" s="399"/>
      <x:c r="B98" s="399"/>
      <x:c r="C98" s="399"/>
      <x:c r="D98" s="399"/>
      <x:c r="E98" s="399"/>
      <x:c r="F98" s="399"/>
      <x:c r="G98" s="399"/>
      <x:c r="H98" s="399"/>
      <x:c r="I98" s="399"/>
      <x:c r="J98" s="399"/>
      <x:c r="K98" s="399"/>
      <x:c r="L98" s="399"/>
      <x:c r="M98" s="399"/>
      <x:c r="N98" s="399"/>
      <x:c r="O98" s="399"/>
      <x:c r="P98" s="399"/>
      <x:c r="Q98" s="399"/>
      <x:c r="R98" s="399"/>
      <x:c r="S98" s="399"/>
      <x:c r="T98" s="399"/>
      <x:c r="U98" s="399"/>
      <x:c r="V98" s="399"/>
      <x:c r="W98" s="399"/>
      <x:c r="X98" s="399"/>
      <x:c r="Y98" s="399"/>
      <x:c r="Z98" s="399"/>
      <x:c r="AA98" s="399"/>
      <x:c r="AB98" s="399"/>
      <x:c r="AC98" s="399"/>
      <x:c r="AD98" s="399"/>
      <x:c r="AE98" s="399"/>
      <x:c r="AF98" s="399"/>
      <x:c r="AG98" s="399"/>
      <x:c r="AH98" s="399"/>
      <x:c r="AI98" s="399"/>
      <x:c r="AJ98" s="399"/>
      <x:c r="AK98" s="399"/>
      <x:c r="AL98" s="399"/>
      <x:c r="AM98" s="399"/>
      <x:c r="AN98" s="399"/>
    </x:row>
    <x:row r="99">
      <x:c r="A99" s="399"/>
      <x:c r="B99" s="399"/>
      <x:c r="C99" s="399"/>
      <x:c r="D99" s="399"/>
      <x:c r="E99" s="399"/>
      <x:c r="F99" s="399"/>
      <x:c r="G99" s="399"/>
      <x:c r="H99" s="399"/>
      <x:c r="I99" s="399"/>
      <x:c r="J99" s="399"/>
      <x:c r="K99" s="399"/>
      <x:c r="L99" s="399"/>
      <x:c r="M99" s="399"/>
      <x:c r="N99" s="399"/>
      <x:c r="O99" s="399"/>
      <x:c r="P99" s="399"/>
      <x:c r="Q99" s="399"/>
      <x:c r="R99" s="399"/>
      <x:c r="S99" s="399"/>
      <x:c r="T99" s="399"/>
      <x:c r="U99" s="399"/>
      <x:c r="V99" s="399"/>
      <x:c r="W99" s="399"/>
      <x:c r="X99" s="399"/>
      <x:c r="Y99" s="399"/>
      <x:c r="Z99" s="399"/>
      <x:c r="AA99" s="399"/>
      <x:c r="AB99" s="399"/>
      <x:c r="AC99" s="399"/>
      <x:c r="AD99" s="399"/>
      <x:c r="AE99" s="399"/>
      <x:c r="AF99" s="399"/>
      <x:c r="AG99" s="399"/>
      <x:c r="AH99" s="399"/>
      <x:c r="AI99" s="399"/>
      <x:c r="AJ99" s="399"/>
      <x:c r="AK99" s="399"/>
      <x:c r="AL99" s="399"/>
      <x:c r="AM99" s="399"/>
      <x:c r="AN99" s="399"/>
    </x:row>
    <x:row r="100">
      <x:c r="A100" s="399"/>
      <x:c r="B100" s="399"/>
      <x:c r="C100" s="399"/>
      <x:c r="D100" s="399"/>
      <x:c r="E100" s="399"/>
      <x:c r="F100" s="399"/>
      <x:c r="G100" s="399"/>
      <x:c r="H100" s="399"/>
      <x:c r="I100" s="399"/>
      <x:c r="J100" s="399"/>
      <x:c r="K100" s="399"/>
      <x:c r="L100" s="399"/>
      <x:c r="M100" s="399"/>
      <x:c r="N100" s="399"/>
      <x:c r="O100" s="399"/>
      <x:c r="P100" s="399"/>
      <x:c r="Q100" s="399"/>
      <x:c r="R100" s="399"/>
      <x:c r="S100" s="399"/>
      <x:c r="T100" s="399"/>
      <x:c r="U100" s="399"/>
      <x:c r="V100" s="399"/>
      <x:c r="W100" s="399"/>
      <x:c r="X100" s="399"/>
      <x:c r="Y100" s="399"/>
      <x:c r="Z100" s="399"/>
      <x:c r="AA100" s="399"/>
      <x:c r="AB100" s="399"/>
      <x:c r="AC100" s="399"/>
      <x:c r="AD100" s="399"/>
      <x:c r="AE100" s="399"/>
      <x:c r="AF100" s="399"/>
      <x:c r="AG100" s="399"/>
      <x:c r="AH100" s="399"/>
      <x:c r="AI100" s="399"/>
      <x:c r="AJ100" s="399"/>
      <x:c r="AK100" s="399"/>
      <x:c r="AL100" s="399"/>
      <x:c r="AM100" s="399"/>
      <x:c r="AN100" s="399"/>
    </x:row>
  </x:sheetData>
  <x:mergeCells>
    <x:mergeCell ref="A1:I1"/>
    <x:mergeCell ref="A2:I2"/>
    <x:mergeCell ref="A41:C41"/>
    <x:mergeCell ref="A42:C42"/>
    <x:mergeCell ref="A43:C43"/>
    <x:mergeCell ref="A44:C44"/>
    <x:mergeCell ref="A45:C45"/>
    <x:mergeCell ref="A46:C46"/>
  </x:mergeCells>
  <x:pageMargins left="0.7" right="0.7" top="0.75" bottom="0.75" header="0.3" footer="0.3"/>
</x:worksheet>
</file>