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1"/>
  </bookViews>
  <sheets>
    <sheet name="Памятка" sheetId="1" state="visible" r:id="rId3"/>
    <sheet name="Бізнес план" sheetId="2" state="visible" r:id="rId4"/>
    <sheet name="Прибутки та збитки" sheetId="3" state="visible" r:id="rId5"/>
    <sheet name="Довідник започаткування" sheetId="4" state="visible" r:id="rId6"/>
    <sheet name="Довідник масштабування" sheetId="5" state="visible" r:id="rId7"/>
    <sheet name="Довідник витрат" sheetId="6" state="visible" r:id="rId8"/>
  </sheets>
  <definedNames>
    <definedName function="false" hidden="false" localSheetId="1" name="_xlnm.Print_Area" vbProcedure="false">'Бізнес план'!$A$1:$R$113</definedName>
    <definedName function="false" hidden="false" localSheetId="2" name="_xlnm.Print_Area" vbProcedure="false">'Прибутки та збитки'!$A$1:$BM$92</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<sst xmlns="http://schemas.openxmlformats.org/spreadsheetml/2006/main" count="643" uniqueCount="412">
  <si>
    <t xml:space="preserve">                                                                                     </t>
  </si>
  <si>
    <t xml:space="preserve">Пам'ятка щодо заповнення бізнес-плану </t>
  </si>
  <si>
    <t xml:space="preserve">У цьому документі передбачено два розділи форми, які необхідно заповнити як частину заявки на отримання гранту.
У верхній частині кожного розділу наведено його опис та рекомендації щодо заповнення.
Ця форма бізнес-плану призначена для підготовки бізнес-плану при поданні заявки на отримання гранту відповідно до постанови Кабінету Міністрів України від 21 червня 2022 року № 738 «Деякі питання надання грантів бізнесу» з урахуванням змін, внесених постановою Кабінету Міністрів України від 15 травня 2026 року № 616, які для нового Порядку застосовуються з 1 вересня 2026 року, та Положення про бізнес-плани, затвердженого постановою Кабінету Міністрів України від 26 листопада 2025 року № 1527.
Офіційні джерела:
https://zakon.rada.gov.ua/laws/show/616-2026-%D0%BF
https://zakon.rada.gov.ua/laws/show/1527-2025-%D0%BF
Під час оцінювання бізнес-плану враховуватимуться дані, зазначені заявником у цій формі, тому перед поданням заявки необхідно уважно перевірити повноту та достовірність внесеної інформації.
Під час заповнення форми рекомендується регулярно зберігати внесені дані.</t>
  </si>
  <si>
    <t xml:space="preserve">ПОРАДИ ЩОДО ЗАПОВНЕННЯ ШАБЛОНУ</t>
  </si>
  <si>
    <t xml:space="preserve">*</t>
  </si>
  <si>
    <t xml:space="preserve">Шаблон розроблено для зручного та послідовного заповнення бізнес-плану. Під час заповнення вкладок необхідно дотримуватися наведених інструкцій та вносити дані відповідно до параметрів проєкту.</t>
  </si>
  <si>
    <t xml:space="preserve">Дані вводяться у клітинки білого кольору. Клітинки світло-блакитного кольору містять формули та розраховуються автоматично на підставі введених даних.</t>
  </si>
  <si>
    <t xml:space="preserve">Для перегляду формули, що використовується у клітинці з автоматичним розрахунком, необхідно вибрати відповідну клітинку. Формула відображається у рядку формул у верхній частині вікна Excel.</t>
  </si>
  <si>
    <t xml:space="preserve">Від’ємні результати відображаються червоним кольором та потребують додаткової перевірки вихідних даних і розрахунків.</t>
  </si>
  <si>
    <t xml:space="preserve">Усі грошові показники зазначаються у гривнях. ПДВ відображайте відповідно до статусу платника ПДВ та логіки конкретного розрахунку; не дублюйте ПДВ у доходах або витратах.</t>
  </si>
  <si>
    <t xml:space="preserve">У шаблоні передбачено перелік типових показників, який може бути доповнений залежно від особливостей діяльності та структури проєкту.</t>
  </si>
  <si>
    <t xml:space="preserve">Грантові кошти мають бути використані протягом 3 місяців з дати їх зарахування на рахунок отримувача. Невикористаний залишок коштів підлягає поверненню відповідно до Порядку</t>
  </si>
  <si>
    <t xml:space="preserve">Порядок заповнення: спочатку заповніть вкладку «Бізнес план» і матрицю гранту, потім — «Прибутки та збитки». Довідники «Започаткування», «Масштабування» та «Витрати» використовуйте як підказки; дані в них не вводяться.</t>
  </si>
  <si>
    <t xml:space="preserve">Поради щодо використання Excel</t>
  </si>
  <si>
    <t xml:space="preserve">Щоб перейти на новий рядок у межах тієї самої клітинки, натисніть Alt + Enter.
Після завершення введення даних натисніть Enter, щоб зберегти зміни в клітинці. Натискання Esc скасовує внесені зміни.
Щоб відредагувати вже введений текст без його видалення, виберіть потрібну клітинку та внесіть зміни безпосередньо в клітинці або в рядку формул у верхній частині вікна Excel.</t>
  </si>
  <si>
    <t xml:space="preserve">Заповнення всіх вкладок необхідно для захисту бізнес-плану та отримення гранту</t>
  </si>
  <si>
    <t xml:space="preserve">Будь ласка, заповніть кожне поле, використовуючи запитання, підказки та приклади, як орієнтир для деталізації інформації, яка потрібна для прйняття рішень</t>
  </si>
  <si>
    <t xml:space="preserve">Загальні відомості про суб’єкта  мікро-, малого і середнього підприємництва</t>
  </si>
  <si>
    <t xml:space="preserve">Пояснення</t>
  </si>
  <si>
    <t xml:space="preserve">Фізична особа – підприємець Федоренко Таїсія Анатоліївна</t>
  </si>
  <si>
    <t xml:space="preserve">ФІЗ/ФОП/ЮР
</t>
  </si>
  <si>
    <t xml:space="preserve">код ЄДРПОУ / РНОКПП заявника: 2901013689</t>
  </si>
  <si>
    <t xml:space="preserve">Код ЄДРПОУ / РНОКПП заявника</t>
  </si>
  <si>
    <t xml:space="preserve">організаційно-правова форма: фізична особа – підприємець (суб’єкт мікропідприємництва)</t>
  </si>
  <si>
    <t xml:space="preserve">організаційно-правова форма суб’єкта мікро-, малого або середнього підприємництва (зазначити організаційно-правову форму заявника відповідно до реєстраційних даних)</t>
  </si>
  <si>
    <t xml:space="preserve">Черкаська область, Жашківська міська територіальна громада, м. Жашків</t>
  </si>
  <si>
    <t xml:space="preserve">регіон провадження господарської діяльності (зазначити область, територіальну громаду, населений пункт)</t>
  </si>
  <si>
    <t xml:space="preserve">70.22 Консультування з питань комерційної діяльності й керування (основний вид діяльності; збігається з видом діяльності у заяві)</t>
  </si>
  <si>
    <t xml:space="preserve">цифрове та текстове позначення основного виду діяльності згідно з КВЕД, зазначений вид економічної діяльності має відповідати виду діяльності, зазначеному в заяві на отримання гранту</t>
  </si>
  <si>
    <t xml:space="preserve">досвід провадження господарської діяльності: з 17.08.2026 (дата державної реєстрації ФОП) — на дату подання заяви понад 6 місяців безперервної діяльності на спрощеній системі оподаткування (3 група). Попередній досвід: підприємницька діяльність у 2009–2015 роках (6 років); [уточнити роки] — директор ДНЗ «Жашківський аграрно-технологічний професійний ліцей» (управління закладом, публічні закупівлі, договірна, кадрова та фінансово-господарська робота, взаємодія з контролюючими органами).</t>
  </si>
  <si>
    <t xml:space="preserve">інформація про досвід провадження господарської діяльності (зазначити період провадження господарської діяльності з дати державної реєстрації суб’єкта господарювання до дати подання заявки)</t>
  </si>
  <si>
    <t xml:space="preserve">контактна інформація: місцезнаходження (адреса реєстрації) — м. Жашків, вул. Ринкова, 9, кв. 2; місце провадження господарської діяльності — м. Жашків, вул. Соборна, 37 (офіс); тел. +380 67 772 88 84; e-mail: ftasssya@gmail.com; власник — Федоренко Таїсія Анатоліївна; вебсайт — створюється в межах проєкту (розділ «Інвестиційний план»).</t>
  </si>
  <si>
    <t xml:space="preserve">місцезнаходження суб’єкта мікро-, малого або середнього підприємництва та місце провадження його господарської діяльності, контактний номер телефону, адреса електронної пошти, прізвище, власне ім’я та по батькові (за наявності) керівника (для юридичної особи) або власника (для фізичної особи — підприємця), інші канали комунікації (веб-сайт, сторінки у соціальних мережах — за наявності).</t>
  </si>
  <si>
    <t xml:space="preserve">Опис проекту:</t>
  </si>
  <si>
    <t xml:space="preserve">бізнес-ідея та мета її реалізації: масштабування діючої консультаційної практики ФОП у сфері комплаєнсу та управління ризиками для малого і середнього бізнесу. Ідея — дати компаніям Черкащини та інших регіонів доступ до послуг комплаєнс-офіцера «на аутсорсингу» за ціною, у 3–5 разів нижчою за утримання штатного фахівця, у стандартизованих пакетах: комплаєнс-діагностика процесів; антикорупційна програма та внутрішні політики (перевірка контрагентів, санкційний і AML-скринінг, конфлікт інтересів, захист персональних даних); навчання персоналу; щомісячний абонентський супровід. Відмінність від інших пропозицій: фіксовані ціни і строки, результат у вигляді готових документів і плану впровадження, досвід засновниці в управлінні бюджетною установою та публічних закупівлях, стандарти ICA (International Compliance Association). Цінність для клієнта — відповідність вимогам ст. 62 Закону України «Про запобігання корупції» (антикорупційна програма для учасників закупівель від 20 млн грн), вимогам банків, донорів та іноземних партнерів щодо перевірки контрагентів, зниження ризику штрафів і втрати контрактів.</t>
  </si>
  <si>
    <t xml:space="preserve">змістовне пояснення концепції проекту, його унікальності, інноваційності, значущості для ринку або споживача (коротко описати, у чому полягає ідея проєкту, чим вона відрізняється від інших пропозицій та яку користь або цінність створює для споживача чи ринку)</t>
  </si>
  <si>
    <t xml:space="preserve">очікуваний вплив проекту: для ринку — поява в регіоні спеціалізованого постачальника послуг з комплаєнсу (зараз такі послуги для малого бізнесу доступні переважно у Києві за значно вищими цінами), розширення вибору та зниження ціни для споживачів, підвищення якості корпоративного управління у компаній-клієнтів; для громади — створення 2 нових офіційних робочих місць у м. Жашків з «білою» зарплатою, сплата податків і ЄСВ (прогноз за 36 місяців — 1 278 364 грн), попит на місцеві послуги (оренда, ІТ, друк, зв’язок), підвищення правової культури місцевого бізнесу через відкриті навчальні заходи.</t>
  </si>
  <si>
    <t xml:space="preserve">очікуваний вплив проекту на ринок (покращення конкурентного середовища, розширення вибору для споживачів, підвищення якості товарів/послуг) та на місцеву громаду (створення нових робочих місць, розвиток інфраструктури, соціальний або екологічний ефект) - коротко описати, які позитивні зміни очікуються від реалізації проєкту: що покращиться для споживачів або ринку та яку користь проєкт принесе місцевій громаді</t>
  </si>
  <si>
    <t xml:space="preserve">наявність дозвільних документів: для консультаційних послуг з питань комерційної діяльності й керування (КВЕД 70.22) ліцензії, дозволи та обов’язкова сертифікація законодавством не передбачені — не потребується. ФОП зареєстровано 17.08.2026, перебуває на спрощеній системі оподаткування (3 група, ставка 5 %, неплатник ПДВ) — отримано. Послуги аудиту фінансової звітності та інші регульовані послуги не надаються (обмеження для платників єдиного податку, п. 291.5.2 Податкового кодексу України). Підтвердження кваліфікації: вища освіта [уточнити рівень і спеціальність]; навчання ICA (International Compliance Association) за програмою «Розширений сертифікат з управління, ризиків та комплаєнсу» — у процесі (початок 12.10.2026, за власні кошти); «Диплом ICA з управління, ризиків та комплаєнсу» — заплановано на 2028 рік (за власні кошти).</t>
  </si>
  <si>
    <t xml:space="preserve">зазначте перелік дозвільних, ліцензійних, реєстраційних та інших документів, необхідних для реалізації проєкту, а також їх статус: отримано / у процесі отримання / не потребується; наявність дозвільних документів/  перелік необхідних дозвільних документів для провадження діяльності, поточний статус їх отримання (отримано, у процесі отримання, відсутні), плани щодо отримання відсутніх документів -  зазначити, які дозволи, ліцензії, реєстрації або інші документи потрібні для провадження запланованої діяльності, які з них уже отримано, які перебувають у процесі оформлення та які ще необхідно отримати, якщо дозвільні документи для відповідного виду діяльності не потрібні — зазначити це окремо</t>
  </si>
  <si>
    <t xml:space="preserve">потреба у державній підтримці: 1 000 000 грн — грант на масштабування власної справи. Напрями використання (п. 7 Порядку): Комп'ютерна техніка та обладнання робочих місць — 300 000 грн; Меблі для 3 робочих місць і переговорної зони — 90 000 грн; Ліцензійне програмне забезпечення (12 місяців) — 180 000 грн; Вебсайт із базою знань та інтеграцією з CRM — 95 000 грн; Налаштування та інтеграція цифрових рішень — 40 000 грн; Маркетинг та реклама — 95 000 грн; Фірмовий стиль і промоматеріали — 20 000 грн; Оренда офісного приміщення (12 місяців) — 180 000 грн. Очікуваний результат підтримки: протягом 3 місяців після зарахування коштів буде обладнано офіс на 3 робочих місця, створено 2 нових робочих місця, запущено сайт, CRM і професійні інформаційні системи (LIGA360, YouControl), що дозволить вийти з режиму «один консультант» на команду з 3 осіб, обслуговувати до 6 абонентських клієнтів одночасно і збільшити дохід з поточних ~50–60 тис. грн до 230 тис. грн на місяць на третій рік. Сума гранту визначена так, щоб прогнозовані податки, збори та ЄСВ за строк проєкту (1 278 364 грн) перевищували суму гранту навіть за падіння виручки на 20 %.</t>
  </si>
  <si>
    <t xml:space="preserve"> запитуваний обсяг фінансової підтримки у гривнях, детальний перелік напрямів їх використання (придбання обладнання, ремонт/будівництво, навчання персоналу, маркетинг), очікуваний результат від державної підтримки (вплив підтримки на масштабування або прискорення реалізації проекту, підвищення його стійкості та прибутковості) - зазначити суму підтримки, на що саме планується спрямувати кошти: обладнання, транспорт, ремонт, сировину та матеріали, оренду, програмне забезпечення, маркетинг, облаштування робочих місць, а також коротко пояснити, який результат це дасть для запуску або розвитку бізнесу</t>
  </si>
  <si>
    <t xml:space="preserve">Резюме проекту</t>
  </si>
  <si>
    <t xml:space="preserve">строк реалізації проекту:</t>
  </si>
  <si>
    <t xml:space="preserve">36 місяців</t>
  </si>
  <si>
    <t xml:space="preserve">24 місяці / 36 місяців / 60 місяців</t>
  </si>
  <si>
    <t xml:space="preserve">тип проекту:</t>
  </si>
  <si>
    <t xml:space="preserve">Масштабування власної справи</t>
  </si>
  <si>
    <t xml:space="preserve">започаткування власної справи/ масштабування власної справи (потрібне вибрати). </t>
  </si>
  <si>
    <t xml:space="preserve">розрахунок максимально допустимої суми гранту</t>
  </si>
  <si>
    <t xml:space="preserve">КОРОТКО: 1) оберіть строк проєкту — 24 / 36 / 60 місяців; 2) оберіть тип — «Започаткування» або «Масштабування»; 3) зазначте запитувану суму гранту; 4) у матриці оберіть ПДВ на дату подання заяви та «Так» лише навпроти тих підстав, які реально підтверджуються; 5) «Так» у рядку про 2 нові робочі місця означає окреме зобов’язання створити 2 місця; 6) нижче оберіть систему оподаткування та статус ПДВ для фінансового прогнозу; 7) у кадровому плані зазначте фактичну кількість нових місць. Для масштабування — не менше 1; якщо обрано +20% за робочі місця — не менше 2.</t>
  </si>
  <si>
    <t xml:space="preserve">запитувана сума гранту, грн</t>
  </si>
  <si>
    <t xml:space="preserve">базовий розмір для масштабування 500 000–1 500 000 грн; підстави для збільшення не заявляються</t>
  </si>
  <si>
    <t xml:space="preserve">Оберіть тип проєкту та лише ті підстави для збільшення розміру гранту, які фактично відповідають заявнику і проєкту. Для започаткування базовий розмір гранту становить 100 000–300 000 грн, для масштабування — 500 000–1 500 000 грн. Граничний розмір з урахуванням збільшень: 500 000 грн для започаткування та 2 500 000 грн для масштабування. Для масштабування базовою обов’язковою умовою є створення 1 нового робочого місця. Підстава +20% за робочі місця застосовується лише за окремого зобов’язання отримувача створити 2 нових робочих місця; сам факт зазначення двох працівників у кадровому плані не повинен автоматично означати прийняття такого зобов’язання. Статус платника ПДВ для +20% визначається станом на дату подання заяви. Належність проєкту до пріоритетного сектору економіки остаточно визначається Державним центром зайнятості.</t>
  </si>
  <si>
    <t xml:space="preserve">  тип проєкту</t>
  </si>
  <si>
    <t xml:space="preserve">базовий граничний розмір гранту, грн</t>
  </si>
  <si>
    <t xml:space="preserve">статус платника ПДВ на дату подання заявки</t>
  </si>
  <si>
    <t xml:space="preserve">Неплатник ПДВ</t>
  </si>
  <si>
    <t xml:space="preserve">вік отримувача 18–25 років включно</t>
  </si>
  <si>
    <t xml:space="preserve">Ні</t>
  </si>
  <si>
    <t xml:space="preserve">ветеранське підприємництво</t>
  </si>
  <si>
    <t xml:space="preserve">чинний патент України на винахід та/або корисну модель, пов’язаний із реалізацією проєкту</t>
  </si>
  <si>
    <t xml:space="preserve">ВПО з досвідом підприємницької діяльності понад 6 місяців / релоковане підприємство</t>
  </si>
  <si>
    <t xml:space="preserve">зобов’язання отримувача створити 2 нових робочих місця</t>
  </si>
  <si>
    <t xml:space="preserve">реєстрація отримувача та провадження / планування діяльності на території, визначеній Порядком</t>
  </si>
  <si>
    <t xml:space="preserve">оновлення основних засобів виробництва, знищених або пошкоджених внаслідок збройної агресії Російської Федерації</t>
  </si>
  <si>
    <t xml:space="preserve">реалізація проєкту у пріоритетному секторі економіки відповідно до визначених Порядком умов</t>
  </si>
  <si>
    <t xml:space="preserve">загальний відсоток збільшення, %</t>
  </si>
  <si>
    <t xml:space="preserve"> </t>
  </si>
  <si>
    <t xml:space="preserve">максимально допустима сума гранту, грн</t>
  </si>
  <si>
    <t xml:space="preserve">система оподаткування заявника:</t>
  </si>
  <si>
    <t xml:space="preserve">Спрощена система — 3 група</t>
  </si>
  <si>
    <t xml:space="preserve">ставка єдиного податку 5 % доходу + військовий збір 1 % доходу; ЄСВ за себе — 22 % мінімальної зарплати</t>
  </si>
  <si>
    <t xml:space="preserve"> зазначте систему оподаткування, яку застосовує заявник на дату підготовки бізнес-плану або планує застосовувати під час реалізації проєкту - зазначте систему оподаткування, яка застосовуватиметься під час реалізації проєкту: загальна система або відповідна група спрощеної системи оподаткування. Обраний варіант має відповідати розрахункам податків у фінансовій частині бізнес-плану</t>
  </si>
  <si>
    <t xml:space="preserve">реєстрація платником ПДВ не планується (клієнти — переважно малий бізнес; ціни без ПДВ)</t>
  </si>
  <si>
    <t xml:space="preserve"> зазначте, чи є заявник платником ПДВ на дату підготовки бізнес-плану або чи планує зареєструватися платником ПДВ під час реалізації проєкту - зазначте статус платника ПДВ, який застосовуватиметься під час реалізації проєкту: Платник ПДВ або Неплатник ПДВ. Це поле використовується для фінансового планування і не впливає на підвищення максимально допустимої суми гранту</t>
  </si>
  <si>
    <t xml:space="preserve">основна мета проекту:</t>
  </si>
  <si>
    <t xml:space="preserve">Основна мета — масштабувати діючу консультаційну практику ФОП з комплаєнсу та управління ризиками: перейти від роботи однієї консультантки до команди з 3 осіб (засновниця + 2 нових працівники), обладнати офіс у м. Жашків, запустити сайт, CRM та професійні інформаційні системи і за 36 місяців вийти на стабільний дохід 234 000 грн на місяць (6 абонентських клієнтів плюс проєктні послуги), сплативши за цей час податків, зборів і ЄСВ не менше 1 278 364 грн. Проєкт реалізується як масштабування вже діючого бізнесу: ФОП працює з 17.08.2026, має перших клієнтів і відпрацьовані методики; грант дає змогу інвестувати в обладнання, цифрові інструменти та просування, які неможливо профінансувати з поточного доходу без втрати темпу.</t>
  </si>
  <si>
    <t xml:space="preserve">Опис ключового завдання, яке планується реалізувати в рамках проекту. Опишіть основну мету проєкту з урахуванням обраного типу проєкту — започаткування або масштабування власної справи — та зазначте, як реалізація проєкту сприятиме створенню або розвитку бізнесу. Опишіть, чого ви плануєте досягти завдяки проєкту. Зазначте, чи йдеться про започаткування нового бізнесу або масштабування вже діючого, та коротко поясніть, як проєкт допоможе створити або розвинути справу</t>
  </si>
  <si>
    <t xml:space="preserve">коротка характеристика продукції або послуг:</t>
  </si>
  <si>
    <t xml:space="preserve">Основні послуги (стандартизовані пакети, ціни без ПДВ):
1. Комплаєнс-діагностика (експрес-оцінка процесів, звіт з рекомендаціями) — 25 000 грн
2. Антикорупційна програма / пакет політик і процедур «під ключ» — 45 000 грн
3. Перевірка контрагента (звіт з відкритих реєстрів і санкційних списків) — 2 500 грн
4. Навчання персоналу клієнта (тренінг / вебінар, 4 год) — 12 000 грн
5. Абонентський супровід (комплаєнс-офіцер на аутсорсингу), на місяць — 15 000 грн
Результат кожної послуги — звіт або готовий документ (політика, програма, регламент, інструкція) і план упровадження; абонентський супровід включає щомісячний моніторинг змін законодавства, перевірку нових контрагентів, консультації та підготовку до перевірок. Послуги не включають аудит фінансової звітності, сертифікацію за стандартами ISO та представництво в суді.</t>
  </si>
  <si>
    <t xml:space="preserve">короткий опис характеристик товарів або послуг, що пропонуються в рамкаї проекту (за наявності). Коротко опишіть товари або послуги, які плануєте пропонувати в межах проєкту (за наявності)
</t>
  </si>
  <si>
    <t xml:space="preserve">визначення цільової аудиторії:</t>
  </si>
  <si>
    <t xml:space="preserve">Цільова аудиторія: 1) малий і середній бізнес Черкаської, Київської, Вінницької областей (ТОВ та ФОП із 10–100 працівників) — виробники, аграрні компанії, логістика, будівництво, торгівля, медичні заклади приватної форми власності; 2) учасники публічних закупівель, яким потрібна антикорупційна програма та уповноважений (ст. 62 Закону «Про запобігання корупції» — закупівлі від 20 млн грн); 3) компанії, що працюють з іноземними партнерами, банками, грантами та програмами міжнародної допомоги і зобов’язані підтверджувати належну перевірку контрагентів, антикорупційні та санкційні політики; 4) комунальні підприємства та заклади, що впроваджують антикорупційні програми та внутрішній контроль. Особи, які приймають рішення: власники, директори, фінансові директори, головні бухгалтери (вік 30–60 років). Географія без обмежень: послуги надаються дистанційно та з виїздом до клієнта.</t>
  </si>
  <si>
    <t xml:space="preserve">опис потенційних споживачів товарів або послуг за віком, місцем проживання, професією, інтересам, тощо. Опишіть, хто є вашими потенційними клієнтами: їхній вік, місце проживання, професію, інтереси та інші важливі характеристики
</t>
  </si>
  <si>
    <t xml:space="preserve">місцезнаходження реалізації проекту:</t>
  </si>
  <si>
    <t xml:space="preserve">Черкаська область, Жашківська міська територіальна громада, м. Жашків, вул. Соборна, 37 — офісне приміщення (договір оренди строком не менше 12 місяців, [площа і реквізити договору]). Послуги надаються клієнтам по всій Україні дистанційно (відеозв’язок, електронний документообіг) та з виїздом до клієнта.</t>
  </si>
  <si>
    <t xml:space="preserve">Зазначити область, територіальну громаду, населений пункт та, за наявності, адресу місця фактичної реалізації проєкту. Вкажіть, де фактично реалізовуватиметься проєкт: область, громаду, населений пункт та, за наявності, адресу</t>
  </si>
  <si>
    <t xml:space="preserve">графік реалізації проекту:</t>
  </si>
  <si>
    <t xml:space="preserve">Опишіть етапи реалізації проєкту та зазначте строки їх виконання. Для кожного етапу вкажіть орієнтовний місяць і рік</t>
  </si>
  <si>
    <t xml:space="preserve">Початок: М1 — місяць зарахування гранту на рахунок (орієнтовно травень 2027 року). Подання заяви — етап приймання 16–25 лютого 2027 р. (на дату подання ФОП провадить діяльність понад 6 місяців); рішення Державного центру зайнятості — протягом 20 календарних днів після завершення етапу; договір гранту та відкриття рахунка — протягом 10 робочих днів після рішення.</t>
  </si>
  <si>
    <t xml:space="preserve">Початок: місяць і рік початку реалізації проєкту.
Ключові етапи: основні етапи реалізації проєкту із зазначенням строків їх виконання.
Проміжні етапи: проміжні кроки між основними етапами із зазначенням строків.
Завершення: місяць і рік завершення реалізації проєкту. Дата завершення повинна відповідати обраному строку реалізації — 24, 36 або 60 місяців.</t>
  </si>
  <si>
    <t xml:space="preserve">Ключові етапи: М1–М3 (травень–липень 2027) — укладення договорів з постачальниками та оплата всіх закупівель за інвестиційним планом (обладнання і меблі, ліцензії, сайт, налаштування, реклама, оренда); створення 2 нових робочих місць і працевлаштування працівників не пізніше 3 місяців з дня зарахування коштів; запуск сайту та CRM. М4–М12 (серпень 2027 – квітень 2028) — вихід на 4 абонентських клієнти та 140–160 тис. грн доходу на місяць; точка беззбитковості — М3.</t>
  </si>
  <si>
    <t xml:space="preserve">Проміжні етапи: М13–М24 (травень 2028 – квітень 2029) — продовження ліцензій за рахунок доходу, 5 абонентських клієнтів, 190–200 тис. грн доходу на місяць, завершення навчання ICA (диплом, власні кошти), підвищення зарплат працівникам на 10 %; М25–М36 (травень 2029 – квітень 2030) — 6 абонентських клієнтів, 230 тис. грн на місяць; накопичена сума сплачених податків, зборів і ЄСВ перевищує суму гранту орієнтовно у М30.</t>
  </si>
  <si>
    <t xml:space="preserve">Завершення: М36 — квітень 2030 року (36 місяців від зарахування гранту). Підтвердження виконання умов договору гранту (робочі місця, сплачені податки та ЄСВ, збереження придбаного майна) та отримання довідки регіонального центру зайнятості.</t>
  </si>
  <si>
    <t xml:space="preserve">загальний бюджет проекту:</t>
  </si>
  <si>
    <t xml:space="preserve">Загальний бюджет проєкту — 1 485 860 грн, з них: грант — 1 000 000 грн (67,3 %); власні кошти — 485 860 грн (32,7 %): Навчання: Розширений сертифікат ICA з управління, ризиків та комплаєнсу — 110 000 грн (М1); Навчання: Диплом ICA з управління, ризиків та комплаєнсу — 275 860 грн (М13); Оборотні кошти (резерв на перші місяці) — 100 000 грн (М1). Статті витрат за рахунок гранту: Комп'ютерна техніка та обладнання робочих місць — 300 000 грн; Меблі для 3 робочих місць і переговорної зони — 90 000 грн; Ліцензійне програмне забезпечення (12 місяців) — 180 000 грн; Вебсайт із базою знань та інтеграцією з CRM — 95 000 грн; Налаштування та інтеграція цифрових рішень — 40 000 грн; Маркетинг та реклама — 95 000 грн; Фірмовий стиль і промоматеріали — 20 000 грн; Оренда офісного приміщення (12 місяців) — 180 000 грн. Поточні витрати (оренда з М13, комунальні, зв’язок, бухгалтерський супровід, продовження ліцензій, реклама) та оплата праці фінансуються з доходу від послуг.</t>
  </si>
  <si>
    <t xml:space="preserve">повна вартість реалізації проекту із зазначенням основних статей витрат. Загальний бюджет проєкту має включати запитувану суму гранту та власні/залучені кошти заявника, якщо такі передбачені. Зазначте повну вартість реалізації проєкту та основні статті витрат. До загального бюджету включіть запитувану суму гранту, а також власні або залучені кошти, якщо вони передбачені
</t>
  </si>
  <si>
    <t xml:space="preserve">цінова стратегія продукції:</t>
  </si>
  <si>
    <t xml:space="preserve">Цінова стратегія: позиціонування — професійний комплаєнс-консалтинг «середнього цінового сегмента» для малого і середнього бізнесу: ціни на 30–50 % нижчі за київські консалтингові компанії та юридичні фірми (діагностика 40–80 тис. грн, антикорупційна програма 60–150 тис. грн, абонентський супровід 25–50 тис. грн/міс), але з гарантованим результатом у фіксований строк. Ціна формується за методом «витрати + норма прибутку»: собівартість години фахівця (зарплата з ЄСВ, частка оренди, ліцензій і накладних витрат) ≈ 600–700 грн; норматив годин на пакет (діагностика — 30 год, політики — 50 год, перевірка контрагента — 2,5 год, тренінг — 12 год з підготовкою, супровід — 18–20 год/міс); націнка 40–60 %. Ціни фіксовані у прайсі на 12 місяців; для абонентських клієнтів — знижка 10 % на проєктні послуги; оплата: 50 % аванс / 50 % після передання результату, абонентський супровід — щомісяця наперед.</t>
  </si>
  <si>
    <t xml:space="preserve">принципи та підхід до формування ціни на продукцію або послуги, враховуючи ринкову ситуацію та позиціонування. Опишіть, як формується ціна на товари або послуги: що враховується при розрахунку вартості, які ціни діють на ринку та як ви плануєте позиціонувати свою пропозицію
</t>
  </si>
  <si>
    <t xml:space="preserve">очікувані показники прибутковості:</t>
  </si>
  <si>
    <t xml:space="preserve">прогнозні обсяги продажів: М1–М12 — 1 404 000 грн (від 62 000 до 157 000 грн/міс); М13–М24 — 2 334 000 грн; М25–М36 — 2 808 000 грн; разом за 36 місяців — 6 546 000 грн. У натуральному вимірі на місяць у М36: 6 абонентських клієнтів, 2 комплаєнс-діагностики, 1 пакет політик, 10 перевірок контрагентів, 2 тренінги.</t>
  </si>
  <si>
    <t xml:space="preserve"> Вкажіть, який обсяг товарів або послуг плануєте продавати за визначений період та на яку орієнтовну суму
</t>
  </si>
  <si>
    <t xml:space="preserve">рівень рентабельності (операційний прибуток до витрат, без вилучень власниці): рік 1 — 51 %; рік 2 — 61 %; рік 3 — 81 %; за 36 місяців — 67 %.</t>
  </si>
  <si>
    <t xml:space="preserve"> Зазначте очікуваний рівень рентабельності та покажіть, наскільки прибутковою буде діяльність відносно понесених витрат</t>
  </si>
  <si>
    <t xml:space="preserve">прибуток: операційний прибуток за 36 місяців — 2 618 636 грн (дохід 6 546 000 грн мінус операційні витрати, оплата праці з ЄСВ, єдиний податок, військовий збір і ЄСВ ФОП — 3 927 364 грн); у тому числі рік 1 — 472 759 грн, рік 2 — 886 759 грн, рік 3 — 1 259 119 грн. Після вилучень на особисті потреби власниці (810 000 грн) — 1 808 636 грн.</t>
  </si>
  <si>
    <t xml:space="preserve">Вкажіть очікуваний фінансовий результат після врахування доходів і витрат
</t>
  </si>
  <si>
    <t xml:space="preserve">грошовий потік: надходження за 36 місяців — 8 031 860 грн (дохід 6 546 000 грн + грант 1 000 000 грн + власні кошти 485 860 грн); виплати — 6 123 224 грн (у т. ч. грантові закупівлі 1 000 000 грн, навчання 385 860 грн, оплата праці, податки, ЄСВ, поточні витрати, вилучення власниці); залишок коштів на кінець М36 — 1 908 636 грн; мінімальний залишок — 66 699 грн у М5 (дефіциту немає).</t>
  </si>
  <si>
    <t xml:space="preserve">Покажіть надходження і витрати коштів за період та який залишок коштів очікується в результаті
</t>
  </si>
  <si>
    <t xml:space="preserve">показники ефективності (показники строку окупності інвестицій, рентабельності інвестицій та внутрішньої норми прибутковості визначаються на підставі фінансових прогнозів за весь строк реалізації проєкту)</t>
  </si>
  <si>
    <t xml:space="preserve">Показники ефективності проєкту визначайте на підставі фінансових прогнозів за весь строк його реалізації</t>
  </si>
  <si>
    <t xml:space="preserve">строк окупності інвестицій: 1,7 року (інвестиції 1 485 860 грн / середньорічний операційний прибуток 872 879 грн) — близько 20 місяців.</t>
  </si>
  <si>
    <t xml:space="preserve">Вкажіть, за який орієнтовний період вкладені у проєкт кошти мають повернутися за рахунок отриманого фінансового результату
</t>
  </si>
  <si>
    <t xml:space="preserve">рентабельність інвестицій: 176 % за 36 місяців (операційний прибуток 2 618 636 грн / загальні інвестиції 1 485 860 грн), або близько 59 % на рік.</t>
  </si>
  <si>
    <t xml:space="preserve">Покажіть, наскільки прибутковими є вкладення у проєкт порівняно з обсягом інвестованих коштів
</t>
  </si>
  <si>
    <t xml:space="preserve">внутрішня норма прибутковості: 37 % річних (за помісячними операційними потоками проєкту відносно загальних інвестицій 1 485 860 грн).</t>
  </si>
  <si>
    <t xml:space="preserve">Зазначте очікуваний показник прибутковості проєкту, розрахований на підставі прогнозних грошових потоків за весь строк його реалізації
</t>
  </si>
  <si>
    <t xml:space="preserve">соціальні ефекти від реалізації проекту: 2 нових офіційних робочих місця у м. Жашків із заробітною платою 20 000–30 000 грн (понад дві мінімальні); сплата за 36 місяців податків, зборів та ЄСВ на суму 1 278 364 грн, з них до місцевого бюджету Жашківської громади — ПДФО за працівників (324 000 грн) та єдиний податок (327 300 грн); військовий збір (155 460 грн) — на потреби оборони; підвищення правової культури малого бізнесу громади (щонайменше 2 відкриті безоплатні вебінари на рік); можливість стажування для випускників Жашківського аграрно-технологічного професійного ліцею.</t>
  </si>
  <si>
    <t xml:space="preserve">Опишіть, яку користь проєкт матиме для людей і громади, наприклад створення робочих місць, доступ до нових послуг або розвиток місцевої економіки
</t>
  </si>
  <si>
    <t xml:space="preserve">екологічні ефекти від реалізації проекту: негативного впливу на довкілля немає — офісна консультаційна діяльність. Передбачено електронний документообіг і КЕП (скорочення паперу на 80 %), енергоефективну техніку класу A, зарядну станцію замість бензинового генератора на випадок відключень, дистанційний формат роботи з клієнтами (менше поїздок).</t>
  </si>
  <si>
    <t xml:space="preserve">Опишіть, чи матиме проєкт позитивний або негативний вплив на довкілля та які заходи передбачені для зменшення такого впливу
</t>
  </si>
  <si>
    <t xml:space="preserve">додаткові ефекти від реалізації проекту: поява в Жашкові нового виду професійних послуг, які раніше замовляли у Києві; зниження ризиків штрафів і втрати контрактів для місцевих компаній; формування попиту на суміжні послуги (ІТ, друк, навчання, оренда); навчальний партнер для центру зайнятості та громади з питань ведення бізнесу та антикорупційних вимог.</t>
  </si>
  <si>
    <t xml:space="preserve">Зазначте інші важливі результати проєкту, які не відображені у фінансових, соціальних або екологічних показниках.</t>
  </si>
  <si>
    <t xml:space="preserve">період досягнення точки беззбитковості, місяців:</t>
  </si>
  <si>
    <t xml:space="preserve">М3 — з третього місяця дохід від послуг покриває щомісячні витрати (оплата праці з ЄСВ, податки, оренда, поточні витрати); стійко — з М6.</t>
  </si>
  <si>
    <t xml:space="preserve"> Зазначити місяць реалізації проєкту, починаючи з якого прогнозовані доходи покривають прогнозовані витрати. Зазначте, з якого місяця проєкт виходить на беззбитковість — тобто доходи починають покривати витрати
</t>
  </si>
  <si>
    <t xml:space="preserve">версія бізнес-плану:</t>
  </si>
  <si>
    <t xml:space="preserve">Версія 2 (доопрацьована редакція після відмови за версією 1 від вересня 2026 р.)</t>
  </si>
  <si>
    <t xml:space="preserve"> зазначте номер або позначення поточної версії бізнес-плану, наприклад: «Версія 1», «Версія 2». Вкажіть номер версії бізнес-плану. Перший підготовлений варіант — “Версія 1”, після внесення змін або доопрацювання — “Версія 2” і далі по порядку
</t>
  </si>
  <si>
    <t xml:space="preserve">дата підготовки / останнього оновлення:</t>
  </si>
  <si>
    <t xml:space="preserve">18.10.2026 (оновити дату на день подання заяви)</t>
  </si>
  <si>
    <t xml:space="preserve"> зазначте дату, коли бізнес-план був підготовлений або востаннє змінений. Зазначте дату підготовки бізнес-плану або, якщо його змінювали, дату останнього оновлення
</t>
  </si>
  <si>
    <t xml:space="preserve">Інвестиційний план:</t>
  </si>
  <si>
    <t xml:space="preserve">перелік активів, що планується придбати за рахунок грантових коштів</t>
  </si>
  <si>
    <t xml:space="preserve">Стаття витрат </t>
  </si>
  <si>
    <t xml:space="preserve">Сума  (грн)</t>
  </si>
  <si>
    <t xml:space="preserve">Обгрунтування</t>
  </si>
  <si>
    <t xml:space="preserve">Витрати, що плануються за рахунок грантових коштів, повинні відповідати напрямам використання гранту, визначеним пунктом 7 Порядку, та бути передбачені бізнес-планом. Для кожної позиції зазначте найменування, орієнтовну марку/модель або основні характеристики та вартість. Зміна погоджених позицій, характеристик, марки/моделі або структури витрат під час реалізації проєкту здійснюється у порядку, визначеному Порядком та договором гранту; не вважайте таку заміну автоматично дозволеною.</t>
  </si>
  <si>
    <t xml:space="preserve">Комп'ютерна техніка та обладнання робочих місць; меблі для 3 робочих місць і переговорної зони</t>
  </si>
  <si>
    <t xml:space="preserve">ноутбук керівника 1×55 000; ноутбуки працівників 2×42 000; монітори 27" 3×9 000; БФП лазерний А4 22 000; зарядна станція/ДБЖ 1 кВт·год 35 000; мережеве обладнання і NAS для резервних копій 25 000; гарнітури/вебкамери 12 000; екран 55" для презентацій і навчань 20 000; шредер 6 000; сейф для документів 14 000; меблі: столи 3×7 000; крісла 3×6 000; шафи для документів 2×8 000; стіл переговорний з 6 стільцями 25 000; тумби та полиці 10 000. Напрям: пп. 1 та 5 п. 7 (обладнання, облаштування робочих місць) — без окремого ліміту.</t>
  </si>
  <si>
    <t xml:space="preserve">Ліцензійне програмне забезпечення (12 місяців)</t>
  </si>
  <si>
    <t xml:space="preserve">LIGA360 (2 користувачі) 72 000; YouControl (перевірка контрагентів) 48 000; Microsoft 365 Business (3 користувачі) 15 000; CRM-система 18 000; електронний документообіг і КЕП 6 000; антивірус і резервне копіювання 9 000; сервіс відеоконференцій 12 000. Напрям: пп. 3 п. 7 — не більше 25 % гранту (250 000).</t>
  </si>
  <si>
    <t xml:space="preserve">Вебсайт із базою знань та інтеграцією з CRM</t>
  </si>
  <si>
    <t xml:space="preserve">розроблення сайту: каталог послуг, форма замовлення, база знань, інтеграція з CRM, захист даних. Напрям: пп. 3 п. 7 — не більше 10 % гранту (100 000).</t>
  </si>
  <si>
    <t xml:space="preserve">Налаштування та інтеграція цифрових рішень</t>
  </si>
  <si>
    <t xml:space="preserve">налаштування CRM, електронного документообігу, резервного копіювання, політик кібербезпеки робочих місць. Напрям: пп. 3 п. 7 — не більше 20 % гранту (200 000).</t>
  </si>
  <si>
    <t xml:space="preserve">Маркетинг та реклама</t>
  </si>
  <si>
    <t xml:space="preserve">таргетована реклама у LinkedIn/Meta/Google 60 000; публікації у профільних медіа та участь у бізнес-подіях 35 000. Напрям: пп. 4 п. 7 — не більше 10 % гранту (100 000).</t>
  </si>
  <si>
    <t xml:space="preserve">Фірмовий стиль і промоматеріали</t>
  </si>
  <si>
    <t xml:space="preserve">айдентика, шаблони презентацій і комерційних пропозицій, друк матеріалів. Напрям: пп. 4 п. 7 — не більше 50 % гранту.</t>
  </si>
  <si>
    <t xml:space="preserve">Оренда офісного приміщення (12 місяців)</t>
  </si>
  <si>
    <t xml:space="preserve">м. Жашків, вул. Соборна, 37: 12 місяців × 15 000 грн за договором оренди строком не менше 12 місяців. Напрям: пп. 2 п. 7 — не більше 25 % гранту (250 000).</t>
  </si>
  <si>
    <t xml:space="preserve">Разом:</t>
  </si>
  <si>
    <t xml:space="preserve">разом грант — 100 % запитуваної суми; усі напрями в межах лімітів п. 7 Порядку</t>
  </si>
  <si>
    <t xml:space="preserve">власні / залучені кошти (за наявності, не є обов’язковою умовою):</t>
  </si>
  <si>
    <t xml:space="preserve">Стаття витрат</t>
  </si>
  <si>
    <t xml:space="preserve">Цей блок заповнюється лише за наявності власних або інших залучених коштів. Співфінансування не є обов’язковою умовою отримання гранту за Порядком. Якщо додаткові кошти передбачені — зазначте суму, джерело та напрями їх використання; якщо не передбачені — зазначте 0 грн.</t>
  </si>
  <si>
    <t xml:space="preserve">Навчання: Розширений сертифікат ICA з управління, ризиків та комплаєнсу</t>
  </si>
  <si>
    <t xml:space="preserve">за власні кошти, оплата у М1; рахунок провайдера навчання</t>
  </si>
  <si>
    <t xml:space="preserve">Навчання: Диплом ICA з управління, ризиків та комплаєнсу</t>
  </si>
  <si>
    <t xml:space="preserve">за власні кошти, оплата у М13; рахунок провайдера навчання</t>
  </si>
  <si>
    <t xml:space="preserve">Оборотні кошти (резерв на перші місяці)</t>
  </si>
  <si>
    <t xml:space="preserve">за власні кошти, оплата у М1; підтверджується випискою з банківського рахунку</t>
  </si>
  <si>
    <t xml:space="preserve">загальний бюджет проєкту: грант + власні кошти</t>
  </si>
  <si>
    <t xml:space="preserve">Кадровий план:</t>
  </si>
  <si>
    <t xml:space="preserve">кількість новостворених робочих місць:</t>
  </si>
  <si>
    <t xml:space="preserve">запланована кількість робочих місць, що будуть створені в результаті реалізації проекту, з обґрунтуванням потреби у кожній посаді. Вкажіть загальну кількість нових робочих місць, які планується створити в межах проєкту. Обґрунтування потреби в кожній новій посаді зазначте нижче у переліку посад</t>
  </si>
  <si>
    <t xml:space="preserve">перелік посад та розмір передбаченої заробітної плати:</t>
  </si>
  <si>
    <t xml:space="preserve">Існуючі посади на дату подання заяви: найманих працівників немає (діяльність провадить ФОП особисто). Нові посади (постійна зайнятість, повний робочий день, створюються протягом 3 місяців з дня зарахування гранту):
1) консультант з комплаєнсу (юрист) — 1 особа, 25 000 грн/міс до оподаткування (з М13 — 27 500, з М25 — 30 000): розроблення політик і програм, діагностика процесів, навчання клієнтів;
2) аналітик з перевірки контрагентів / адміністратор проєктів — 1 особа, 20 000 грн/міс до оподаткування (з М13 — 22 500, з М25 — 25 000): перевірка контрагентів у YouControl та відкритих реєстрах, ведення CRM і документообігу, підтримка клієнтів.
Фонд оплати праці за 36 місяців — 1 800 000 грн; ЄСВ роботодавця — 396 000 грн. Бухгалтерський облік — на аутсорсингу (3 000 грн/міс). Обов’язкова умова масштабування (1 нове робоче місце) виконується з запасом; збільшення гранту на 20 % за 2 робочі місця не заявляється.</t>
  </si>
  <si>
    <t xml:space="preserve">найменування посад, кількість працівників за кожною посадою, орієнтовний розмір щомісячної заробітної плати (до оподаткування або після ⸺ із зазначенням формату), тривалість зайнятості (постійна чи сезонна). Дані мають відповідати розрахункам витрат на оплату праці у фінансовій частині бізнес-плану. Зазначте окремо існуючі посади на дату подання заяви та нові посади, які планується створити в межах проєкту. Для кожної посади вкажіть назву, кількість працівників, орієнтовну щомісячну заробітну плату до оподаткування та вид зайнятості — постійна чи сезонна. Коротко поясніть потребу в кожній новій посаді. Дані мають відповідати розрахункам витрат на оплату праці у фінансовій частині бізнес-плану</t>
  </si>
  <si>
    <t xml:space="preserve">Оцінка ризиків:</t>
  </si>
  <si>
    <t xml:space="preserve">основні ризики реалізації проекту:</t>
  </si>
  <si>
    <t xml:space="preserve">основні ризики реалізації проекту: 1) повільніше, ніж заплановано, залучення клієнтів (зовнішній, ринковий); 2) затримки оплати клієнтами (фінансовий); 3) складність найму кваліфікованого юриста/аналітика у малому місті (кадровий); 4) зміни законодавства та податкових правил (регуляторний); 5) перебої з електропостачанням і зв’язком, кіберінциденти, втрата даних (технологічний); 6) залежність від компетенцій засновниці на старті (організаційний); 7) неприйняття банком окремих платежів або зміна цін постачальників (операційний).</t>
  </si>
  <si>
    <t xml:space="preserve">потенційні внутрішні ризики (організаційні, кадрові, фінансові, технологічні) та зовнішні ризики (економічна нестабільність, зміна законодавства, коливання цін на ресурси, конкуренція, форс-мажорні обставини). Опишіть основні ризики, які можуть вплинути на реалізацію проєкту. Це можуть бути внутрішні ризики, пов’язані з організацією роботи, персоналом, фінансами або обладнанням, а також зовнішні — зміна цін, конкуренція, економічна ситуація, зміни законодавства чи форс-мажорні обставини</t>
  </si>
  <si>
    <t xml:space="preserve">механізми управління ризиками та заходи з їх мінімізації:</t>
  </si>
  <si>
    <t xml:space="preserve">механізми управління ризиками: 1) стрес-сценарій −20 % виручки прораховано — податки за 36 місяців усе одно перевищують суму гранту; диверсифікація: 5 пакетів послуг, 3 канали продажів (партнери-бухгалтери та юристи, прямі продажі через сайт/LinkedIn, рекомендації абонентських клієнтів), відкриті вебінари для генерації звернень; 2) 50 % авансу за проєктними послугами, абонентська плата наперед, резерв оборотних коштів 100 000 грн; 3) дистанційний формат роботи дозволяє наймати фахівців з інших міст області, наставництво та оплачуване навчання, кадровий резерв з випускників профільних вишів; 4) абонемент LIGA360 і щомісячний моніторинг змін, членство у професійних спільнотах; 5) зарядна станція 1 кВт·год, Starlink/резервний мобільний інтернет, щоденне резервне копіювання на NAS і в хмару, антивірус, політика кібербезпеки; 6) документовані методики та шаблони, навчання працівників, сертифікація ICA; 7) порівняння 2–3 комерційних пропозицій за кожною закупівлею, погодження предмета закупівлі з банком до оплати, зміни до бізнес-плану — у порядку п. 32 Порядку.</t>
  </si>
  <si>
    <t xml:space="preserve">можливі дії або запобіжні заходи для кожного ідентифікованого ризику, спрямовані на зменшення ймовірності його виникнення або впливу на проект (наприклад, диверсифікація постачальників, створення резервів, додаткове навчання персоналу). Для кожного зазначеного ризику коротко опишіть, що будете робити, щоб зменшити ймовірність його виникнення або його вплив на бізнес. Наприклад: мати кількох постачальників, створити фінансовий резерв, навчати працівників або передбачити альтернативний спосіб роботи</t>
  </si>
  <si>
    <t xml:space="preserve">Соціально-економічні результати реалізації проекту:</t>
  </si>
  <si>
    <t xml:space="preserve">кількість створених робочих місць:</t>
  </si>
  <si>
    <t xml:space="preserve">загальна кількість нових робочих місць, що будуть створені в результаті реалізації проекту (з урахуванням прямого та непрямого впливу). Кількість створених робочих місць</t>
  </si>
  <si>
    <t xml:space="preserve">прогнозовані суми податкових та інших обов’язкових платежів:</t>
  </si>
  <si>
    <t xml:space="preserve">Всього за 36 місяців — 1 278 364 грн, з них: ПДФО за працівників — 324 000 грн; військовий збір за працівників — 90 000 грн; ЄСВ за працівників — 396 000 грн; єдиний податок ФОП (5 %) — 327 300 грн; військовий збір ФОП (1 %) — 65 460 грн; ЄСВ ФОП за себе — 75 604 грн. Накопичена сума платежів перевищує суму гранту (1 000 000 грн) у М30; за рахунку з місяця, наступного за місяцем зарахування гранту (п. 23 Порядку), — також у М30.</t>
  </si>
  <si>
    <t xml:space="preserve">Зазначити прогнозовану суму податків, зборів та єдиного внеску на загальнообов’язкове державне соціальне страхування, що очікується до сплати протягом усього строку реалізації проєкту. Орієнтовна оцінка  суми сплачених податків, зборів (обов’язкових платежів), єдиного внеску на загальнообов’язкове державне соціальне страхування. </t>
  </si>
  <si>
    <t xml:space="preserve">вплив проекту на розвиток підприємницького середовища в регіоні:</t>
  </si>
  <si>
    <t xml:space="preserve">Проєкт створює у Жашківській громаді новий вид професійних послуг і 2 офіційні робочі місця з зарплатою вище середньої по громаді, формує податкові надходження до місцевого бюджету (ПДФО, єдиний податок) і попит на місцеві послуги (оренда, ІТ-обслуговування, друк, зв’язок). Для місцевих підприємців проєкт знижує бар’єр входу на ринки, де потрібні антикорупційна програма, перевірка контрагентів і внутрішній контроль (публічні закупівлі, експорт, грантові програми, банківське фінансування), а отже сприяє зростанню їхніх оборотів і зайнятості. Відкриті вебінари та стажування для випускників ліцею підвищують підприємницьку та правову культуру молоді громади.</t>
  </si>
  <si>
    <t xml:space="preserve">опис того, як реалізація проекту сприятиме активізації економічної діяльності в регіоні (створення суміжного бізнесу, розвиток локальної логістики, підвищення рівня зайнятості населення, формування попиту на місцеву сировину/ресурси). Опишіть, як реалізація проєкту може вплинути на розвиток бізнесу в регіоні: створення робочих місць, співпрацю з місцевими підприємцями, попит на місцеві товари та послуги або розвиток інших напрямів економічної діяльності.</t>
  </si>
  <si>
    <t xml:space="preserve">План надходжень та витрат на 24, 36 або 60 місяців</t>
  </si>
  <si>
    <t xml:space="preserve">Назва суб'єкта діяльності/ФОП/ПІБ заявника (для фізичних осіб):</t>
  </si>
  <si>
    <t xml:space="preserve">ФОП Федоренко Таїсія Анатоліївна</t>
  </si>
  <si>
    <t xml:space="preserve">У цьому розділі вкажіть прогнозовані надходження та витрати за кожен місяць реалізації проєкту — 24, 36 або 60 місяців. Дані мають відповідати інформації, зазначеній у бізнес-плані, та відображати всю заплановану діяльність</t>
  </si>
  <si>
    <t xml:space="preserve">Сума гранту, грн.</t>
  </si>
  <si>
    <t xml:space="preserve">Період реалізації проєкту, місяців</t>
  </si>
  <si>
    <t xml:space="preserve">Прогноз доходів формується за кожним видом продукції/послуг окремо на підставі прогнозованого обсягу реалізації та ціни продажу. Дані мають бути узгоджені з описом продукції/послуг, ціновою стратегією та прогнозними обсягами продажів у бізнес-плані.</t>
  </si>
  <si>
    <t xml:space="preserve">місяці періоду реалізації бізнес-плана</t>
  </si>
  <si>
    <t xml:space="preserve">Статті надходжень</t>
  </si>
  <si>
    <t xml:space="preserve">Опис (в разі необхідності)</t>
  </si>
  <si>
    <t xml:space="preserve">Залишок коштів/переплат на дату початку</t>
  </si>
  <si>
    <t xml:space="preserve">Всього</t>
  </si>
  <si>
    <t xml:space="preserve">Розмір гранту</t>
  </si>
  <si>
    <t xml:space="preserve">н/д</t>
  </si>
  <si>
    <t xml:space="preserve">Власні або залучені кошти, вкладені у проєкт</t>
  </si>
  <si>
    <t xml:space="preserve">власні кошти: М1 — 110 000 (навчання ICA) + 100 000 (оборотні кошти); М13 — 275 860 (диплом ICA)</t>
  </si>
  <si>
    <t xml:space="preserve">Дохід від реалізації продукції, товарів або послуг (за наявності кількох видів товарів або послуг розрахуйте дохід за кожним видом окремо, а в таблиці зазначте загальну суму прогнозованого доходу за місяць)</t>
  </si>
  <si>
    <t xml:space="preserve">основні послуги: комплаєнс-діагностика, антикорупційні програми та політики, абонентський супровід</t>
  </si>
  <si>
    <t xml:space="preserve">Додаткові доходи від реалізації товарів або послуг (зазначайте лише додаткові доходи, які не включені до основного прогнозу доходу від реалізації)</t>
  </si>
  <si>
    <t xml:space="preserve">додаткові послуги: перевірка контрагентів, навчання персоналу клієнтів</t>
  </si>
  <si>
    <t xml:space="preserve">Доходи від реалізації майна</t>
  </si>
  <si>
    <t xml:space="preserve">Інші джерела надходжень грошових коштів</t>
  </si>
  <si>
    <t xml:space="preserve">Всього надходжень</t>
  </si>
  <si>
    <t xml:space="preserve">1. Прогноз витрат формується за основними категоріями витрат за кожен місяць реалізації проєкту. Витрати мають бути обґрунтованими, пов’язаними з господарською діяльністю за проєктом та узгодженими з інвестиційним, кадровим і операційним планами бізнес-плану.                2. Одноразові інвестиційні витрати та поточні операційні витрати відображаються окремо. Не допускається повторне включення однієї й тієї самої витрати до обох категорій.</t>
  </si>
  <si>
    <t xml:space="preserve">Вкажіть прогнозований дохід за кожен місяць окремо. Розрахунок бажано робити на основі очікуваного обсягу продажів × ціна товару або послуги</t>
  </si>
  <si>
    <t xml:space="preserve">Статті витрат, пов’язані з реалізацією проєкту, грн.</t>
  </si>
  <si>
    <t xml:space="preserve">Залишок коштів/переплат на дату початку </t>
  </si>
  <si>
    <t xml:space="preserve">`</t>
  </si>
  <si>
    <t xml:space="preserve">Витрати, пов’язані з реалізацією продукції / наданням послуг</t>
  </si>
  <si>
    <t xml:space="preserve">Придбання майна для здійснення діяльності</t>
  </si>
  <si>
    <t xml:space="preserve">канцтовари, витратні матеріали, обслуговування техніки</t>
  </si>
  <si>
    <t xml:space="preserve">Оренда нежитлових приміщень та/або земельної ділянки</t>
  </si>
  <si>
    <t xml:space="preserve">офіс, вул. Соборна, 37: М1 — 12 місяців наперед за рахунок гранту (180 000); з М13 — 15 000/міс з доходу</t>
  </si>
  <si>
    <t xml:space="preserve">Оренда обладнання</t>
  </si>
  <si>
    <t xml:space="preserve">Інші обов’язкові або господарські платежі, пов’язані з діяльністю бізнесу, які не віднесені до окремих статей вище, у тому числі платежі за фінансовим лізингом</t>
  </si>
  <si>
    <t xml:space="preserve">банківське обслуговування 300/міс; навчання ICA за власні кошти (М1 — 110 000; М13 — 275 860)</t>
  </si>
  <si>
    <t xml:space="preserve">Комунальні послуги (газ, світло, вода)</t>
  </si>
  <si>
    <t xml:space="preserve">електроенергія, вода, опалення (сезонно)</t>
  </si>
  <si>
    <t xml:space="preserve">Страхування</t>
  </si>
  <si>
    <t xml:space="preserve">Маркетинг та реклама, грн</t>
  </si>
  <si>
    <t xml:space="preserve">М1 — за рахунок гранту: реклама 95 000 + фірмовий стиль 20 000; далі — реклама з доходу</t>
  </si>
  <si>
    <t xml:space="preserve">Зв’язок, інтернет, охорона та інші супутні послуги, грн</t>
  </si>
  <si>
    <t xml:space="preserve">інтернет, мобільний зв’язок</t>
  </si>
  <si>
    <t xml:space="preserve">Основні засоби, обладнання та облаштування робочих місць</t>
  </si>
  <si>
    <t xml:space="preserve">М1 — за рахунок гранту: комп’ютерна техніка та обладнання 300 000, меблі 90 000</t>
  </si>
  <si>
    <t xml:space="preserve"> Ремонт приміщень та обладнання, матеріали та послуги, грн</t>
  </si>
  <si>
    <t xml:space="preserve">Транспорт і доставка</t>
  </si>
  <si>
    <t xml:space="preserve">відрядження до клієнтів, доставка</t>
  </si>
  <si>
    <t xml:space="preserve">Професійні послуги, програмне забезпечення, цифровізація, франшиза та оформлення прав інтелектуальної власності</t>
  </si>
  <si>
    <t xml:space="preserve">М1 — за рахунок гранту: ПЗ 180 000 + сайт 95 000 + налаштування 40 000; бухгалтерський супровід 3 000/міс; продовження ліцензій з М13 — 15 000/міс</t>
  </si>
  <si>
    <t xml:space="preserve">Амортизаційні відрахування (частина вартості обладнання, техніки та інших основних засобів, яка поступово включається до витрат протягом строку їх використання)</t>
  </si>
  <si>
    <t xml:space="preserve">Всього витрат на оплату праці</t>
  </si>
  <si>
    <t xml:space="preserve">***Заробітна плата заявника (для ФОП)</t>
  </si>
  <si>
    <t xml:space="preserve">кошти на особисті потреби власниці (не є зарплатою найманого працівника)</t>
  </si>
  <si>
    <t xml:space="preserve">Оплата праці працівників, які працюють на дату початку реалізації проєкту</t>
  </si>
  <si>
    <t xml:space="preserve">Оплата праці працівників, працевлаштованих протягом строку реалізації проєкту</t>
  </si>
  <si>
    <t xml:space="preserve">2 нових робочих місця з М1: консультант з комплаєнсу 25 000 + аналітик 20 000 (індексація +10 % з М13 і з М25)</t>
  </si>
  <si>
    <t xml:space="preserve">Залишок зобов’язання за грантом після зарахування визначених Порядком податків, зборів та ЄСВ, грн</t>
  </si>
  <si>
    <t xml:space="preserve">Податки та обов’язкові платежі за працівників, які працюють на дату початку реалізації проєкту:</t>
  </si>
  <si>
    <t xml:space="preserve">ПДФО за діючих працівників, грн</t>
  </si>
  <si>
    <t xml:space="preserve">Військовий збір за діючих працівників, грн</t>
  </si>
  <si>
    <t xml:space="preserve">ЄСВ за діючих працівників, грн</t>
  </si>
  <si>
    <t xml:space="preserve">Податки та обов’язкові платежі за працівників, працевлаштованих протягом строку реалізації проєкту:</t>
  </si>
  <si>
    <t xml:space="preserve">ПДФО за працівників, працевлаштованих протягом строку реалізації проєкту, грн</t>
  </si>
  <si>
    <t xml:space="preserve">Військовий збір за працівників, працевлаштованих протягом строку реалізації проєкту, грн</t>
  </si>
  <si>
    <t xml:space="preserve">ЄСВ за працівників, працевлаштованих протягом строку реалізації проєкту, грн</t>
  </si>
  <si>
    <t xml:space="preserve">*Податки та обов’язкові платежі заявника / підприємства:</t>
  </si>
  <si>
    <t xml:space="preserve">Заповнюйте лише платежі, які застосовуються до вашої організаційно-правової форми та системи оподаткування. Ставки податків у цьому шаблоні не фіксуються автоматично, оскільки вони визначаються податковим законодавством та можуть змінюватися.</t>
  </si>
  <si>
    <t xml:space="preserve">Спрощена система — єдиний податок, грн</t>
  </si>
  <si>
    <t xml:space="preserve">5 % доходу від послуг (грант і власні кошти до бази ЄП не включаються — п. 292.11 ПКУ)</t>
  </si>
  <si>
    <t xml:space="preserve">Військовий збір ФОП на спрощеній системі, грн</t>
  </si>
  <si>
    <t xml:space="preserve">1 % доходу від послуг</t>
  </si>
  <si>
    <t xml:space="preserve">**Загальна система (ФОП) — оподатковуваний дохід, грн</t>
  </si>
  <si>
    <t xml:space="preserve">ПДФО від підприємницької діяльності ФОП, грн</t>
  </si>
  <si>
    <t xml:space="preserve">Військовий збір ФОП на загальній системі, грн</t>
  </si>
  <si>
    <t xml:space="preserve">ЄСВ за ФОП, грн</t>
  </si>
  <si>
    <t xml:space="preserve">22 % мінімальної зарплати (9 546 грн за проєктом бюджету-2027) = 2 100,12 грн/міс</t>
  </si>
  <si>
    <t xml:space="preserve">**Загальна система (підприємство) — оподатковуваний прибуток, грн</t>
  </si>
  <si>
    <t xml:space="preserve">Податок на прибуток підприємств, грн</t>
  </si>
  <si>
    <t xml:space="preserve">Екологічний податок, грн</t>
  </si>
  <si>
    <t xml:space="preserve">Рентна плата, грн</t>
  </si>
  <si>
    <t xml:space="preserve">Разом податки та обов’язкові платежі за місяць, грн</t>
  </si>
  <si>
    <t xml:space="preserve">Накопичені податки та обов’язкові платежі, грн</t>
  </si>
  <si>
    <t xml:space="preserve">Всього витрати</t>
  </si>
  <si>
    <t xml:space="preserve">Фінансовий результат за місяць, грн.</t>
  </si>
  <si>
    <t xml:space="preserve">  </t>
  </si>
  <si>
    <t xml:space="preserve">Залишок / дефіцит коштів на початок місяця, грн</t>
  </si>
  <si>
    <t xml:space="preserve">Залишок / дефіцит коштів на кінець місяця, грн</t>
  </si>
  <si>
    <t xml:space="preserve">Ваші нотатки та коментарі</t>
  </si>
  <si>
    <t xml:space="preserve">Використайте це місце для пояснень будь-якої необхідної інформації, яку ви вказали вище при заповненні полів.</t>
  </si>
  <si>
    <t xml:space="preserve">Припущення: М1 — місяць зарахування гранту (орієнтовно травень 2027). Грант у повному обсязі спрямовується на оплату закупівель у М1–М3 (у таблиці показано у М1). Оренда за 12 місяців сплачується наперед за рахунок гранту (пп. 2 п. 7 Порядку, 18 % гранту).</t>
  </si>
  <si>
    <t xml:space="preserve">Податки: ЄП 5 % і ВЗ 1 % нараховуються на дохід від послуг (рядки 16–19); грант і власні кошти — цільове фінансування, до бази ЄП не включаються (п. 292.11 ПКУ). ПДФО 18 %, ВЗ 5 %, ЄСВ 22 % — від нарахованої зарплати. ЄСВ ФОП — 22 % мінімальної зарплати (прогноз 2027 р.).</t>
  </si>
  <si>
    <t xml:space="preserve">У колонці «Всього» формули клітинок BM27, BM46, BM74 замінено на суму за строк проєкту (у шаблоні вони порівнювали текст «Всього» з числом і повертали 0). Решта формул шаблону збережена без змін.</t>
  </si>
  <si>
    <t xml:space="preserve">Для контролю виконання умов гранту працівники відображаються окремо: ті, хто працює на дату початку реалізації проєкту, та працівники, працевлаштовані протягом строку реалізації проєкту. Рядок погашення грантового зобов’язання є прогнозним; фактичні суми, що зараховуються у виконання умов договору гранту, визначаються відповідно до Порядку №616 та даних ДПС/ПФУ.</t>
  </si>
  <si>
    <t xml:space="preserve">**</t>
  </si>
  <si>
    <t xml:space="preserve">За потреби зазначте також суму оподатковуваного доходу або прибутку, від якої розрахований відповідний податок</t>
  </si>
  <si>
    <t xml:space="preserve">***</t>
  </si>
  <si>
    <t xml:space="preserve">Для ФОП зазначте суму коштів, яку плануєте отримувати для особистого використання. Цей показник використовується для фінансового планування і не є заробітною платою найманого працівника</t>
  </si>
  <si>
    <t xml:space="preserve">* Для прогнозного зменшення грантового зобов’язання у рядку «Разом податки та обов’язкові платежі за місяць» враховуються визначені Порядком №616 податки, збори та ЄСВ: за найманих працівників, які працюють у отримувача протягом строку реалізації проєкту, у тому числі за працівників, які працювали до отримання гранту, та за працівників, працевлаштованих протягом строку реалізації проєкту, а також відповідні платежі отримувача/підприємства. Розподіл працівників на дві групи у таблиці зроблено лише для прозорості фінансового прогнозу та контролю збереження існуючої зайнятості і створення нових робочих місць. Фактичні суми, що зараховуються у виконання умов договору гранту, визначаються відповідно до Порядку та даних ДПС/ПФУ.</t>
  </si>
  <si>
    <t xml:space="preserve">Амортизаційні відрахування - Облікова сума зносу основних засобів. Не є фактичною виплатою коштів і не включається до розрахунку грошового залишку.</t>
  </si>
  <si>
    <t xml:space="preserve">ІНСТРУКЦІЯ</t>
  </si>
  <si>
    <t xml:space="preserve">ЗАПОЧАТКУВАННЯ ВЛАСНОЇ СПРАВИ</t>
  </si>
  <si>
    <t xml:space="preserve">Постанова КМУ № 616 від 15.05.2026 (умови застосовуються з 01.09.2026)</t>
  </si>
  <si>
    <t xml:space="preserve">Офіційний текст: https://zakon.rada.gov.ua/laws/show/616-2026-%D0%BF</t>
  </si>
  <si>
    <t xml:space="preserve">ХТО МОЖЕ ОТРИМАТИ</t>
  </si>
  <si>
    <t xml:space="preserve">1. Фізичні особи — громадяни України віком від 18 років.</t>
  </si>
  <si>
    <t xml:space="preserve">До цієї категорії для цілей Порядку належать також визначені Порядком:</t>
  </si>
  <si>
    <t xml:space="preserve">• учасники бойових дій;</t>
  </si>
  <si>
    <t xml:space="preserve">• особи з інвалідністю внаслідок війни;</t>
  </si>
  <si>
    <t xml:space="preserve">• члени сімей зазначених осіб та члени сімей загиблих (померлих) Захисників і Захисниць України — у випадках і порядку, визначених законодавством та Порядком.</t>
  </si>
  <si>
    <t xml:space="preserve">Після прийняття рішення про надання гранту фізична особа протягом 20 календарних днів повинна зареєструватися як ФОП або створити юридичну особу приватного права, укласти договір гранту та подати до уповноваженого банку документи для відкриття рахунка.</t>
  </si>
  <si>
    <t xml:space="preserve">2. Також грант на започаткування може надаватися суб’єктам ветеранського підприємництва — ветеранам війни, які провадять незалежну професійну діяльність та взяті на податковий облік як самозайняті особи.</t>
  </si>
  <si>
    <t xml:space="preserve">РОЗМІР</t>
  </si>
  <si>
    <t xml:space="preserve">Від 100 000 до 300 000 грн включно — відповідно до запиту заявника.</t>
  </si>
  <si>
    <t xml:space="preserve">Максимальна сума з урахуванням передбачених Порядком збільшень — 500 000 грн.</t>
  </si>
  <si>
    <t xml:space="preserve">ЗБІЛЬШЕННЯ РОЗМІРУ ГРАНТУ</t>
  </si>
  <si>
    <t xml:space="preserve">+5% — для отримувача віком від 18 до 25 років включно.</t>
  </si>
  <si>
    <t xml:space="preserve">+20% — за кожної окремої умови:</t>
  </si>
  <si>
    <t xml:space="preserve">• отримувач є суб’єктом ветеранського підприємництва;</t>
  </si>
  <si>
    <t xml:space="preserve">• отримувач станом на дату подання заяви зареєстрований платником ПДВ;</t>
  </si>
  <si>
    <t xml:space="preserve">• отримувач є власником чинного патенту України на винахід та/або корисну модель, безпосередньо пов’язаних з реалізацією бізнес-проєкту;</t>
  </si>
  <si>
    <t xml:space="preserve">• отримувач є ВПО та має досвід провадження підприємницької діяльності понад 6 місяців, або заявником є релоковане підприємство;</t>
  </si>
  <si>
    <t xml:space="preserve">• отримувач бере на себе зобов’язання створити 2 нових робочих місця.</t>
  </si>
  <si>
    <t xml:space="preserve">+30% — за кожної окремої умови:</t>
  </si>
  <si>
    <t xml:space="preserve">• отримувач зареєстрований та провадить/планує провадити підприємницьку діяльність на визначених Порядком прифронтових територіях або на території Славутицької міської територіальної громади Київської області;</t>
  </si>
  <si>
    <t xml:space="preserve">• грант спрямовується на оновлення основних засобів виробництва, знищених чи пошкоджених внаслідок збройної агресії Російської Федерації проти України.</t>
  </si>
  <si>
    <t xml:space="preserve">+50% — для проєкту у пріоритетному секторі економіки, визначеному додатком до Порядку. Належність проєкту до такого сектору визначає Державний центр зайнятості.</t>
  </si>
  <si>
    <t xml:space="preserve">За одночасної наявності двох і більше умов відповідні відсотки сумуються.</t>
  </si>
  <si>
    <t xml:space="preserve">Гранична сума для започаткування після всіх збільшень — 500 000 грн.</t>
  </si>
  <si>
    <t xml:space="preserve">ВИКОРИСТАННЯ КОШТІВ</t>
  </si>
  <si>
    <t xml:space="preserve">Грант використовується лише на витрати, пов’язані із започаткуванням власної справи, за напрямами, визначеними пунктом 7 Порядку, відповідно до бізнес-плану та договору гранту.</t>
  </si>
  <si>
    <t xml:space="preserve">ОБМЕЖЕННЯ ЗА ОКРЕМИМИ НАПРЯМАМИ</t>
  </si>
  <si>
    <t xml:space="preserve">• ремонт приміщень та/або обладнання — не більше 50% розміру гранту;</t>
  </si>
  <si>
    <t xml:space="preserve">• тварини, птиця, багаторічні насадження, саджанці, посівний матеріал, сировина, матеріали, товари та пов’язані з реалізацією бізнес-плану послуги — сумарно не більше 50%;</t>
  </si>
  <si>
    <t xml:space="preserve">• фінансовий лізинг обладнання — не більше 50%;</t>
  </si>
  <si>
    <t xml:space="preserve">• оренда нежитлового приміщення та/або земельної ділянки — не більше 25%;</t>
  </si>
  <si>
    <t xml:space="preserve">• оренда обладнання — не більше 10%;</t>
  </si>
  <si>
    <t xml:space="preserve">• ліцензійне програмне забезпечення — не більше 25%;</t>
  </si>
  <si>
    <t xml:space="preserve">• веб-сайт/інтернет-магазин та цифрові інструменти автоматизації — не більше 10%;</t>
  </si>
  <si>
    <t xml:space="preserve">• налаштування, інтеграція та супровід цифрових рішень — не більше 20%;</t>
  </si>
  <si>
    <t xml:space="preserve">• маркетинг і реклама — не більше 10%;</t>
  </si>
  <si>
    <t xml:space="preserve">• айдентика, бренд, дизайн пакування, макети і друк промоматеріалів, фото-/відеоконтент, обробка аудіо-/відеопродукції, постпродакшн — не більше 50%;</t>
  </si>
  <si>
    <t xml:space="preserve">• роялті — сумарно не більше 20%;</t>
  </si>
  <si>
    <t xml:space="preserve">• створення об’єктів авторського права на замовлення — сумарно не більше 20%;</t>
  </si>
  <si>
    <t xml:space="preserve">• редагування, коректура та макетування друкованої продукції для представників креативних індустрій — не більше 50%;</t>
  </si>
  <si>
    <t xml:space="preserve">• послуги та платежі, пов’язані з оформленням прав інтелектуальної власності, — сумарно не більше 20%.</t>
  </si>
  <si>
    <t xml:space="preserve">БЕЗ ОКРЕМО ВСТАНОВЛЕНОГО В П. 7 ВІДСОТКОВОГО ОБМЕЖЕННЯ</t>
  </si>
  <si>
    <t xml:space="preserve">• меблі, обладнання, інструменти, машини та механізми, інші основні засоби;</t>
  </si>
  <si>
    <t xml:space="preserve">• транспортні засоби для комерційних та/або виробничих цілей — з урахуванням умов Порядку;</t>
  </si>
  <si>
    <t xml:space="preserve">• облаштування робочих місць — якщо такі витрати передбачені бізнес-планом.</t>
  </si>
  <si>
    <t xml:space="preserve">РОБОЧІ МІСЦЯ — ВАЖЛИВО</t>
  </si>
  <si>
    <t xml:space="preserve">Для гранту на започаткування власної справи у базовому розмірі 100 000–300 000 грн створення нового робочого місця саме по собі не є обов’язковою умовою.</t>
  </si>
  <si>
    <t xml:space="preserve">Якщо заявник обирає підставу для збільшення розміру гранту на 20% за робочі місця, він бере на себе окреме зобов’язання створити 2 нових робочих місця.</t>
  </si>
  <si>
    <t xml:space="preserve">Такі робочі місця створюються протягом 3 місяців з дня зарахування коштів на рахунок отримувача в уповноваженому банку.</t>
  </si>
  <si>
    <t xml:space="preserve">Новими вважаються робочі місця понад штатну чисельність працівників на дату подання заяви або робочі місця, створені у зв’язку з утворенням нового суб’єкта господарювання.</t>
  </si>
  <si>
    <t xml:space="preserve">Для виконання обов’язкової умови не може бути працевлаштована особа, яка перебувала у трудових відносинах з отримувачем гранту протягом 180 календарних днів до такого працевлаштування.</t>
  </si>
  <si>
    <t xml:space="preserve">Строк працевлаштування на обов’язково створених робочих місцях — не менш як 18, 24 або 54 місяці протягом строку реалізації проєкту відповідно до умов договору гранту.</t>
  </si>
  <si>
    <t xml:space="preserve">СТРОК ПРОЄКТУ</t>
  </si>
  <si>
    <t xml:space="preserve">2, 3 або 5 років (24, 36 або 60 місяців). Обраний строк зазначається у заяві та/або бізнес-плані.</t>
  </si>
  <si>
    <t xml:space="preserve">ГРАНТОВЕ ЗОБОВ’ЯЗАННЯ</t>
  </si>
  <si>
    <t xml:space="preserve">Протягом строку реалізації проєкту отримувач виконує обов’язкові умови договору гранту, у тому числі щодо сплати передбачених Порядком податків, зборів та ЄСВ. Невиконання умов може мати наслідком повернення коштів у випадках і розмірах, визначених Порядком.</t>
  </si>
  <si>
    <t xml:space="preserve">Перед поданням перевірте, щоб умови, обрані в матриці розрахунку гранту, відповідали фактичному статусу заявника та зобов’язанням, які він готовий виконувати.</t>
  </si>
  <si>
    <t xml:space="preserve">МАСШТАБУВАННЯ ВЛАСНОЇ СПРАВИ</t>
  </si>
  <si>
    <t xml:space="preserve">Суб’єкти господарювання:</t>
  </si>
  <si>
    <t xml:space="preserve">• фізичні особи — підприємці;</t>
  </si>
  <si>
    <t xml:space="preserve">• юридичні особи приватного права;</t>
  </si>
  <si>
    <t xml:space="preserve">• у тому числі суб’єкти ветеранського підприємництва.</t>
  </si>
  <si>
    <t xml:space="preserve">Обов’язкові вимоги до заявника:</t>
  </si>
  <si>
    <t xml:space="preserve">• відповідність критеріям суб’єкта малого або середнього підприємництва, визначеним Порядком;</t>
  </si>
  <si>
    <t xml:space="preserve">• заявник не належить до державного або комунального сектору економіки.</t>
  </si>
  <si>
    <t xml:space="preserve">Від 500 000 до 1 500 000 грн включно — відповідно до запиту заявника.</t>
  </si>
  <si>
    <t xml:space="preserve">Базова обов’язкова умова масштабування — створення 1 нового робочого місця.</t>
  </si>
  <si>
    <t xml:space="preserve">Максимальна сума з урахуванням передбачених Порядком збільшень — 2 500 000 грн.</t>
  </si>
  <si>
    <t xml:space="preserve">Гранична сума для масштабування після всіх збільшень — 2 500 000 грн.</t>
  </si>
  <si>
    <t xml:space="preserve">Грант використовується лише на витрати, пов’язані з масштабуванням власної справи, за напрямами, визначеними пунктом 7 Порядку, відповідно до бізнес-плану та договору гранту.</t>
  </si>
  <si>
    <t xml:space="preserve">Для гранту на масштабування власної справи у базовому розмірі 500 000–1 500 000 грн обов’язковою умовою є створення 1 нового робочого місця.</t>
  </si>
  <si>
    <t xml:space="preserve">Якщо заявник обирає підставу для збільшення розміру гранту на 20% за робочі місця, він бере на себе зобов’язання створити 2 нових робочих місця. Це зобов’язання зазначається окремо від базової умови масштабування.</t>
  </si>
  <si>
    <t xml:space="preserve">Обов’язкові робочі місця створюються протягом 3 місяців з дня зарахування коштів на рахунок отримувача в уповноваженому банку.</t>
  </si>
  <si>
    <t xml:space="preserve">Новими вважаються робочі місця понад штатну чисельність працівників на дату подання заяви.</t>
  </si>
  <si>
    <t xml:space="preserve">Протягом строку реалізації проєкту отримувач виконує обов’язкові умови договору гранту, у тому числі щодо створення робочого місця/місць та сплати передбачених Порядком податків, зборів та ЄСВ. Невиконання умов може мати наслідком повернення коштів у випадках і розмірах, визначених Порядком.</t>
  </si>
  <si>
    <t xml:space="preserve">ДОВІДНИК ДОПУСТИМИХ ВИТРАТ ЗА ПУНКТОМ 7 ПОРЯДКУ</t>
  </si>
  <si>
    <t xml:space="preserve">Позначення 100% у колонці «Максимальна частка» означає лише відсутність окремого спеціального відсоткового ліміту для цього напряму в пункті 7 Порядку; воно не означає безумовного права спрямувати весь грант на будь-яку позицію. Витрата повинна відповідати Порядку, бізнес-плану та договору гранту.</t>
  </si>
  <si>
    <t xml:space="preserve">Джерело: https://zakon.rada.gov.ua/laws/show/616-2026-%D0%BF</t>
  </si>
  <si>
    <t xml:space="preserve">Категорія для вибору</t>
  </si>
  <si>
    <t xml:space="preserve">Напрям витрат</t>
  </si>
  <si>
    <t xml:space="preserve">Максимальна частка</t>
  </si>
  <si>
    <t xml:space="preserve">Обладнання</t>
  </si>
  <si>
    <t xml:space="preserve">Обладнання та виробничі активи</t>
  </si>
  <si>
    <t xml:space="preserve">Меблі, обладнання, інструменти, машини, механізми та інші основні засоби. Окремий відсотковий ліміт не встановлено.</t>
  </si>
  <si>
    <t xml:space="preserve">Транспорт</t>
  </si>
  <si>
    <t xml:space="preserve">Транспортні засоби для комерційних та/або виробничих цілей; діє заборона відчуження до виконання умов договору гранту.</t>
  </si>
  <si>
    <t xml:space="preserve">Ремонт</t>
  </si>
  <si>
    <t xml:space="preserve">Матеріали та послуги для ремонту приміщень та/або обладнання — не більше 50% розміру гранту.</t>
  </si>
  <si>
    <t xml:space="preserve">Сировина/матеріали</t>
  </si>
  <si>
    <t xml:space="preserve">Тварини, птиця, насадження, саджанці, посівний матеріал, сировина, матеріали, товари й послуги — сумарно не більше 50%.</t>
  </si>
  <si>
    <t xml:space="preserve">Фінлізинг</t>
  </si>
  <si>
    <t xml:space="preserve">Фінансовий лізинг обладнання, крім транспортних засобів особистого користування — не більше 50%.</t>
  </si>
  <si>
    <t xml:space="preserve">Оренда приміщень</t>
  </si>
  <si>
    <t xml:space="preserve">Оренда виробничих/офісних приміщень</t>
  </si>
  <si>
    <t xml:space="preserve">Оренда нежитлового приміщення та/або земельної ділянки — не більше 25%.</t>
  </si>
  <si>
    <t xml:space="preserve">Орендна плата за обладнання — не більше 10%.</t>
  </si>
  <si>
    <t xml:space="preserve">ПЗ</t>
  </si>
  <si>
    <t xml:space="preserve">Автоматизація та цифровізація</t>
  </si>
  <si>
    <t xml:space="preserve">Ліцензійне програмне забезпечення — не більше 25%.</t>
  </si>
  <si>
    <t xml:space="preserve">Веб/автоматизація</t>
  </si>
  <si>
    <t xml:space="preserve">Веб-сайт, інтернет-магазин і цифрові інструменти автоматизації — не більше 10%.</t>
  </si>
  <si>
    <t xml:space="preserve">Цифрові послуги</t>
  </si>
  <si>
    <t xml:space="preserve">Налаштування, інтеграція та супровід цифрових рішень — не більше 20%.</t>
  </si>
  <si>
    <t xml:space="preserve">Маркетинг</t>
  </si>
  <si>
    <t xml:space="preserve">Пакування, брендинг, маркетинг</t>
  </si>
  <si>
    <t xml:space="preserve">Послуги маркетингу та реклами — не більше 10%.</t>
  </si>
  <si>
    <t xml:space="preserve">Брендинг/контент</t>
  </si>
  <si>
    <t xml:space="preserve">Айдентика, пакування, промоматеріали, фото-, відео- та аудіоконтент, постпродакшн — не більше 50%.</t>
  </si>
  <si>
    <t xml:space="preserve">Роялті</t>
  </si>
  <si>
    <t xml:space="preserve">Роялті за об’єкти авторського права, суміжних прав та промислові зразки — сумарно не більше 20%.</t>
  </si>
  <si>
    <t xml:space="preserve">Авторський об’єкт</t>
  </si>
  <si>
    <t xml:space="preserve">Створення за замовленням об’єктів авторського права — сумарно не більше 20%.</t>
  </si>
  <si>
    <t xml:space="preserve">Редагування</t>
  </si>
  <si>
    <t xml:space="preserve">Редагування, коректура й макетування друкованої продукції — лише для креативних індустрій, не більше 50%.</t>
  </si>
  <si>
    <t xml:space="preserve">Робочі місця</t>
  </si>
  <si>
    <t xml:space="preserve">Облаштування робочих місць</t>
  </si>
  <si>
    <t xml:space="preserve">Меблі, обладнання, інструменти, спецодяг і засоби індивідуального захисту. Окремий відсотковий ліміт не встановлено.</t>
  </si>
  <si>
    <t xml:space="preserve">Реєстрація ІВ</t>
  </si>
  <si>
    <t xml:space="preserve">Права інтелектуальної власності</t>
  </si>
  <si>
    <t xml:space="preserve">Реєстрація торговельної марки чи промислового зразка, послуги патентного повіреного та інші платежі — сумарно не більше 20%.</t>
  </si>
</sst>
</file>

<file path=xl/styles.xml><?xml version="1.0" encoding="utf-8"?>
<styleSheet xmlns="http://schemas.openxmlformats.org/spreadsheetml/2006/main">
  <numFmts count="9">
    <numFmt numFmtId="164" formatCode="General"/>
    <numFmt numFmtId="165" formatCode="_(\$* #,##0.00_);_(\$* \(#,##0.00\);_(\$* \-??_);_(@_)"/>
    <numFmt numFmtId="166" formatCode="_(* #,##0.00_);_(* \(#,##0.00\);_(* \-??_);_(@_)"/>
    <numFmt numFmtId="167" formatCode="mmm\-yy"/>
    <numFmt numFmtId="168" formatCode="#,##0;[RED]\(#,##0\);\-"/>
    <numFmt numFmtId="169" formatCode="0%"/>
    <numFmt numFmtId="170" formatCode="General"/>
    <numFmt numFmtId="171" formatCode="#,##0"/>
    <numFmt numFmtId="172" formatCode="_-* #,##0\ _₴_-;\-* #,##0\ _₴_-;_-* \-??\ _₴_-;_-@"/>
  </numFmts>
  <fonts count="17">
    <font>
      <sz val="11"/>
      <color rgb="FF000000"/>
      <name val="Arial"/>
      <family val="0"/>
      <charset val="1"/>
    </font>
    <font>
      <sz val="10"/>
      <name val="Arial"/>
      <family val="0"/>
    </font>
    <font>
      <sz val="10"/>
      <name val="Arial"/>
      <family val="0"/>
    </font>
    <font>
      <sz val="10"/>
      <name val="Arial"/>
      <family val="0"/>
    </font>
    <font>
      <sz val="12"/>
      <color rgb="FF000000"/>
      <name val="Times New Roman"/>
      <family val="0"/>
      <charset val="1"/>
    </font>
    <font>
      <sz val="12"/>
      <name val="Times New Roman"/>
      <family val="0"/>
      <charset val="1"/>
    </font>
    <font>
      <sz val="12"/>
      <color theme="1"/>
      <name val="Times New Roman"/>
      <family val="0"/>
      <charset val="1"/>
    </font>
    <font>
      <b val="true"/>
      <sz val="12"/>
      <name val="Times New Roman"/>
      <family val="0"/>
      <charset val="1"/>
    </font>
    <font>
      <sz val="12"/>
      <color rgb="FF142855"/>
      <name val="Times New Roman"/>
      <family val="0"/>
      <charset val="1"/>
    </font>
    <font>
      <b val="true"/>
      <sz val="12"/>
      <color theme="0"/>
      <name val="Times New Roman"/>
      <family val="0"/>
      <charset val="1"/>
    </font>
    <font>
      <b val="true"/>
      <sz val="12"/>
      <color rgb="FFFFFFFF"/>
      <name val="Times New Roman"/>
      <family val="0"/>
      <charset val="1"/>
    </font>
    <font>
      <b val="true"/>
      <i val="true"/>
      <sz val="12"/>
      <name val="Times New Roman"/>
      <family val="0"/>
      <charset val="1"/>
    </font>
    <font>
      <b val="true"/>
      <sz val="12"/>
      <color theme="2"/>
      <name val="Times New Roman"/>
      <family val="0"/>
      <charset val="1"/>
    </font>
    <font>
      <b val="true"/>
      <sz val="12"/>
      <color theme="1"/>
      <name val="Times New Roman"/>
      <family val="0"/>
      <charset val="1"/>
    </font>
    <font>
      <sz val="12"/>
      <color rgb="FF000000"/>
      <name val="Times New Roman"/>
      <family val="1"/>
      <charset val="204"/>
    </font>
    <font>
      <b val="true"/>
      <sz val="12"/>
      <color rgb="FF000000"/>
      <name val="Times New Roman"/>
      <family val="1"/>
      <charset val="204"/>
    </font>
    <font>
      <b val="true"/>
      <sz val="12"/>
      <color rgb="FFFFFFFF"/>
      <name val="Times New Roman"/>
      <family val="1"/>
      <charset val="204"/>
    </font>
  </fonts>
  <fills count="12">
    <fill>
      <patternFill patternType="none"/>
    </fill>
    <fill>
      <patternFill patternType="gray125"/>
    </fill>
    <fill>
      <patternFill patternType="solid">
        <fgColor rgb="FF50C5A7"/>
        <bgColor rgb="FF339966"/>
      </patternFill>
    </fill>
    <fill>
      <patternFill patternType="solid">
        <fgColor theme="5" tint="-0.5"/>
        <bgColor rgb="FF0B2F5B"/>
      </patternFill>
    </fill>
    <fill>
      <patternFill patternType="solid">
        <fgColor theme="0"/>
        <bgColor rgb="FFFCE8E6"/>
      </patternFill>
    </fill>
    <fill>
      <patternFill patternType="solid">
        <fgColor rgb="FF142855"/>
        <bgColor rgb="FF0B2F5B"/>
      </patternFill>
    </fill>
    <fill>
      <patternFill patternType="solid">
        <fgColor theme="7" tint="0.5999"/>
        <bgColor rgb="FFC6EAE2"/>
      </patternFill>
    </fill>
    <fill>
      <patternFill patternType="solid">
        <fgColor theme="5" tint="-0.25"/>
        <bgColor rgb="FF0B2F5B"/>
      </patternFill>
    </fill>
    <fill>
      <patternFill patternType="solid">
        <fgColor theme="6" tint="0.5999"/>
        <bgColor rgb="FFB9E8DC"/>
      </patternFill>
    </fill>
    <fill>
      <patternFill patternType="solid">
        <fgColor rgb="FFFFFF00"/>
        <bgColor rgb="FFFFFF00"/>
      </patternFill>
    </fill>
    <fill>
      <patternFill patternType="solid">
        <fgColor rgb="FF0B2F5B"/>
        <bgColor rgb="FF002A5D"/>
      </patternFill>
    </fill>
    <fill>
      <patternFill patternType="solid">
        <fgColor rgb="FFC6EAE2"/>
        <bgColor rgb="FFB9E8DC"/>
      </patternFill>
    </fill>
  </fills>
  <borders count="35">
    <border diagonalUp="false" diagonalDown="false">
      <left/>
      <right/>
      <top/>
      <bottom/>
      <diagonal/>
    </border>
    <border diagonalUp="false" diagonalDown="false">
      <left style="medium">
        <color rgb="FFBFBFBF"/>
      </left>
      <right style="medium">
        <color rgb="FFBFBFBF"/>
      </right>
      <top style="medium">
        <color rgb="FFBFBFBF"/>
      </top>
      <bottom style="medium">
        <color rgb="FFBFBFBF"/>
      </bottom>
      <diagonal/>
    </border>
    <border diagonalUp="false" diagonalDown="false">
      <left/>
      <right/>
      <top/>
      <bottom style="double"/>
      <diagonal/>
    </border>
    <border diagonalUp="false" diagonalDown="false">
      <left/>
      <right/>
      <top/>
      <bottom style="medium">
        <color rgb="FF7F7F7F"/>
      </bottom>
      <diagonal/>
    </border>
    <border diagonalUp="false" diagonalDown="false">
      <left style="medium"/>
      <right style="medium"/>
      <top/>
      <bottom/>
      <diagonal/>
    </border>
    <border diagonalUp="false" diagonalDown="false">
      <left style="medium">
        <color rgb="FFA89497"/>
      </left>
      <right style="medium">
        <color rgb="FFA89497"/>
      </right>
      <top style="medium">
        <color rgb="FFA89497"/>
      </top>
      <bottom style="thin"/>
      <diagonal/>
    </border>
    <border diagonalUp="false" diagonalDown="false">
      <left style="medium">
        <color rgb="FFA89497"/>
      </left>
      <right/>
      <top/>
      <bottom style="thin"/>
      <diagonal/>
    </border>
    <border diagonalUp="false" diagonalDown="false">
      <left style="thin"/>
      <right style="thin"/>
      <top style="thin"/>
      <bottom style="thin"/>
      <diagonal/>
    </border>
    <border diagonalUp="false" diagonalDown="false">
      <left style="medium">
        <color rgb="FFA89497"/>
      </left>
      <right style="medium">
        <color rgb="FFA89497"/>
      </right>
      <top/>
      <bottom/>
      <diagonal/>
    </border>
    <border diagonalUp="false" diagonalDown="false">
      <left style="thin"/>
      <right/>
      <top style="thin"/>
      <bottom/>
      <diagonal/>
    </border>
    <border diagonalUp="false" diagonalDown="false">
      <left/>
      <right/>
      <top style="thin"/>
      <bottom/>
      <diagonal/>
    </border>
    <border diagonalUp="false" diagonalDown="false">
      <left/>
      <right style="thin"/>
      <top style="thin"/>
      <bottom/>
      <diagonal/>
    </border>
    <border diagonalUp="false" diagonalDown="false">
      <left style="thin"/>
      <right/>
      <top style="thin"/>
      <bottom style="thin"/>
      <diagonal/>
    </border>
    <border diagonalUp="false" diagonalDown="false">
      <left/>
      <right/>
      <top style="thin"/>
      <bottom style="thin"/>
      <diagonal/>
    </border>
    <border diagonalUp="false" diagonalDown="false">
      <left/>
      <right style="thin"/>
      <top style="thin"/>
      <bottom style="thin"/>
      <diagonal/>
    </border>
    <border diagonalUp="false" diagonalDown="false">
      <left style="thin"/>
      <right style="thin"/>
      <top/>
      <bottom style="thin"/>
      <diagonal/>
    </border>
    <border diagonalUp="false" diagonalDown="false">
      <left style="thin"/>
      <right/>
      <top/>
      <bottom/>
      <diagonal/>
    </border>
    <border diagonalUp="false" diagonalDown="false">
      <left/>
      <right style="thin"/>
      <top/>
      <bottom/>
      <diagonal/>
    </border>
    <border diagonalUp="false" diagonalDown="false">
      <left style="thin"/>
      <right style="thin"/>
      <top style="thin"/>
      <bottom/>
      <diagonal/>
    </border>
    <border diagonalUp="false" diagonalDown="false">
      <left style="thin"/>
      <right/>
      <top/>
      <bottom style="thin"/>
      <diagonal/>
    </border>
    <border diagonalUp="false" diagonalDown="false">
      <left/>
      <right/>
      <top/>
      <bottom style="thin"/>
      <diagonal/>
    </border>
    <border diagonalUp="false" diagonalDown="false">
      <left/>
      <right style="thin"/>
      <top/>
      <bottom style="thin"/>
      <diagonal/>
    </border>
    <border diagonalUp="false" diagonalDown="false">
      <left/>
      <right style="medium">
        <color rgb="FFA89497"/>
      </right>
      <top/>
      <bottom/>
      <diagonal/>
    </border>
    <border diagonalUp="false" diagonalDown="false">
      <left/>
      <right style="medium">
        <color rgb="FFA89497"/>
      </right>
      <top/>
      <bottom style="medium">
        <color rgb="FFA89497"/>
      </bottom>
      <diagonal/>
    </border>
    <border diagonalUp="false" diagonalDown="false">
      <left style="thin"/>
      <right style="medium">
        <color rgb="FFA89497"/>
      </right>
      <top style="medium">
        <color rgb="FFA89497"/>
      </top>
      <bottom/>
      <diagonal/>
    </border>
    <border diagonalUp="false" diagonalDown="false">
      <left/>
      <right/>
      <top style="thin">
        <color rgb="FF595959"/>
      </top>
      <bottom style="thin">
        <color rgb="FF595959"/>
      </bottom>
      <diagonal/>
    </border>
    <border diagonalUp="false" diagonalDown="false">
      <left/>
      <right style="thin">
        <color rgb="FF595959"/>
      </right>
      <top style="thin">
        <color rgb="FF595959"/>
      </top>
      <bottom style="thin">
        <color rgb="FF595959"/>
      </bottom>
      <diagonal/>
    </border>
    <border diagonalUp="false" diagonalDown="false">
      <left style="medium">
        <color rgb="FFA89497"/>
      </left>
      <right style="thin">
        <color theme="1" tint="0.4998"/>
      </right>
      <top style="medium">
        <color rgb="FFA89497"/>
      </top>
      <bottom style="thin">
        <color theme="1" tint="0.4998"/>
      </bottom>
      <diagonal/>
    </border>
    <border diagonalUp="false" diagonalDown="false">
      <left style="thin">
        <color rgb="FF808080"/>
      </left>
      <right style="thin">
        <color rgb="FF808080"/>
      </right>
      <top style="thin">
        <color rgb="FF808080"/>
      </top>
      <bottom/>
      <diagonal/>
    </border>
    <border diagonalUp="false" diagonalDown="false">
      <left style="thin">
        <color rgb="FF808080"/>
      </left>
      <right/>
      <top style="thin">
        <color rgb="FF808080"/>
      </top>
      <bottom/>
      <diagonal/>
    </border>
    <border diagonalUp="false" diagonalDown="false">
      <left/>
      <right style="medium">
        <color rgb="FFA89497"/>
      </right>
      <top/>
      <bottom style="thin"/>
      <diagonal/>
    </border>
    <border diagonalUp="false" diagonalDown="false">
      <left/>
      <right style="medium">
        <color rgb="FFA89497"/>
      </right>
      <top style="medium">
        <color rgb="FFA89497"/>
      </top>
      <bottom/>
      <diagonal/>
    </border>
    <border diagonalUp="false" diagonalDown="false">
      <left style="medium">
        <color rgb="FFA89497"/>
      </left>
      <right/>
      <top style="medium">
        <color rgb="FFA89497"/>
      </top>
      <bottom style="medium">
        <color rgb="FFA89497"/>
      </bottom>
      <diagonal/>
    </border>
    <border diagonalUp="false" diagonalDown="false">
      <left style="medium">
        <color rgb="FFA89497"/>
      </left>
      <right style="medium">
        <color rgb="FFA89497"/>
      </right>
      <top style="medium">
        <color rgb="FFA89497"/>
      </top>
      <bottom style="medium">
        <color rgb="FFA89497"/>
      </bottom>
      <diagonal/>
    </border>
    <border diagonalUp="false" diagonalDown="false">
      <left style="thin">
        <color rgb="FF808080"/>
      </left>
      <right style="thin">
        <color rgb="FF808080"/>
      </right>
      <top style="thin">
        <color rgb="FF808080"/>
      </top>
      <bottom style="thin">
        <color rgb="FF808080"/>
      </bottom>
      <diagonal/>
    </border>
  </borders>
  <cellStyleXfs count="22">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5"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cellStyleXfs>
  <cellXfs count="21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false" indent="0" shrinkToFit="false"/>
      <protection locked="true" hidden="false"/>
    </xf>
    <xf numFmtId="164" fontId="5" fillId="0" borderId="0" xfId="0" applyFont="true" applyBorder="true" applyAlignment="true" applyProtection="false">
      <alignment horizontal="left" vertical="top" textRotation="0" wrapText="false" indent="0" shrinkToFit="false"/>
      <protection locked="true" hidden="false"/>
    </xf>
    <xf numFmtId="164" fontId="6" fillId="0" borderId="0" xfId="0" applyFont="true" applyBorder="true" applyAlignment="true" applyProtection="false">
      <alignment horizontal="general" vertical="top" textRotation="0" wrapText="false" indent="0" shrinkToFit="false"/>
      <protection locked="true" hidden="false"/>
    </xf>
    <xf numFmtId="164" fontId="5" fillId="0" borderId="0" xfId="0" applyFont="true" applyBorder="true" applyAlignment="true" applyProtection="false">
      <alignment horizontal="center" vertical="top" textRotation="0" wrapText="false" indent="0" shrinkToFit="false"/>
      <protection locked="true" hidden="false"/>
    </xf>
    <xf numFmtId="164" fontId="5" fillId="0" borderId="0" xfId="0" applyFont="true" applyBorder="true" applyAlignment="true" applyProtection="false">
      <alignment horizontal="center" vertical="top" textRotation="0" wrapText="true" indent="0" shrinkToFit="false"/>
      <protection locked="true" hidden="false"/>
    </xf>
    <xf numFmtId="164" fontId="7" fillId="0" borderId="0" xfId="0" applyFont="true" applyBorder="true" applyAlignment="true" applyProtection="false">
      <alignment horizontal="left" vertical="top" textRotation="0" wrapText="true" indent="0" shrinkToFit="false"/>
      <protection locked="true" hidden="false"/>
    </xf>
    <xf numFmtId="164" fontId="5" fillId="0" borderId="1" xfId="0" applyFont="true" applyBorder="true" applyAlignment="true" applyProtection="false">
      <alignment horizontal="general" vertical="center" textRotation="0" wrapText="true" indent="0" shrinkToFit="false"/>
      <protection locked="true" hidden="false"/>
    </xf>
    <xf numFmtId="167" fontId="5" fillId="0" borderId="2" xfId="0" applyFont="true" applyBorder="true" applyAlignment="true" applyProtection="false">
      <alignment horizontal="left" vertical="top" textRotation="0" wrapText="false" indent="0" shrinkToFit="false"/>
      <protection locked="true" hidden="false"/>
    </xf>
    <xf numFmtId="164" fontId="5" fillId="0" borderId="2" xfId="0" applyFont="true" applyBorder="true" applyAlignment="true" applyProtection="false">
      <alignment horizontal="general" vertical="top" textRotation="0" wrapText="false" indent="0" shrinkToFit="false"/>
      <protection locked="true" hidden="false"/>
    </xf>
    <xf numFmtId="164" fontId="5" fillId="0" borderId="0" xfId="0" applyFont="true" applyBorder="true" applyAlignment="true" applyProtection="false">
      <alignment horizontal="left" vertical="top" textRotation="0" wrapText="true" indent="0" shrinkToFit="false"/>
      <protection locked="true" hidden="false"/>
    </xf>
    <xf numFmtId="164" fontId="7" fillId="2" borderId="0" xfId="0" applyFont="true" applyBorder="true" applyAlignment="true" applyProtection="false">
      <alignment horizontal="center" vertical="top" textRotation="0" wrapText="false" indent="0" shrinkToFit="false"/>
      <protection locked="true" hidden="false"/>
    </xf>
    <xf numFmtId="164" fontId="7" fillId="0" borderId="0" xfId="0" applyFont="true" applyBorder="true" applyAlignment="true" applyProtection="false">
      <alignment horizontal="left" vertical="top"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5" fillId="0" borderId="3" xfId="0" applyFont="true" applyBorder="true" applyAlignment="true" applyProtection="false">
      <alignment horizontal="left" vertical="top" textRotation="0" wrapText="true" indent="0" shrinkToFit="false"/>
      <protection locked="true" hidden="false"/>
    </xf>
    <xf numFmtId="164" fontId="8" fillId="0" borderId="0" xfId="0" applyFont="true" applyBorder="true" applyAlignment="true" applyProtection="false">
      <alignment horizontal="left" vertical="top" textRotation="0" wrapText="false" indent="0" shrinkToFit="false"/>
      <protection locked="true" hidden="false"/>
    </xf>
    <xf numFmtId="164" fontId="6" fillId="0" borderId="0" xfId="0" applyFont="true" applyBorder="true" applyAlignment="true" applyProtection="false">
      <alignment horizontal="left" vertical="top" textRotation="0" wrapText="true" indent="0" shrinkToFit="false"/>
      <protection locked="true" hidden="false"/>
    </xf>
    <xf numFmtId="164" fontId="6" fillId="0" borderId="0" xfId="0" applyFont="true" applyBorder="true" applyAlignment="true" applyProtection="false">
      <alignment horizontal="left" vertical="top" textRotation="0" wrapText="false" indent="0" shrinkToFit="false"/>
      <protection locked="true" hidden="false"/>
    </xf>
    <xf numFmtId="164" fontId="8" fillId="0" borderId="0" xfId="0" applyFont="true" applyBorder="true" applyAlignment="true" applyProtection="false">
      <alignment horizontal="left" vertical="top" textRotation="0" wrapText="true" indent="0" shrinkToFit="false"/>
      <protection locked="true" hidden="false"/>
    </xf>
    <xf numFmtId="164" fontId="5" fillId="0" borderId="4" xfId="0" applyFont="true" applyBorder="true" applyAlignment="true" applyProtection="false">
      <alignment horizontal="left" vertical="top" textRotation="0" wrapText="true" indent="0" shrinkToFit="false"/>
      <protection locked="true" hidden="false"/>
    </xf>
    <xf numFmtId="164" fontId="9" fillId="3" borderId="5" xfId="0" applyFont="true" applyBorder="true" applyAlignment="true" applyProtection="false">
      <alignment horizontal="left" vertical="center" textRotation="0" wrapText="true" indent="0" shrinkToFit="false"/>
      <protection locked="true" hidden="false"/>
    </xf>
    <xf numFmtId="164" fontId="9" fillId="3" borderId="6" xfId="0" applyFont="true" applyBorder="true" applyAlignment="true" applyProtection="false">
      <alignment horizontal="center" vertical="center" textRotation="0" wrapText="true" indent="0" shrinkToFit="false"/>
      <protection locked="true" hidden="false"/>
    </xf>
    <xf numFmtId="164" fontId="5" fillId="4" borderId="7" xfId="0" applyFont="true" applyBorder="true" applyAlignment="true" applyProtection="false">
      <alignment horizontal="left" vertical="center" textRotation="0" wrapText="true" indent="0" shrinkToFit="false"/>
      <protection locked="true" hidden="false"/>
    </xf>
    <xf numFmtId="164" fontId="5" fillId="4" borderId="7" xfId="0" applyFont="true" applyBorder="true" applyAlignment="true" applyProtection="false">
      <alignment horizontal="center" vertical="center" textRotation="0" wrapText="true" indent="0" shrinkToFit="false"/>
      <protection locked="true" hidden="false"/>
    </xf>
    <xf numFmtId="164" fontId="9" fillId="3" borderId="7" xfId="0" applyFont="true" applyBorder="true" applyAlignment="true" applyProtection="false">
      <alignment horizontal="left" vertical="center" textRotation="0" wrapText="false" indent="0" shrinkToFit="false"/>
      <protection locked="true" hidden="false"/>
    </xf>
    <xf numFmtId="164" fontId="9" fillId="3" borderId="7" xfId="0" applyFont="true" applyBorder="true" applyAlignment="true" applyProtection="false">
      <alignment horizontal="center" vertical="center" textRotation="0" wrapText="false" indent="0" shrinkToFit="false"/>
      <protection locked="true" hidden="false"/>
    </xf>
    <xf numFmtId="164" fontId="9" fillId="5" borderId="8" xfId="0" applyFont="true" applyBorder="true" applyAlignment="true" applyProtection="false">
      <alignment horizontal="left" vertical="center" textRotation="0" wrapText="true" indent="0" shrinkToFit="false"/>
      <protection locked="true" hidden="false"/>
    </xf>
    <xf numFmtId="164" fontId="9" fillId="5" borderId="8" xfId="0" applyFont="true" applyBorder="true" applyAlignment="true" applyProtection="false">
      <alignment horizontal="center" vertical="center" textRotation="0" wrapText="true" indent="0" shrinkToFit="false"/>
      <protection locked="true" hidden="false"/>
    </xf>
    <xf numFmtId="164" fontId="10" fillId="0" borderId="0" xfId="0" applyFont="true" applyBorder="true" applyAlignment="true" applyProtection="false">
      <alignment horizontal="general" vertical="center" textRotation="0" wrapText="true" indent="0" shrinkToFit="false"/>
      <protection locked="true" hidden="false"/>
    </xf>
    <xf numFmtId="164" fontId="7" fillId="6" borderId="7" xfId="0" applyFont="true" applyBorder="true" applyAlignment="true" applyProtection="false">
      <alignment horizontal="left" vertical="center" textRotation="0" wrapText="true" indent="0" shrinkToFit="false"/>
      <protection locked="true" hidden="false"/>
    </xf>
    <xf numFmtId="164" fontId="5" fillId="6" borderId="7" xfId="0" applyFont="true" applyBorder="true" applyAlignment="true" applyProtection="false">
      <alignment horizontal="center" vertical="bottom" textRotation="0" wrapText="false" indent="0" shrinkToFit="false"/>
      <protection locked="true" hidden="false"/>
    </xf>
    <xf numFmtId="164" fontId="7" fillId="0" borderId="9" xfId="0" applyFont="true" applyBorder="true" applyAlignment="true" applyProtection="false">
      <alignment horizontal="center" vertical="center" textRotation="0" wrapText="false" indent="0" shrinkToFit="false"/>
      <protection locked="true" hidden="false"/>
    </xf>
    <xf numFmtId="164" fontId="5" fillId="0" borderId="10" xfId="0" applyFont="true" applyBorder="true" applyAlignment="true" applyProtection="false">
      <alignment horizontal="left" vertical="top" textRotation="0" wrapText="false" indent="0" shrinkToFit="false"/>
      <protection locked="true" hidden="false"/>
    </xf>
    <xf numFmtId="164" fontId="5" fillId="0" borderId="11" xfId="0" applyFont="true" applyBorder="true" applyAlignment="true" applyProtection="false">
      <alignment horizontal="left" vertical="top" textRotation="0" wrapText="false" indent="0" shrinkToFit="false"/>
      <protection locked="true" hidden="false"/>
    </xf>
    <xf numFmtId="164" fontId="5" fillId="0" borderId="7" xfId="0" applyFont="true" applyBorder="true" applyAlignment="true" applyProtection="false">
      <alignment horizontal="center" vertical="center" textRotation="0" wrapText="true" indent="0" shrinkToFit="false"/>
      <protection locked="true" hidden="false"/>
    </xf>
    <xf numFmtId="164" fontId="7" fillId="0" borderId="12" xfId="0" applyFont="true" applyBorder="true" applyAlignment="true" applyProtection="false">
      <alignment horizontal="center" vertical="center" textRotation="0" wrapText="false" indent="0" shrinkToFit="false"/>
      <protection locked="true" hidden="false"/>
    </xf>
    <xf numFmtId="164" fontId="5" fillId="0" borderId="13" xfId="0" applyFont="true" applyBorder="true" applyAlignment="true" applyProtection="false">
      <alignment horizontal="center" vertical="top" textRotation="0" wrapText="false" indent="0" shrinkToFit="false"/>
      <protection locked="true" hidden="false"/>
    </xf>
    <xf numFmtId="164" fontId="5" fillId="0" borderId="14" xfId="0" applyFont="true" applyBorder="true" applyAlignment="true" applyProtection="false">
      <alignment horizontal="center" vertical="top" textRotation="0" wrapText="false" indent="0" shrinkToFit="false"/>
      <protection locked="true" hidden="false"/>
    </xf>
    <xf numFmtId="164" fontId="7" fillId="6" borderId="7" xfId="0" applyFont="true" applyBorder="true" applyAlignment="true" applyProtection="false">
      <alignment horizontal="center" vertical="center" textRotation="0" wrapText="true" indent="0" shrinkToFit="false"/>
      <protection locked="true" hidden="false"/>
    </xf>
    <xf numFmtId="164" fontId="5" fillId="0" borderId="7" xfId="0" applyFont="true" applyBorder="true" applyAlignment="true" applyProtection="false">
      <alignment horizontal="center" vertical="center" textRotation="0" wrapText="false" indent="0" shrinkToFit="false"/>
      <protection locked="true" hidden="false"/>
    </xf>
    <xf numFmtId="168" fontId="5" fillId="0" borderId="0" xfId="0" applyFont="true" applyBorder="true" applyAlignment="true" applyProtection="false">
      <alignment horizontal="center" vertical="bottom" textRotation="0" wrapText="false" indent="0" shrinkToFit="false"/>
      <protection locked="true" hidden="false"/>
    </xf>
    <xf numFmtId="164" fontId="7" fillId="4" borderId="7" xfId="0" applyFont="true" applyBorder="true" applyAlignment="true" applyProtection="false">
      <alignment horizontal="center" vertical="center" textRotation="0" wrapText="true" indent="0" shrinkToFit="false"/>
      <protection locked="true" hidden="false"/>
    </xf>
    <xf numFmtId="168" fontId="5" fillId="0" borderId="7" xfId="0" applyFont="true" applyBorder="true" applyAlignment="true" applyProtection="false">
      <alignment horizontal="center" vertical="center" textRotation="0" wrapText="false" indent="0" shrinkToFit="false"/>
      <protection locked="true" hidden="false"/>
    </xf>
    <xf numFmtId="164" fontId="5" fillId="0" borderId="15" xfId="0" applyFont="true" applyBorder="true" applyAlignment="true" applyProtection="false">
      <alignment horizontal="center" vertical="top" textRotation="0" wrapText="false" indent="0" shrinkToFit="false"/>
      <protection locked="true" hidden="false"/>
    </xf>
    <xf numFmtId="164" fontId="5" fillId="4" borderId="16" xfId="0" applyFont="true" applyBorder="true" applyAlignment="false" applyProtection="false">
      <alignment horizontal="general" vertical="bottom" textRotation="0" wrapText="false" indent="0" shrinkToFit="false"/>
      <protection locked="true" hidden="false"/>
    </xf>
    <xf numFmtId="164" fontId="5" fillId="4" borderId="0" xfId="0" applyFont="true" applyBorder="true" applyAlignment="false" applyProtection="false">
      <alignment horizontal="general" vertical="bottom" textRotation="0" wrapText="false" indent="0" shrinkToFit="false"/>
      <protection locked="true" hidden="false"/>
    </xf>
    <xf numFmtId="164" fontId="5" fillId="4" borderId="17" xfId="0" applyFont="true" applyBorder="true" applyAlignment="false" applyProtection="false">
      <alignment horizontal="general" vertical="bottom" textRotation="0" wrapText="false" indent="0" shrinkToFit="false"/>
      <protection locked="true" hidden="false"/>
    </xf>
    <xf numFmtId="164" fontId="5" fillId="0" borderId="7" xfId="0" applyFont="true" applyBorder="true" applyAlignment="true" applyProtection="false">
      <alignment horizontal="center" vertical="bottom" textRotation="0" wrapText="true" indent="0" shrinkToFit="false"/>
      <protection locked="true" hidden="false"/>
    </xf>
    <xf numFmtId="168" fontId="5" fillId="0" borderId="7" xfId="0" applyFont="true" applyBorder="true" applyAlignment="true" applyProtection="false">
      <alignment horizontal="center" vertical="bottom" textRotation="0" wrapText="false" indent="0" shrinkToFit="false"/>
      <protection locked="true" hidden="false"/>
    </xf>
    <xf numFmtId="164" fontId="5" fillId="0" borderId="7" xfId="0" applyFont="true" applyBorder="true" applyAlignment="true" applyProtection="false">
      <alignment horizontal="center" vertical="top" textRotation="0" wrapText="false" indent="0" shrinkToFit="false"/>
      <protection locked="true" hidden="false"/>
    </xf>
    <xf numFmtId="168" fontId="5" fillId="0" borderId="0" xfId="0" applyFont="true" applyBorder="true" applyAlignment="true" applyProtection="false">
      <alignment horizontal="center" vertical="center" textRotation="0" wrapText="false" indent="0" shrinkToFit="false"/>
      <protection locked="true" hidden="false"/>
    </xf>
    <xf numFmtId="169" fontId="5" fillId="0" borderId="7" xfId="0" applyFont="true" applyBorder="true" applyAlignment="true" applyProtection="false">
      <alignment horizontal="center" vertical="top" textRotation="0" wrapText="false" indent="0" shrinkToFit="false"/>
      <protection locked="true" hidden="false"/>
    </xf>
    <xf numFmtId="169" fontId="5" fillId="0" borderId="7" xfId="0" applyFont="true" applyBorder="true" applyAlignment="true" applyProtection="false">
      <alignment horizontal="center" vertical="bottom" textRotation="0" wrapText="false" indent="0" shrinkToFit="false"/>
      <protection locked="true" hidden="false"/>
    </xf>
    <xf numFmtId="164" fontId="5" fillId="0" borderId="7" xfId="0" applyFont="true" applyBorder="true" applyAlignment="true" applyProtection="false">
      <alignment horizontal="center" vertical="bottom" textRotation="0" wrapText="false" indent="0" shrinkToFit="false"/>
      <protection locked="true" hidden="false"/>
    </xf>
    <xf numFmtId="169" fontId="5" fillId="0" borderId="7" xfId="0" applyFont="true" applyBorder="true" applyAlignment="true" applyProtection="false">
      <alignment horizontal="center" vertical="center" textRotation="0" wrapText="false" indent="0" shrinkToFit="false"/>
      <protection locked="true" hidden="false"/>
    </xf>
    <xf numFmtId="170" fontId="5" fillId="4" borderId="7" xfId="0" applyFont="true" applyBorder="true" applyAlignment="true" applyProtection="false">
      <alignment horizontal="center" vertical="center" textRotation="0" wrapText="true" indent="0" shrinkToFit="false"/>
      <protection locked="true" hidden="false"/>
    </xf>
    <xf numFmtId="164" fontId="5" fillId="0" borderId="7" xfId="0" applyFont="true" applyBorder="true" applyAlignment="false" applyProtection="false">
      <alignment horizontal="general" vertical="bottom" textRotation="0" wrapText="false" indent="0" shrinkToFit="false"/>
      <protection locked="true" hidden="false"/>
    </xf>
    <xf numFmtId="168" fontId="5" fillId="0" borderId="18" xfId="0" applyFont="true" applyBorder="true" applyAlignment="true" applyProtection="false">
      <alignment horizontal="center" vertical="center" textRotation="0" wrapText="false" indent="0" shrinkToFit="false"/>
      <protection locked="true" hidden="false"/>
    </xf>
    <xf numFmtId="169" fontId="5" fillId="0" borderId="0" xfId="0" applyFont="true" applyBorder="true" applyAlignment="true" applyProtection="false">
      <alignment horizontal="center" vertical="bottom" textRotation="0" wrapText="false" indent="0" shrinkToFit="false"/>
      <protection locked="true" hidden="false"/>
    </xf>
    <xf numFmtId="171" fontId="5" fillId="0" borderId="7" xfId="0" applyFont="true" applyBorder="true" applyAlignment="true" applyProtection="false">
      <alignment horizontal="center" vertical="bottom" textRotation="0" wrapText="true" indent="0" shrinkToFit="false"/>
      <protection locked="true" hidden="false"/>
    </xf>
    <xf numFmtId="164" fontId="5" fillId="4" borderId="19" xfId="0" applyFont="true" applyBorder="true" applyAlignment="true" applyProtection="false">
      <alignment horizontal="general" vertical="bottom" textRotation="0" wrapText="true" indent="0" shrinkToFit="false"/>
      <protection locked="true" hidden="false"/>
    </xf>
    <xf numFmtId="164" fontId="5" fillId="4" borderId="20" xfId="0" applyFont="true" applyBorder="true" applyAlignment="false" applyProtection="false">
      <alignment horizontal="general" vertical="bottom" textRotation="0" wrapText="false" indent="0" shrinkToFit="false"/>
      <protection locked="true" hidden="false"/>
    </xf>
    <xf numFmtId="164" fontId="5" fillId="4" borderId="21" xfId="0" applyFont="true" applyBorder="true" applyAlignment="false" applyProtection="false">
      <alignment horizontal="general" vertical="bottom" textRotation="0" wrapText="false" indent="0" shrinkToFit="false"/>
      <protection locked="true" hidden="false"/>
    </xf>
    <xf numFmtId="164" fontId="5" fillId="0" borderId="14" xfId="0" applyFont="true" applyBorder="true" applyAlignment="true" applyProtection="false">
      <alignment horizontal="center" vertical="top" textRotation="0" wrapText="true" indent="0" shrinkToFit="false"/>
      <protection locked="true" hidden="false"/>
    </xf>
    <xf numFmtId="164" fontId="5" fillId="0" borderId="7" xfId="0" applyFont="true" applyBorder="true" applyAlignment="true" applyProtection="false">
      <alignment horizontal="general" vertical="bottom" textRotation="0" wrapText="true" indent="0" shrinkToFit="false"/>
      <protection locked="true" hidden="false"/>
    </xf>
    <xf numFmtId="164" fontId="7" fillId="6" borderId="7" xfId="0" applyFont="true" applyBorder="true" applyAlignment="true" applyProtection="false">
      <alignment horizontal="left" vertical="center" textRotation="0" wrapText="false" indent="0" shrinkToFit="false"/>
      <protection locked="true" hidden="false"/>
    </xf>
    <xf numFmtId="164" fontId="5" fillId="6" borderId="22" xfId="0" applyFont="true" applyBorder="true" applyAlignment="true" applyProtection="false">
      <alignment horizontal="center" vertical="bottom" textRotation="0" wrapText="false" indent="0" shrinkToFit="false"/>
      <protection locked="true" hidden="false"/>
    </xf>
    <xf numFmtId="164" fontId="5" fillId="0" borderId="7" xfId="0" applyFont="true" applyBorder="true" applyAlignment="true" applyProtection="false">
      <alignment horizontal="left" vertical="top" textRotation="0" wrapText="true" indent="0" shrinkToFit="false"/>
      <protection locked="true" hidden="false"/>
    </xf>
    <xf numFmtId="164" fontId="7" fillId="6" borderId="23" xfId="0" applyFont="true" applyBorder="true" applyAlignment="true" applyProtection="false">
      <alignment horizontal="center" vertical="bottom" textRotation="0" wrapText="true" indent="0" shrinkToFit="false"/>
      <protection locked="true" hidden="false"/>
    </xf>
    <xf numFmtId="164" fontId="11" fillId="0" borderId="7" xfId="0" applyFont="true" applyBorder="true" applyAlignment="true" applyProtection="false">
      <alignment horizontal="left" vertical="top" textRotation="0" wrapText="true" indent="0" shrinkToFit="false"/>
      <protection locked="true" hidden="false"/>
    </xf>
    <xf numFmtId="164" fontId="5" fillId="0" borderId="24" xfId="0" applyFont="true" applyBorder="true" applyAlignment="true" applyProtection="false">
      <alignment horizontal="center" vertical="center" textRotation="0" wrapText="true" indent="0" shrinkToFit="false"/>
      <protection locked="true" hidden="false"/>
    </xf>
    <xf numFmtId="164" fontId="11" fillId="0" borderId="18" xfId="0" applyFont="true" applyBorder="true" applyAlignment="true" applyProtection="false">
      <alignment horizontal="left" vertical="top" textRotation="0" wrapText="true" indent="0" shrinkToFit="false"/>
      <protection locked="true" hidden="false"/>
    </xf>
    <xf numFmtId="164" fontId="5" fillId="0" borderId="7" xfId="0" applyFont="true" applyBorder="true" applyAlignment="true" applyProtection="false">
      <alignment horizontal="general" vertical="center" textRotation="0" wrapText="true" indent="0" shrinkToFit="false"/>
      <protection locked="true" hidden="false"/>
    </xf>
    <xf numFmtId="164" fontId="5" fillId="0" borderId="7" xfId="0" applyFont="true" applyBorder="true" applyAlignment="true" applyProtection="false">
      <alignment horizontal="center" vertical="top" textRotation="0" wrapText="true" indent="0" shrinkToFit="false"/>
      <protection locked="true" hidden="false"/>
    </xf>
    <xf numFmtId="164" fontId="7" fillId="0" borderId="7" xfId="0" applyFont="true" applyBorder="true" applyAlignment="true" applyProtection="false">
      <alignment horizontal="center" vertical="top" textRotation="0" wrapText="true" indent="0" shrinkToFit="false"/>
      <protection locked="true" hidden="false"/>
    </xf>
    <xf numFmtId="164" fontId="5" fillId="0" borderId="7" xfId="0" applyFont="true" applyBorder="true" applyAlignment="true" applyProtection="false">
      <alignment horizontal="general" vertical="top" textRotation="0" wrapText="true" indent="0" shrinkToFit="false"/>
      <protection locked="true" hidden="false"/>
    </xf>
    <xf numFmtId="164" fontId="7" fillId="0" borderId="14" xfId="0" applyFont="true" applyBorder="true" applyAlignment="true" applyProtection="false">
      <alignment horizontal="center" vertical="top" textRotation="0" wrapText="true" indent="0" shrinkToFit="false"/>
      <protection locked="true" hidden="false"/>
    </xf>
    <xf numFmtId="164" fontId="7" fillId="0" borderId="7" xfId="0" applyFont="true" applyBorder="true" applyAlignment="true" applyProtection="false">
      <alignment horizontal="center" vertical="center" textRotation="0" wrapText="true" indent="0" shrinkToFit="false"/>
      <protection locked="true" hidden="false"/>
    </xf>
    <xf numFmtId="171" fontId="5" fillId="0" borderId="7" xfId="0" applyFont="true" applyBorder="true" applyAlignment="true" applyProtection="false">
      <alignment horizontal="center" vertical="center" textRotation="0" wrapText="true" indent="0" shrinkToFit="false"/>
      <protection locked="true" hidden="false"/>
    </xf>
    <xf numFmtId="164" fontId="5" fillId="0" borderId="18" xfId="0" applyFont="true" applyBorder="true" applyAlignment="true" applyProtection="false">
      <alignment horizontal="center" vertical="center" textRotation="0" wrapText="true" indent="0" shrinkToFit="false"/>
      <protection locked="true" hidden="false"/>
    </xf>
    <xf numFmtId="171" fontId="5" fillId="0" borderId="18" xfId="0" applyFont="true" applyBorder="true" applyAlignment="true" applyProtection="false">
      <alignment horizontal="center" vertical="center" textRotation="0" wrapText="true" indent="0" shrinkToFit="false"/>
      <protection locked="true" hidden="false"/>
    </xf>
    <xf numFmtId="164" fontId="7" fillId="0" borderId="18" xfId="0" applyFont="true" applyBorder="true" applyAlignment="true" applyProtection="false">
      <alignment horizontal="center" vertical="center" textRotation="0" wrapText="true" indent="0" shrinkToFit="false"/>
      <protection locked="true" hidden="false"/>
    </xf>
    <xf numFmtId="171" fontId="7" fillId="0" borderId="18" xfId="0" applyFont="true" applyBorder="true" applyAlignment="true" applyProtection="false">
      <alignment horizontal="center" vertical="center" textRotation="0" wrapText="true" indent="0" shrinkToFit="false"/>
      <protection locked="true" hidden="false"/>
    </xf>
    <xf numFmtId="164" fontId="7" fillId="6" borderId="12" xfId="0" applyFont="true" applyBorder="true" applyAlignment="true" applyProtection="false">
      <alignment horizontal="left" vertical="center" textRotation="0" wrapText="true" indent="0" shrinkToFit="false"/>
      <protection locked="true" hidden="false"/>
    </xf>
    <xf numFmtId="164" fontId="5" fillId="6" borderId="18" xfId="0" applyFont="true" applyBorder="true" applyAlignment="true" applyProtection="false">
      <alignment horizontal="center" vertical="center" textRotation="0" wrapText="false" indent="0" shrinkToFit="false"/>
      <protection locked="true" hidden="false"/>
    </xf>
    <xf numFmtId="164" fontId="7" fillId="0" borderId="12" xfId="0" applyFont="true" applyBorder="true" applyAlignment="true" applyProtection="false">
      <alignment horizontal="center" vertical="center" textRotation="0" wrapText="true" indent="0" shrinkToFit="false"/>
      <protection locked="true" hidden="false"/>
    </xf>
    <xf numFmtId="164" fontId="5" fillId="0" borderId="15" xfId="0" applyFont="true" applyBorder="true" applyAlignment="true" applyProtection="false">
      <alignment horizontal="center" vertical="center" textRotation="0" wrapText="true" indent="0" shrinkToFit="false"/>
      <protection locked="true" hidden="false"/>
    </xf>
    <xf numFmtId="164" fontId="5" fillId="0" borderId="12" xfId="0" applyFont="true" applyBorder="true" applyAlignment="true" applyProtection="false">
      <alignment horizontal="center" vertical="center" textRotation="0" wrapText="true" indent="0" shrinkToFit="false"/>
      <protection locked="true" hidden="false"/>
    </xf>
    <xf numFmtId="164" fontId="5" fillId="0" borderId="13" xfId="0" applyFont="true" applyBorder="true" applyAlignment="true" applyProtection="false">
      <alignment horizontal="center" vertical="center" textRotation="0" wrapText="true" indent="0" shrinkToFit="false"/>
      <protection locked="true" hidden="false"/>
    </xf>
    <xf numFmtId="164" fontId="5" fillId="0" borderId="9" xfId="0" applyFont="true" applyBorder="true" applyAlignment="true" applyProtection="false">
      <alignment horizontal="center" vertical="center" textRotation="0" wrapText="true" indent="0" shrinkToFit="false"/>
      <protection locked="true" hidden="false"/>
    </xf>
    <xf numFmtId="171" fontId="7" fillId="0" borderId="7" xfId="0" applyFont="true" applyBorder="true" applyAlignment="true" applyProtection="false">
      <alignment horizontal="center" vertical="center" textRotation="0" wrapText="true" indent="0" shrinkToFit="false"/>
      <protection locked="true" hidden="false"/>
    </xf>
    <xf numFmtId="164" fontId="12" fillId="3" borderId="7" xfId="0" applyFont="true" applyBorder="true" applyAlignment="true" applyProtection="false">
      <alignment horizontal="left" vertical="center" textRotation="0" wrapText="false" indent="0" shrinkToFit="false"/>
      <protection locked="true" hidden="false"/>
    </xf>
    <xf numFmtId="171" fontId="5" fillId="0" borderId="0"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center" vertical="bottom" textRotation="0" wrapText="false" indent="0" shrinkToFit="false"/>
      <protection locked="true" hidden="false"/>
    </xf>
    <xf numFmtId="171" fontId="5" fillId="0" borderId="0" xfId="0" applyFont="true" applyBorder="true" applyAlignment="true" applyProtection="false">
      <alignment horizontal="center" vertical="bottom" textRotation="0" wrapText="false" indent="0" shrinkToFit="false"/>
      <protection locked="true" hidden="false"/>
    </xf>
    <xf numFmtId="164" fontId="13" fillId="0" borderId="0" xfId="0" applyFont="true" applyBorder="true" applyAlignment="false" applyProtection="false">
      <alignment horizontal="general" vertical="bottom" textRotation="0" wrapText="false" indent="0" shrinkToFit="false"/>
      <protection locked="true" hidden="false"/>
    </xf>
    <xf numFmtId="164" fontId="9" fillId="7" borderId="7" xfId="0" applyFont="true" applyBorder="true" applyAlignment="true" applyProtection="false">
      <alignment horizontal="center" vertical="center" textRotation="0" wrapText="true" indent="0" shrinkToFit="false"/>
      <protection locked="true" hidden="false"/>
    </xf>
    <xf numFmtId="164" fontId="7" fillId="0" borderId="0" xfId="0" applyFont="true" applyBorder="true" applyAlignment="true" applyProtection="false">
      <alignment horizontal="left" vertical="center" textRotation="0" wrapText="false" indent="0" shrinkToFit="false"/>
      <protection locked="true" hidden="false"/>
    </xf>
    <xf numFmtId="164" fontId="7" fillId="0" borderId="0" xfId="0" applyFont="true" applyBorder="true" applyAlignment="true" applyProtection="false">
      <alignment horizontal="center" vertical="bottom" textRotation="0" wrapText="false" indent="0" shrinkToFit="false"/>
      <protection locked="true" hidden="false"/>
    </xf>
    <xf numFmtId="164" fontId="7" fillId="0" borderId="0" xfId="0" applyFont="true" applyBorder="true" applyAlignment="false" applyProtection="false">
      <alignment horizontal="general" vertical="bottom" textRotation="0" wrapText="false" indent="0" shrinkToFit="false"/>
      <protection locked="true" hidden="false"/>
    </xf>
    <xf numFmtId="171" fontId="7" fillId="0" borderId="0" xfId="0" applyFont="true" applyBorder="true" applyAlignment="true" applyProtection="false">
      <alignment horizontal="center" vertical="bottom" textRotation="0" wrapText="false" indent="0" shrinkToFit="false"/>
      <protection locked="true" hidden="false"/>
    </xf>
    <xf numFmtId="164" fontId="7" fillId="0" borderId="0" xfId="0" applyFont="true" applyBorder="true" applyAlignment="true" applyProtection="false">
      <alignment horizontal="general" vertical="center" textRotation="0" wrapText="false" indent="0" shrinkToFit="false"/>
      <protection locked="true" hidden="false"/>
    </xf>
    <xf numFmtId="164" fontId="5" fillId="0" borderId="20" xfId="0" applyFont="true" applyBorder="true" applyAlignment="true" applyProtection="false">
      <alignment horizontal="center" vertical="top" textRotation="0" wrapText="false" indent="0" shrinkToFit="false"/>
      <protection locked="true" hidden="false"/>
    </xf>
    <xf numFmtId="171" fontId="7" fillId="0" borderId="0" xfId="0" applyFont="true" applyBorder="true" applyAlignment="false" applyProtection="false">
      <alignment horizontal="general" vertical="bottom" textRotation="0" wrapText="false" indent="0" shrinkToFit="false"/>
      <protection locked="true" hidden="false"/>
    </xf>
    <xf numFmtId="164" fontId="13" fillId="0" borderId="0" xfId="0" applyFont="true" applyBorder="true" applyAlignment="true" applyProtection="false">
      <alignment horizontal="center" vertical="bottom" textRotation="0" wrapText="false" indent="0" shrinkToFit="false"/>
      <protection locked="true" hidden="false"/>
    </xf>
    <xf numFmtId="164" fontId="5" fillId="0" borderId="25" xfId="0" applyFont="true" applyBorder="true" applyAlignment="true" applyProtection="false">
      <alignment horizontal="general" vertical="center" textRotation="0" wrapText="true" indent="0" shrinkToFit="false"/>
      <protection locked="true" hidden="false"/>
    </xf>
    <xf numFmtId="171" fontId="5" fillId="0" borderId="26" xfId="0" applyFont="true" applyBorder="true" applyAlignment="false" applyProtection="false">
      <alignment horizontal="general" vertical="bottom" textRotation="0" wrapText="false" indent="0" shrinkToFit="false"/>
      <protection locked="true" hidden="false"/>
    </xf>
    <xf numFmtId="164" fontId="5" fillId="0" borderId="25" xfId="0" applyFont="true" applyBorder="true" applyAlignment="true" applyProtection="false">
      <alignment horizontal="left" vertical="center" textRotation="0" wrapText="true" indent="0" shrinkToFit="false"/>
      <protection locked="true" hidden="false"/>
    </xf>
    <xf numFmtId="164" fontId="7" fillId="0" borderId="2" xfId="0" applyFont="true" applyBorder="true" applyAlignment="true" applyProtection="false">
      <alignment horizontal="center" vertical="bottom" textRotation="0" wrapText="false" indent="0" shrinkToFit="false"/>
      <protection locked="true" hidden="false"/>
    </xf>
    <xf numFmtId="171" fontId="7" fillId="0" borderId="2" xfId="0" applyFont="true" applyBorder="true" applyAlignment="true" applyProtection="false">
      <alignment horizontal="center" vertical="bottom" textRotation="0" wrapText="false" indent="0" shrinkToFit="false"/>
      <protection locked="true" hidden="false"/>
    </xf>
    <xf numFmtId="164" fontId="5" fillId="0" borderId="15" xfId="0" applyFont="true" applyBorder="true" applyAlignment="true" applyProtection="false">
      <alignment horizontal="left" vertical="bottom" textRotation="0" wrapText="false" indent="0" shrinkToFit="false"/>
      <protection locked="true" hidden="false"/>
    </xf>
    <xf numFmtId="172" fontId="5" fillId="0" borderId="15" xfId="0" applyFont="true" applyBorder="true" applyAlignment="true" applyProtection="false">
      <alignment horizontal="center" vertical="center" textRotation="0" wrapText="false" indent="0" shrinkToFit="false"/>
      <protection locked="true" hidden="false"/>
    </xf>
    <xf numFmtId="164" fontId="5" fillId="0" borderId="7" xfId="0" applyFont="true" applyBorder="true" applyAlignment="true" applyProtection="false">
      <alignment horizontal="left" vertical="bottom" textRotation="0" wrapText="false" indent="0" shrinkToFit="false"/>
      <protection locked="true" hidden="false"/>
    </xf>
    <xf numFmtId="172" fontId="5" fillId="0" borderId="7" xfId="0" applyFont="true" applyBorder="true" applyAlignment="true" applyProtection="false">
      <alignment horizontal="right" vertical="bottom" textRotation="0" wrapText="false" indent="0" shrinkToFit="false"/>
      <protection locked="true" hidden="false"/>
    </xf>
    <xf numFmtId="164" fontId="5" fillId="6" borderId="22" xfId="0" applyFont="true" applyBorder="true" applyAlignment="true" applyProtection="false">
      <alignment horizontal="center" vertical="center" textRotation="0" wrapText="true" indent="0" shrinkToFit="false"/>
      <protection locked="true" hidden="false"/>
    </xf>
    <xf numFmtId="164" fontId="9" fillId="5" borderId="6" xfId="0" applyFont="true" applyBorder="true" applyAlignment="true" applyProtection="false">
      <alignment horizontal="left" vertical="center" textRotation="0" wrapText="true" indent="0" shrinkToFit="false"/>
      <protection locked="true" hidden="false"/>
    </xf>
    <xf numFmtId="164" fontId="9" fillId="5" borderId="27" xfId="0" applyFont="true" applyBorder="true" applyAlignment="true" applyProtection="false">
      <alignment horizontal="center" vertical="center" textRotation="0" wrapText="false" indent="0" shrinkToFit="false"/>
      <protection locked="true" hidden="false"/>
    </xf>
    <xf numFmtId="164" fontId="9" fillId="5" borderId="9" xfId="0" applyFont="true" applyBorder="true" applyAlignment="true" applyProtection="false">
      <alignment horizontal="center" vertical="center" textRotation="0" wrapText="true" indent="0" shrinkToFit="false"/>
      <protection locked="true" hidden="false"/>
    </xf>
    <xf numFmtId="164" fontId="9" fillId="5" borderId="11" xfId="0" applyFont="true" applyBorder="true" applyAlignment="true" applyProtection="false">
      <alignment horizontal="center" vertical="center" textRotation="0" wrapText="true" indent="0" shrinkToFit="false"/>
      <protection locked="true" hidden="false"/>
    </xf>
    <xf numFmtId="164" fontId="9" fillId="5" borderId="7" xfId="0" applyFont="true" applyBorder="true" applyAlignment="true" applyProtection="false">
      <alignment horizontal="center" vertical="center" textRotation="0" wrapText="false" indent="0" shrinkToFit="false"/>
      <protection locked="true" hidden="false"/>
    </xf>
    <xf numFmtId="171" fontId="9" fillId="5" borderId="18" xfId="0" applyFont="true" applyBorder="true" applyAlignment="true" applyProtection="false">
      <alignment horizontal="center" vertical="center" textRotation="0" wrapText="false" indent="0" shrinkToFit="false"/>
      <protection locked="true" hidden="false"/>
    </xf>
    <xf numFmtId="164" fontId="7" fillId="6" borderId="7" xfId="0" applyFont="true" applyBorder="true" applyAlignment="true" applyProtection="false">
      <alignment horizontal="general" vertical="center" textRotation="0" wrapText="false" indent="0" shrinkToFit="false"/>
      <protection locked="true" hidden="false"/>
    </xf>
    <xf numFmtId="164" fontId="5" fillId="6" borderId="14" xfId="0" applyFont="true" applyBorder="true" applyAlignment="true" applyProtection="false">
      <alignment horizontal="general" vertical="center" textRotation="0" wrapText="false" indent="0" shrinkToFit="false"/>
      <protection locked="true" hidden="false"/>
    </xf>
    <xf numFmtId="168" fontId="7" fillId="6" borderId="21" xfId="0" applyFont="true" applyBorder="true" applyAlignment="true" applyProtection="false">
      <alignment horizontal="left" vertical="center" textRotation="0" wrapText="true" indent="0" shrinkToFit="false"/>
      <protection locked="true" hidden="false"/>
    </xf>
    <xf numFmtId="168" fontId="5" fillId="6" borderId="0" xfId="0" applyFont="true" applyBorder="true" applyAlignment="false" applyProtection="false">
      <alignment horizontal="general" vertical="bottom" textRotation="0" wrapText="false" indent="0" shrinkToFit="false"/>
      <protection locked="true" hidden="false"/>
    </xf>
    <xf numFmtId="168" fontId="5" fillId="6" borderId="28" xfId="0" applyFont="true" applyBorder="true" applyAlignment="true" applyProtection="false">
      <alignment horizontal="center" vertical="center" textRotation="0" wrapText="false" indent="0" shrinkToFit="false"/>
      <protection locked="true" hidden="false"/>
    </xf>
    <xf numFmtId="168" fontId="5" fillId="6" borderId="29" xfId="0" applyFont="true" applyBorder="true" applyAlignment="true" applyProtection="false">
      <alignment horizontal="center" vertical="center" textRotation="0" wrapText="false" indent="0" shrinkToFit="false"/>
      <protection locked="true" hidden="false"/>
    </xf>
    <xf numFmtId="168" fontId="5" fillId="6" borderId="7" xfId="0" applyFont="true" applyBorder="true" applyAlignment="true" applyProtection="false">
      <alignment horizontal="center" vertical="center" textRotation="0" wrapText="false" indent="0" shrinkToFit="false"/>
      <protection locked="true" hidden="false"/>
    </xf>
    <xf numFmtId="164" fontId="7" fillId="6" borderId="0" xfId="0" applyFont="true" applyBorder="true" applyAlignment="false" applyProtection="false">
      <alignment horizontal="general" vertical="bottom" textRotation="0" wrapText="false" indent="0" shrinkToFit="false"/>
      <protection locked="true" hidden="false"/>
    </xf>
    <xf numFmtId="164" fontId="5" fillId="6" borderId="14" xfId="0" applyFont="true" applyBorder="true" applyAlignment="true" applyProtection="false">
      <alignment horizontal="general" vertical="top" textRotation="0" wrapText="true" indent="0" shrinkToFit="false"/>
      <protection locked="true" hidden="false"/>
    </xf>
    <xf numFmtId="168" fontId="7" fillId="6" borderId="20" xfId="0" applyFont="true" applyBorder="true" applyAlignment="true" applyProtection="false">
      <alignment horizontal="left" vertical="center" textRotation="0" wrapText="true" indent="0" shrinkToFit="false"/>
      <protection locked="true" hidden="false"/>
    </xf>
    <xf numFmtId="168" fontId="5" fillId="6" borderId="12" xfId="0" applyFont="true" applyBorder="true" applyAlignment="true" applyProtection="false">
      <alignment horizontal="center" vertical="center" textRotation="0" wrapText="false" indent="0" shrinkToFit="false"/>
      <protection locked="true" hidden="false"/>
    </xf>
    <xf numFmtId="168" fontId="6" fillId="6" borderId="7" xfId="0" applyFont="true" applyBorder="true" applyAlignment="true" applyProtection="false">
      <alignment horizontal="center" vertical="bottom" textRotation="0" wrapText="false" indent="0" shrinkToFit="false"/>
      <protection locked="true" hidden="false"/>
    </xf>
    <xf numFmtId="164" fontId="7" fillId="6" borderId="7" xfId="0" applyFont="true" applyBorder="true" applyAlignment="true" applyProtection="false">
      <alignment horizontal="general" vertical="center" textRotation="0" wrapText="true" indent="0" shrinkToFit="false"/>
      <protection locked="true" hidden="false"/>
    </xf>
    <xf numFmtId="164" fontId="5" fillId="0" borderId="14" xfId="0" applyFont="true" applyBorder="true" applyAlignment="true" applyProtection="false">
      <alignment horizontal="general" vertical="top" textRotation="0" wrapText="true" indent="0" shrinkToFit="false"/>
      <protection locked="true" hidden="false"/>
    </xf>
    <xf numFmtId="168" fontId="5" fillId="0" borderId="15" xfId="0" applyFont="true" applyBorder="true" applyAlignment="true" applyProtection="false">
      <alignment horizontal="center" vertical="center" textRotation="0" wrapText="false" indent="0" shrinkToFit="false"/>
      <protection locked="true" hidden="false"/>
    </xf>
    <xf numFmtId="168" fontId="5" fillId="0" borderId="19" xfId="0" applyFont="true" applyBorder="true" applyAlignment="true" applyProtection="false">
      <alignment horizontal="center" vertical="center" textRotation="0" wrapText="false" indent="0" shrinkToFit="false"/>
      <protection locked="true" hidden="false"/>
    </xf>
    <xf numFmtId="168" fontId="5" fillId="0" borderId="12" xfId="0" applyFont="true" applyBorder="true" applyAlignment="true" applyProtection="false">
      <alignment horizontal="center" vertical="center" textRotation="0" wrapText="false" indent="0" shrinkToFit="false"/>
      <protection locked="true" hidden="false"/>
    </xf>
    <xf numFmtId="164" fontId="5" fillId="0" borderId="11" xfId="0" applyFont="true" applyBorder="true" applyAlignment="true" applyProtection="false">
      <alignment horizontal="general" vertical="center" textRotation="0" wrapText="false" indent="0" shrinkToFit="false"/>
      <protection locked="true" hidden="false"/>
    </xf>
    <xf numFmtId="168" fontId="5" fillId="6" borderId="15" xfId="0" applyFont="true" applyBorder="true" applyAlignment="true" applyProtection="false">
      <alignment horizontal="center" vertical="center" textRotation="0" wrapText="false" indent="0" shrinkToFit="false"/>
      <protection locked="true" hidden="false"/>
    </xf>
    <xf numFmtId="164" fontId="5" fillId="0" borderId="14" xfId="0" applyFont="true" applyBorder="true" applyAlignment="true" applyProtection="false">
      <alignment horizontal="general" vertical="center" textRotation="0" wrapText="false" indent="0" shrinkToFit="false"/>
      <protection locked="true" hidden="false"/>
    </xf>
    <xf numFmtId="168" fontId="5" fillId="0" borderId="14" xfId="0" applyFont="true" applyBorder="true" applyAlignment="true" applyProtection="false">
      <alignment horizontal="center" vertical="center" textRotation="0" wrapText="false" indent="0" shrinkToFit="false"/>
      <protection locked="true" hidden="false"/>
    </xf>
    <xf numFmtId="164" fontId="5" fillId="6" borderId="12" xfId="0" applyFont="true" applyBorder="true" applyAlignment="true" applyProtection="false">
      <alignment horizontal="general" vertical="center" textRotation="0" wrapText="false" indent="0" shrinkToFit="false"/>
      <protection locked="true" hidden="false"/>
    </xf>
    <xf numFmtId="164" fontId="5" fillId="0" borderId="7" xfId="0" applyFont="true" applyBorder="true" applyAlignment="true" applyProtection="false">
      <alignment horizontal="general" vertical="center" textRotation="0" wrapText="false" indent="0" shrinkToFit="false"/>
      <protection locked="true" hidden="false"/>
    </xf>
    <xf numFmtId="164" fontId="5" fillId="6" borderId="0" xfId="0" applyFont="true" applyBorder="true" applyAlignment="true" applyProtection="false">
      <alignment horizontal="general" vertical="center" textRotation="0" wrapText="false" indent="0" shrinkToFit="false"/>
      <protection locked="true" hidden="false"/>
    </xf>
    <xf numFmtId="164" fontId="7" fillId="5" borderId="7" xfId="0" applyFont="true" applyBorder="true" applyAlignment="true" applyProtection="false">
      <alignment horizontal="left" vertical="center" textRotation="0" wrapText="false" indent="0" shrinkToFit="false"/>
      <protection locked="true" hidden="false"/>
    </xf>
    <xf numFmtId="164" fontId="5" fillId="6" borderId="15" xfId="0" applyFont="true" applyBorder="true" applyAlignment="false" applyProtection="false">
      <alignment horizontal="general" vertical="bottom" textRotation="0" wrapText="false" indent="0" shrinkToFit="false"/>
      <protection locked="true" hidden="false"/>
    </xf>
    <xf numFmtId="168" fontId="7" fillId="6" borderId="15" xfId="0" applyFont="true" applyBorder="true" applyAlignment="true" applyProtection="false">
      <alignment horizontal="center" vertical="center" textRotation="0" wrapText="false" indent="0" shrinkToFit="false"/>
      <protection locked="true" hidden="false"/>
    </xf>
    <xf numFmtId="168" fontId="7" fillId="6" borderId="7" xfId="0" applyFont="true" applyBorder="true" applyAlignment="true" applyProtection="false">
      <alignment horizontal="center" vertical="center" textRotation="0" wrapText="false" indent="0" shrinkToFit="false"/>
      <protection locked="true" hidden="false"/>
    </xf>
    <xf numFmtId="168" fontId="5" fillId="0" borderId="0" xfId="0" applyFont="true" applyBorder="true" applyAlignment="false" applyProtection="false">
      <alignment horizontal="general" vertical="bottom" textRotation="0" wrapText="false" indent="0" shrinkToFit="false"/>
      <protection locked="true" hidden="false"/>
    </xf>
    <xf numFmtId="168" fontId="7" fillId="0" borderId="0" xfId="0" applyFont="true" applyBorder="true" applyAlignment="false" applyProtection="false">
      <alignment horizontal="general" vertical="bottom" textRotation="0" wrapText="false" indent="0" shrinkToFit="false"/>
      <protection locked="true" hidden="false"/>
    </xf>
    <xf numFmtId="164" fontId="5" fillId="6" borderId="30" xfId="0" applyFont="true" applyBorder="true" applyAlignment="true" applyProtection="false">
      <alignment horizontal="center" vertical="center" textRotation="0" wrapText="true" indent="0" shrinkToFit="false"/>
      <protection locked="true" hidden="false"/>
    </xf>
    <xf numFmtId="168" fontId="9" fillId="5" borderId="6" xfId="0" applyFont="true" applyBorder="true" applyAlignment="true" applyProtection="false">
      <alignment horizontal="left" vertical="center" textRotation="0" wrapText="true" indent="0" shrinkToFit="false"/>
      <protection locked="true" hidden="false"/>
    </xf>
    <xf numFmtId="164" fontId="9" fillId="5" borderId="18" xfId="0" applyFont="true" applyBorder="true" applyAlignment="true" applyProtection="false">
      <alignment horizontal="center" vertical="center" textRotation="0" wrapText="false" indent="0" shrinkToFit="false"/>
      <protection locked="true" hidden="false"/>
    </xf>
    <xf numFmtId="164" fontId="9" fillId="5" borderId="18" xfId="0" applyFont="true" applyBorder="true" applyAlignment="true" applyProtection="false">
      <alignment horizontal="center" vertical="center" textRotation="0" wrapText="true" indent="0" shrinkToFit="false"/>
      <protection locked="true" hidden="false"/>
    </xf>
    <xf numFmtId="168" fontId="9" fillId="5" borderId="18" xfId="0" applyFont="true" applyBorder="true" applyAlignment="true" applyProtection="false">
      <alignment horizontal="center" vertical="center" textRotation="0" wrapText="true" indent="0" shrinkToFit="false"/>
      <protection locked="true" hidden="false"/>
    </xf>
    <xf numFmtId="168" fontId="9" fillId="5" borderId="18" xfId="0" applyFont="true" applyBorder="true" applyAlignment="true" applyProtection="false">
      <alignment horizontal="center" vertical="center" textRotation="0" wrapText="false" indent="0" shrinkToFit="false"/>
      <protection locked="true" hidden="false"/>
    </xf>
    <xf numFmtId="168" fontId="9" fillId="5" borderId="31" xfId="0" applyFont="true" applyBorder="true" applyAlignment="true" applyProtection="false">
      <alignment horizontal="center" vertical="center" textRotation="0" wrapText="false" indent="0" shrinkToFit="false"/>
      <protection locked="true" hidden="false"/>
    </xf>
    <xf numFmtId="164" fontId="6" fillId="4" borderId="0" xfId="0" applyFont="true" applyBorder="true" applyAlignment="false" applyProtection="false">
      <alignment horizontal="general" vertical="bottom" textRotation="0" wrapText="false" indent="0" shrinkToFit="false"/>
      <protection locked="true" hidden="false"/>
    </xf>
    <xf numFmtId="164" fontId="5" fillId="6" borderId="7" xfId="0" applyFont="true" applyBorder="true" applyAlignment="true" applyProtection="false">
      <alignment horizontal="left" vertical="center" textRotation="0" wrapText="true" indent="0" shrinkToFit="false"/>
      <protection locked="true" hidden="false"/>
    </xf>
    <xf numFmtId="168" fontId="4" fillId="6" borderId="7" xfId="0" applyFont="true" applyBorder="true" applyAlignment="true" applyProtection="false">
      <alignment horizontal="center" vertical="center" textRotation="0" wrapText="false" indent="0" shrinkToFit="false"/>
      <protection locked="true" hidden="false"/>
    </xf>
    <xf numFmtId="164" fontId="5" fillId="6" borderId="0" xfId="0" applyFont="true" applyBorder="true" applyAlignment="true" applyProtection="false">
      <alignment horizontal="general" vertical="bottom" textRotation="0" wrapText="true" indent="0" shrinkToFit="false"/>
      <protection locked="true" hidden="false"/>
    </xf>
    <xf numFmtId="164" fontId="4" fillId="6" borderId="0" xfId="0" applyFont="true" applyBorder="true" applyAlignment="true" applyProtection="false">
      <alignment horizontal="general" vertical="bottom" textRotation="0" wrapText="true" indent="0" shrinkToFit="false"/>
      <protection locked="true" hidden="false"/>
    </xf>
    <xf numFmtId="164" fontId="5" fillId="6" borderId="7" xfId="0" applyFont="true" applyBorder="true" applyAlignment="true" applyProtection="false">
      <alignment horizontal="general" vertical="center" textRotation="0" wrapText="true" indent="0" shrinkToFit="false"/>
      <protection locked="true" hidden="false"/>
    </xf>
    <xf numFmtId="168" fontId="5" fillId="6" borderId="7" xfId="0" applyFont="true" applyBorder="true" applyAlignment="true" applyProtection="false">
      <alignment horizontal="center" vertical="bottom" textRotation="0" wrapText="false" indent="0" shrinkToFit="false"/>
      <protection locked="true" hidden="false"/>
    </xf>
    <xf numFmtId="168" fontId="5" fillId="4" borderId="7" xfId="0" applyFont="true" applyBorder="true" applyAlignment="true" applyProtection="false">
      <alignment horizontal="center" vertical="center" textRotation="0" wrapText="false" indent="0" shrinkToFit="false"/>
      <protection locked="true" hidden="false"/>
    </xf>
    <xf numFmtId="164" fontId="5" fillId="8" borderId="7" xfId="0" applyFont="true" applyBorder="true" applyAlignment="true" applyProtection="false">
      <alignment horizontal="general" vertical="center" textRotation="0" wrapText="true" indent="0" shrinkToFit="false"/>
      <protection locked="true" hidden="false"/>
    </xf>
    <xf numFmtId="168" fontId="5" fillId="8" borderId="15" xfId="0" applyFont="true" applyBorder="true" applyAlignment="true" applyProtection="false">
      <alignment horizontal="center" vertical="center" textRotation="0" wrapText="true" indent="0" shrinkToFit="false"/>
      <protection locked="true" hidden="false"/>
    </xf>
    <xf numFmtId="168" fontId="5" fillId="8" borderId="7" xfId="0" applyFont="true" applyBorder="true" applyAlignment="true" applyProtection="false">
      <alignment horizontal="center" vertical="center" textRotation="0" wrapText="true" indent="0" shrinkToFit="false"/>
      <protection locked="true" hidden="false"/>
    </xf>
    <xf numFmtId="168" fontId="5" fillId="8" borderId="7" xfId="0" applyFont="true" applyBorder="true" applyAlignment="true" applyProtection="false">
      <alignment horizontal="center" vertical="center" textRotation="0" wrapText="false" indent="0" shrinkToFit="false"/>
      <protection locked="true" hidden="false"/>
    </xf>
    <xf numFmtId="164" fontId="5" fillId="6" borderId="7" xfId="0" applyFont="true" applyBorder="true" applyAlignment="true" applyProtection="false">
      <alignment horizontal="general" vertical="bottom" textRotation="0" wrapText="true" indent="0" shrinkToFit="false"/>
      <protection locked="true" hidden="false"/>
    </xf>
    <xf numFmtId="164" fontId="5" fillId="8" borderId="7" xfId="0" applyFont="true" applyBorder="true" applyAlignment="true" applyProtection="false">
      <alignment horizontal="general" vertical="bottom" textRotation="0" wrapText="true" indent="0" shrinkToFit="false"/>
      <protection locked="true" hidden="false"/>
    </xf>
    <xf numFmtId="164" fontId="5" fillId="8" borderId="7" xfId="0" applyFont="true" applyBorder="true" applyAlignment="true" applyProtection="false">
      <alignment horizontal="general" vertical="center" textRotation="0" wrapText="false" indent="0" shrinkToFit="false"/>
      <protection locked="true" hidden="false"/>
    </xf>
    <xf numFmtId="168" fontId="5" fillId="8" borderId="15" xfId="0" applyFont="true" applyBorder="true" applyAlignment="true" applyProtection="false">
      <alignment horizontal="center" vertical="center" textRotation="0" wrapText="false" indent="0" shrinkToFit="false"/>
      <protection locked="true" hidden="false"/>
    </xf>
    <xf numFmtId="168" fontId="4" fillId="6" borderId="0" xfId="0" applyFont="true" applyBorder="true" applyAlignment="true" applyProtection="false">
      <alignment horizontal="center" vertical="bottom" textRotation="0" wrapText="false" indent="0" shrinkToFit="false"/>
      <protection locked="true" hidden="false"/>
    </xf>
    <xf numFmtId="168" fontId="4" fillId="0" borderId="7" xfId="0" applyFont="true" applyBorder="true" applyAlignment="true" applyProtection="false">
      <alignment horizontal="center" vertical="bottom" textRotation="0" wrapText="false" indent="0" shrinkToFit="false"/>
      <protection locked="true" hidden="false"/>
    </xf>
    <xf numFmtId="164" fontId="5" fillId="6" borderId="7" xfId="0" applyFont="true" applyBorder="true" applyAlignment="false" applyProtection="false">
      <alignment horizontal="general" vertical="bottom" textRotation="0" wrapText="false" indent="0" shrinkToFit="false"/>
      <protection locked="true" hidden="false"/>
    </xf>
    <xf numFmtId="171" fontId="6" fillId="4" borderId="0" xfId="0" applyFont="true" applyBorder="true" applyAlignment="true" applyProtection="false">
      <alignment horizontal="center" vertical="center" textRotation="0" wrapText="false" indent="0" shrinkToFit="false"/>
      <protection locked="true" hidden="false"/>
    </xf>
    <xf numFmtId="171" fontId="9" fillId="5" borderId="7" xfId="0" applyFont="true" applyBorder="true" applyAlignment="true" applyProtection="false">
      <alignment horizontal="center" vertical="center" textRotation="0" wrapText="false" indent="0" shrinkToFit="false"/>
      <protection locked="true" hidden="false"/>
    </xf>
    <xf numFmtId="168" fontId="5" fillId="6" borderId="7" xfId="0" applyFont="true" applyBorder="true" applyAlignment="false" applyProtection="false">
      <alignment horizontal="general" vertical="bottom" textRotation="0" wrapText="false" indent="0" shrinkToFit="false"/>
      <protection locked="true" hidden="false"/>
    </xf>
    <xf numFmtId="171" fontId="6" fillId="0" borderId="0" xfId="0" applyFont="true" applyBorder="true" applyAlignment="true" applyProtection="false">
      <alignment horizontal="center" vertical="center" textRotation="0" wrapText="false" indent="0" shrinkToFit="false"/>
      <protection locked="true" hidden="false"/>
    </xf>
    <xf numFmtId="171" fontId="5" fillId="4" borderId="0" xfId="0" applyFont="true" applyBorder="true" applyAlignment="true" applyProtection="false">
      <alignment horizontal="center" vertical="center" textRotation="0" wrapText="false" indent="0" shrinkToFit="false"/>
      <protection locked="true" hidden="false"/>
    </xf>
    <xf numFmtId="171" fontId="13" fillId="4" borderId="0" xfId="0" applyFont="true" applyBorder="true" applyAlignment="true" applyProtection="false">
      <alignment horizontal="center" vertical="center" textRotation="0" wrapText="false" indent="0" shrinkToFit="false"/>
      <protection locked="true" hidden="false"/>
    </xf>
    <xf numFmtId="171" fontId="7" fillId="0" borderId="0" xfId="0" applyFont="true" applyBorder="true" applyAlignment="true" applyProtection="false">
      <alignment horizontal="center" vertical="center" textRotation="0" wrapText="false" indent="0" shrinkToFit="false"/>
      <protection locked="true" hidden="false"/>
    </xf>
    <xf numFmtId="171" fontId="9" fillId="5" borderId="32" xfId="0" applyFont="true" applyBorder="true" applyAlignment="true" applyProtection="false">
      <alignment horizontal="center" vertical="center" textRotation="0" wrapText="true" indent="0" shrinkToFit="false"/>
      <protection locked="true" hidden="false"/>
    </xf>
    <xf numFmtId="171" fontId="13" fillId="0" borderId="0" xfId="0" applyFont="true" applyBorder="true" applyAlignment="true" applyProtection="false">
      <alignment horizontal="center" vertical="center" textRotation="0" wrapText="false" indent="0" shrinkToFit="false"/>
      <protection locked="true" hidden="false"/>
    </xf>
    <xf numFmtId="171" fontId="7" fillId="4" borderId="0" xfId="0" applyFont="true" applyBorder="true" applyAlignment="true" applyProtection="false">
      <alignment horizontal="center" vertical="center" textRotation="0" wrapText="false" indent="0" shrinkToFit="false"/>
      <protection locked="true" hidden="false"/>
    </xf>
    <xf numFmtId="168" fontId="7" fillId="4" borderId="0" xfId="0" applyFont="true" applyBorder="true" applyAlignment="true" applyProtection="false">
      <alignment horizontal="center" vertical="center" textRotation="0" wrapText="false" indent="0" shrinkToFit="false"/>
      <protection locked="true" hidden="false"/>
    </xf>
    <xf numFmtId="164" fontId="13" fillId="4" borderId="0" xfId="0" applyFont="true" applyBorder="true" applyAlignment="true" applyProtection="false">
      <alignment horizontal="center" vertical="center" textRotation="0" wrapText="false" indent="0" shrinkToFit="false"/>
      <protection locked="true" hidden="false"/>
    </xf>
    <xf numFmtId="164" fontId="7" fillId="4" borderId="0" xfId="0" applyFont="true" applyBorder="true" applyAlignment="true" applyProtection="false">
      <alignment horizontal="center" vertical="center" textRotation="0" wrapText="true" indent="0" shrinkToFit="false"/>
      <protection locked="true" hidden="false"/>
    </xf>
    <xf numFmtId="164" fontId="7" fillId="0" borderId="0" xfId="0" applyFont="true" applyBorder="true" applyAlignment="true" applyProtection="false">
      <alignment horizontal="center" vertical="center" textRotation="0" wrapText="false" indent="0" shrinkToFit="false"/>
      <protection locked="true" hidden="false"/>
    </xf>
    <xf numFmtId="164" fontId="9" fillId="5" borderId="32" xfId="0" applyFont="true" applyBorder="true" applyAlignment="true" applyProtection="false">
      <alignment horizontal="center" vertical="center" textRotation="0" wrapText="true" indent="0" shrinkToFit="false"/>
      <protection locked="true" hidden="false"/>
    </xf>
    <xf numFmtId="164" fontId="13" fillId="0" borderId="0" xfId="0" applyFont="true" applyBorder="true" applyAlignment="true" applyProtection="false">
      <alignment horizontal="center" vertical="center" textRotation="0" wrapText="false" indent="0" shrinkToFit="false"/>
      <protection locked="true" hidden="false"/>
    </xf>
    <xf numFmtId="168" fontId="4" fillId="0" borderId="0" xfId="0" applyFont="true" applyBorder="true" applyAlignment="false" applyProtection="false">
      <alignment horizontal="general" vertical="bottom" textRotation="0" wrapText="false" indent="0" shrinkToFit="false"/>
      <protection locked="true" hidden="false"/>
    </xf>
    <xf numFmtId="164" fontId="9" fillId="5" borderId="33" xfId="0" applyFont="true" applyBorder="true" applyAlignment="true" applyProtection="false">
      <alignment horizontal="left" vertical="center" textRotation="0" wrapText="false" indent="0" shrinkToFit="false"/>
      <protection locked="true" hidden="false"/>
    </xf>
    <xf numFmtId="164" fontId="7" fillId="0" borderId="33" xfId="0" applyFont="true" applyBorder="true" applyAlignment="true" applyProtection="false">
      <alignment horizontal="left" vertical="center" textRotation="0" wrapText="false" indent="0" shrinkToFit="false"/>
      <protection locked="true" hidden="false"/>
    </xf>
    <xf numFmtId="164" fontId="5" fillId="4" borderId="33" xfId="0" applyFont="true" applyBorder="true" applyAlignment="true" applyProtection="false">
      <alignment horizontal="left" vertical="top" textRotation="0" wrapText="false" indent="0" shrinkToFit="false"/>
      <protection locked="true" hidden="false"/>
    </xf>
    <xf numFmtId="164" fontId="6" fillId="9" borderId="0" xfId="0" applyFont="true" applyBorder="true" applyAlignment="false" applyProtection="false">
      <alignment horizontal="general" vertical="bottom" textRotation="0" wrapText="false" indent="0" shrinkToFit="false"/>
      <protection locked="true" hidden="false"/>
    </xf>
    <xf numFmtId="164" fontId="5" fillId="9" borderId="0" xfId="0" applyFont="true" applyBorder="true" applyAlignment="false" applyProtection="false">
      <alignment horizontal="general" vertical="bottom" textRotation="0" wrapText="false" indent="0" shrinkToFit="false"/>
      <protection locked="true" hidden="false"/>
    </xf>
    <xf numFmtId="164" fontId="5" fillId="9" borderId="0" xfId="0" applyFont="true" applyBorder="true" applyAlignment="true" applyProtection="false">
      <alignment horizontal="general" vertical="bottom" textRotation="0" wrapText="true" indent="0" shrinkToFit="false"/>
      <protection locked="true" hidden="false"/>
    </xf>
    <xf numFmtId="164" fontId="4" fillId="0" borderId="0" xfId="0" applyFont="true" applyBorder="true" applyAlignment="true" applyProtection="false">
      <alignment horizontal="general" vertical="bottom" textRotation="0" wrapText="true" indent="0" shrinkToFit="false"/>
      <protection locked="true" hidden="false"/>
    </xf>
    <xf numFmtId="164" fontId="14" fillId="0" borderId="0" xfId="0" applyFont="true" applyBorder="true" applyAlignment="false" applyProtection="false">
      <alignment horizontal="general" vertical="bottom" textRotation="0" wrapText="false" indent="0" shrinkToFit="false"/>
      <protection locked="true" hidden="false"/>
    </xf>
    <xf numFmtId="164" fontId="14" fillId="0" borderId="0" xfId="0" applyFont="true" applyBorder="true" applyAlignment="true" applyProtection="false">
      <alignment horizontal="left" vertical="center" textRotation="0" wrapText="true" indent="0" shrinkToFit="false"/>
      <protection locked="true" hidden="false"/>
    </xf>
    <xf numFmtId="164" fontId="15" fillId="0" borderId="0" xfId="0" applyFont="true" applyBorder="true" applyAlignment="true" applyProtection="false">
      <alignment horizontal="general" vertical="bottom" textRotation="0" wrapText="true" indent="0" shrinkToFit="false"/>
      <protection locked="true" hidden="false"/>
    </xf>
    <xf numFmtId="164" fontId="14" fillId="0" borderId="0" xfId="0" applyFont="true" applyBorder="true" applyAlignment="true" applyProtection="false">
      <alignment horizontal="general" vertical="bottom" textRotation="0" wrapText="true" indent="0" shrinkToFit="false"/>
      <protection locked="true" hidden="false"/>
    </xf>
    <xf numFmtId="164" fontId="15" fillId="0" borderId="0" xfId="0" applyFont="true" applyBorder="true" applyAlignment="false" applyProtection="false">
      <alignment horizontal="general" vertical="bottom" textRotation="0" wrapText="false" indent="0" shrinkToFit="false"/>
      <protection locked="true" hidden="false"/>
    </xf>
    <xf numFmtId="164" fontId="16" fillId="10" borderId="0" xfId="0" applyFont="true" applyBorder="true" applyAlignment="true" applyProtection="false">
      <alignment horizontal="center" vertical="bottom" textRotation="0" wrapText="false" indent="0" shrinkToFit="false"/>
      <protection locked="true" hidden="false"/>
    </xf>
    <xf numFmtId="164" fontId="14" fillId="11" borderId="0" xfId="0" applyFont="true" applyBorder="true" applyAlignment="true" applyProtection="false">
      <alignment horizontal="general" vertical="bottom" textRotation="0" wrapText="true" indent="0" shrinkToFit="false"/>
      <protection locked="true" hidden="false"/>
    </xf>
    <xf numFmtId="164" fontId="16" fillId="10" borderId="34" xfId="0" applyFont="true" applyBorder="true" applyAlignment="true" applyProtection="false">
      <alignment horizontal="general" vertical="bottom" textRotation="0" wrapText="true" indent="0" shrinkToFit="false"/>
      <protection locked="true" hidden="false"/>
    </xf>
    <xf numFmtId="164" fontId="14" fillId="0" borderId="34" xfId="0" applyFont="true" applyBorder="true" applyAlignment="true" applyProtection="false">
      <alignment horizontal="general" vertical="bottom" textRotation="0" wrapText="true" indent="0" shrinkToFit="false"/>
      <protection locked="true" hidden="false"/>
    </xf>
    <xf numFmtId="169" fontId="14" fillId="0" borderId="34" xfId="0" applyFont="true" applyBorder="true" applyAlignment="true" applyProtection="false">
      <alignment horizontal="general" vertical="bottom" textRotation="0" wrapText="true" indent="0" shrinkToFit="false"/>
      <protection locked="true" hidden="false"/>
    </xf>
  </cellXfs>
  <cellStyles count="8">
    <cellStyle name="Normal" xfId="0" builtinId="0"/>
    <cellStyle name="Comma" xfId="15" builtinId="3"/>
    <cellStyle name="Comma [0]" xfId="16" builtinId="6"/>
    <cellStyle name="Currency" xfId="17" builtinId="4"/>
    <cellStyle name="Currency [0]" xfId="18" builtinId="7"/>
    <cellStyle name="Percent" xfId="19" builtinId="5"/>
    <cellStyle name="Грошовий" xfId="20"/>
    <cellStyle name="Фінансовий" xfId="21"/>
  </cellStyles>
  <dxfs count="4">
    <dxf>
      <fill>
        <patternFill>
          <bgColor theme="8" tint="-0.5"/>
        </patternFill>
      </fill>
    </dxf>
    <dxf>
      <fill>
        <patternFill>
          <bgColor rgb="FFFF0000"/>
        </patternFill>
      </fill>
    </dxf>
    <dxf>
      <font>
        <b val="1"/>
        <color rgb="FFC00000"/>
      </font>
      <fill>
        <patternFill>
          <bgColor rgb="FFFCE8E6"/>
        </patternFill>
      </fill>
    </dxf>
    <dxf>
      <fill>
        <patternFill>
          <bgColor theme="2" tint="-0.5"/>
        </patternFill>
      </fill>
    </dxf>
  </dxfs>
  <colors>
    <indexedColors>
      <rgbColor rgb="FF000000"/>
      <rgbColor rgb="FFFFFFFF"/>
      <rgbColor rgb="FFFF0000"/>
      <rgbColor rgb="FF00FF00"/>
      <rgbColor rgb="FF0000FF"/>
      <rgbColor rgb="FFFFFF00"/>
      <rgbColor rgb="FFFF00FF"/>
      <rgbColor rgb="FF00FFFF"/>
      <rgbColor rgb="FFC00000"/>
      <rgbColor rgb="FF008000"/>
      <rgbColor rgb="FF000080"/>
      <rgbColor rgb="FF7F7F7F"/>
      <rgbColor rgb="FF800080"/>
      <rgbColor rgb="FF008080"/>
      <rgbColor rgb="FFBFBFBF"/>
      <rgbColor rgb="FF808080"/>
      <rgbColor rgb="FF9999FF"/>
      <rgbColor rgb="FF993366"/>
      <rgbColor rgb="FFFCE8E6"/>
      <rgbColor rgb="FFBBE6FF"/>
      <rgbColor rgb="FF660066"/>
      <rgbColor rgb="FFFF8080"/>
      <rgbColor rgb="FF0066CC"/>
      <rgbColor rgb="FFCCCCFF"/>
      <rgbColor rgb="FF000080"/>
      <rgbColor rgb="FFFF00FF"/>
      <rgbColor rgb="FFFFFF00"/>
      <rgbColor rgb="FF00FFFF"/>
      <rgbColor rgb="FF800080"/>
      <rgbColor rgb="FFD0002C"/>
      <rgbColor rgb="FF008080"/>
      <rgbColor rgb="FF0000FF"/>
      <rgbColor rgb="FF00CCFF"/>
      <rgbColor rgb="FFB9E8DC"/>
      <rgbColor rgb="FFC6EAE2"/>
      <rgbColor rgb="FFFFFF99"/>
      <rgbColor rgb="FF99CCFF"/>
      <rgbColor rgb="FFFF99CC"/>
      <rgbColor rgb="FFCC99FF"/>
      <rgbColor rgb="FFFFCC99"/>
      <rgbColor rgb="FF3366FF"/>
      <rgbColor rgb="FF50C5A7"/>
      <rgbColor rgb="FF99CC00"/>
      <rgbColor rgb="FFFFCC00"/>
      <rgbColor rgb="FFFF9900"/>
      <rgbColor rgb="FFFF6600"/>
      <rgbColor rgb="FF595959"/>
      <rgbColor rgb="FFA89497"/>
      <rgbColor rgb="FF002A5D"/>
      <rgbColor rgb="FF339966"/>
      <rgbColor rgb="FF0B2F5B"/>
      <rgbColor rgb="FF333300"/>
      <rgbColor rgb="FF993300"/>
      <rgbColor rgb="FF993366"/>
      <rgbColor rgb="FF003F8C"/>
      <rgbColor rgb="FF142855"/>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42855"/>
      </a:accent1>
      <a:accent2>
        <a:srgbClr val="0054ba"/>
      </a:accent2>
      <a:accent3>
        <a:srgbClr val="55c0ff"/>
      </a:accent3>
      <a:accent4>
        <a:srgbClr val="50c5a7"/>
      </a:accent4>
      <a:accent5>
        <a:srgbClr val="ffa0b4"/>
      </a:accent5>
      <a:accent6>
        <a:srgbClr val="ffb500"/>
      </a:accent6>
      <a:hlink>
        <a:srgbClr val="142855"/>
      </a:hlink>
      <a:folHlink>
        <a:srgbClr val="142855"/>
      </a:folHlink>
    </a:clrScheme>
    <a:fontScheme name="Office">
      <a:majorFont>
        <a:latin typeface="Calibri Light" pitchFamily="0" charset="1"/>
        <a:ea typeface="Calibri Light" pitchFamily="0" charset="1"/>
        <a:cs typeface="Calibri Light"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tint val="67000"/>
                <a:lumMod val="110000"/>
              </a:schemeClr>
            </a:gs>
            <a:gs pos="50000">
              <a:schemeClr val="phClr">
                <a:tint val="73000"/>
                <a:lumMod val="105000"/>
              </a:schemeClr>
            </a:gs>
            <a:gs pos="100000">
              <a:schemeClr val="phClr">
                <a:tint val="81000"/>
                <a:lumMod val="105000"/>
              </a:schemeClr>
            </a:gs>
          </a:gsLst>
          <a:lin ang="5400000" scaled="0"/>
          <a:tileRect l="0" t="0" r="0" b="0"/>
        </a:gradFill>
        <a:gradFill>
          <a:gsLst>
            <a:gs pos="0">
              <a:schemeClr val="phClr">
                <a:tint val="94000"/>
                <a:lumMod val="102000"/>
              </a:schemeClr>
            </a:gs>
            <a:gs pos="50000">
              <a:schemeClr val="phClr">
                <a:shade val="100000"/>
                <a:lumMod val="100000"/>
              </a:schemeClr>
            </a:gs>
            <a:gs pos="100000">
              <a:schemeClr val="phClr">
                <a:shade val="78000"/>
                <a:lumMod val="99000"/>
              </a:schemeClr>
            </a:gs>
          </a:gsLst>
          <a:lin ang="5400000" scaled="0"/>
          <a:tileRect l="0" t="0" r="0" b="0"/>
        </a:gradFill>
      </a:fillStyleLst>
      <a:lnStyleLst>
        <a:ln w="6350">
          <a:prstDash val="solid"/>
        </a:ln>
        <a:ln w="12700">
          <a:prstDash val="solid"/>
        </a:ln>
        <a:ln w="1905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99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015625" defaultRowHeight="15" zeroHeight="false" outlineLevelRow="0" outlineLevelCol="0"/>
  <cols>
    <col collapsed="false" customWidth="true" hidden="false" outlineLevel="0" max="1" min="1" style="1" width="4.1"/>
    <col collapsed="false" customWidth="true" hidden="false" outlineLevel="0" max="2" min="2" style="1" width="3.5"/>
    <col collapsed="false" customWidth="true" hidden="false" outlineLevel="0" max="3" min="3" style="1" width="3.6"/>
    <col collapsed="false" customWidth="true" hidden="false" outlineLevel="0" max="4" min="4" style="1" width="12.7"/>
    <col collapsed="false" customWidth="true" hidden="false" outlineLevel="0" max="12" min="5" style="1" width="7.6"/>
    <col collapsed="false" customWidth="true" hidden="false" outlineLevel="0" max="13" min="13" style="1" width="28.9"/>
    <col collapsed="false" customWidth="true" hidden="false" outlineLevel="0" max="14" min="14" style="1" width="40"/>
    <col collapsed="false" customWidth="true" hidden="false" outlineLevel="0" max="15" min="15" style="1" width="4.4"/>
    <col collapsed="false" customWidth="true" hidden="false" outlineLevel="0" max="17" min="16" style="1" width="7.6"/>
    <col collapsed="false" customWidth="false" hidden="false" outlineLevel="0" max="16384" min="18" style="1" width="12.6"/>
  </cols>
  <sheetData>
    <row r="1" customFormat="false" ht="13.5" hidden="false" customHeight="true" outlineLevel="0" collapsed="false">
      <c r="A1" s="2" t="s">
        <v>0</v>
      </c>
      <c r="B1" s="3"/>
      <c r="C1" s="2"/>
      <c r="D1" s="2"/>
      <c r="E1" s="2"/>
      <c r="F1" s="2"/>
      <c r="G1" s="2"/>
      <c r="H1" s="2"/>
      <c r="I1" s="2"/>
      <c r="J1" s="2"/>
      <c r="K1" s="2"/>
      <c r="L1" s="2"/>
      <c r="M1" s="2"/>
      <c r="N1" s="2"/>
      <c r="O1" s="2"/>
      <c r="P1" s="4"/>
      <c r="Q1" s="4"/>
    </row>
    <row r="2" customFormat="false" ht="16.5" hidden="false" customHeight="true" outlineLevel="0" collapsed="false">
      <c r="A2" s="5"/>
      <c r="B2" s="5"/>
      <c r="C2" s="5"/>
      <c r="D2" s="5"/>
      <c r="E2" s="5"/>
      <c r="F2" s="5"/>
      <c r="G2" s="5"/>
      <c r="H2" s="5"/>
      <c r="I2" s="5"/>
      <c r="J2" s="6"/>
      <c r="K2" s="6"/>
      <c r="L2" s="6"/>
      <c r="M2" s="6"/>
      <c r="N2" s="6"/>
      <c r="O2" s="2"/>
      <c r="P2" s="4"/>
      <c r="Q2" s="4"/>
    </row>
    <row r="3" customFormat="false" ht="19.5" hidden="false" customHeight="true" outlineLevel="0" collapsed="false">
      <c r="A3" s="2"/>
      <c r="B3" s="3"/>
      <c r="C3" s="2"/>
      <c r="D3" s="2"/>
      <c r="E3" s="2"/>
      <c r="F3" s="2"/>
      <c r="G3" s="2"/>
      <c r="H3" s="2"/>
      <c r="I3" s="2"/>
      <c r="J3" s="2"/>
      <c r="K3" s="2"/>
      <c r="L3" s="2"/>
      <c r="M3" s="2"/>
      <c r="N3" s="2"/>
      <c r="O3" s="2"/>
      <c r="P3" s="4"/>
      <c r="Q3" s="4"/>
    </row>
    <row r="4" customFormat="false" ht="24.75" hidden="false" customHeight="true" outlineLevel="0" collapsed="false">
      <c r="A4" s="2"/>
      <c r="B4" s="7" t="s">
        <v>1</v>
      </c>
      <c r="C4" s="7"/>
      <c r="D4" s="7"/>
      <c r="E4" s="7"/>
      <c r="F4" s="7"/>
      <c r="G4" s="7"/>
      <c r="H4" s="7"/>
      <c r="I4" s="7"/>
      <c r="J4" s="7"/>
      <c r="K4" s="7"/>
      <c r="L4" s="7"/>
      <c r="M4" s="7"/>
      <c r="N4" s="7"/>
      <c r="O4" s="7"/>
      <c r="P4" s="4"/>
      <c r="Q4" s="4"/>
    </row>
    <row r="5" customFormat="false" ht="195" hidden="false" customHeight="true" outlineLevel="0" collapsed="false">
      <c r="A5" s="2"/>
      <c r="B5" s="8" t="s">
        <v>2</v>
      </c>
      <c r="C5" s="8"/>
      <c r="D5" s="8"/>
      <c r="E5" s="8"/>
      <c r="F5" s="8"/>
      <c r="G5" s="8"/>
      <c r="H5" s="8"/>
      <c r="I5" s="8"/>
      <c r="J5" s="8"/>
      <c r="K5" s="8"/>
      <c r="L5" s="8"/>
      <c r="M5" s="8"/>
      <c r="N5" s="8"/>
      <c r="O5" s="7"/>
      <c r="P5" s="4"/>
      <c r="Q5" s="4"/>
    </row>
    <row r="6" customFormat="false" ht="13.5" hidden="false" customHeight="true" outlineLevel="0" collapsed="false">
      <c r="A6" s="2"/>
      <c r="B6" s="9"/>
      <c r="C6" s="10"/>
      <c r="D6" s="10"/>
      <c r="E6" s="10"/>
      <c r="F6" s="10"/>
      <c r="G6" s="10"/>
      <c r="H6" s="10"/>
      <c r="I6" s="10"/>
      <c r="J6" s="10"/>
      <c r="K6" s="10"/>
      <c r="L6" s="10"/>
      <c r="M6" s="10"/>
      <c r="N6" s="10"/>
      <c r="O6" s="2"/>
      <c r="P6" s="4"/>
      <c r="Q6" s="4"/>
    </row>
    <row r="7" customFormat="false" ht="13.5" hidden="false" customHeight="true" outlineLevel="0" collapsed="false">
      <c r="A7" s="2"/>
      <c r="B7" s="3"/>
      <c r="C7" s="11"/>
      <c r="D7" s="11"/>
      <c r="E7" s="11"/>
      <c r="F7" s="11"/>
      <c r="G7" s="11"/>
      <c r="H7" s="11"/>
      <c r="I7" s="11"/>
      <c r="J7" s="11"/>
      <c r="K7" s="11"/>
      <c r="L7" s="11"/>
      <c r="M7" s="11"/>
      <c r="N7" s="11"/>
      <c r="O7" s="2"/>
      <c r="P7" s="4"/>
      <c r="Q7" s="4"/>
    </row>
    <row r="8" customFormat="false" ht="26.25" hidden="false" customHeight="true" outlineLevel="0" collapsed="false">
      <c r="A8" s="2"/>
      <c r="B8" s="12" t="s">
        <v>3</v>
      </c>
      <c r="C8" s="12"/>
      <c r="D8" s="12"/>
      <c r="E8" s="12"/>
      <c r="F8" s="12"/>
      <c r="G8" s="12"/>
      <c r="H8" s="12"/>
      <c r="I8" s="12"/>
      <c r="J8" s="12"/>
      <c r="K8" s="12"/>
      <c r="L8" s="12"/>
      <c r="M8" s="12"/>
      <c r="N8" s="12"/>
      <c r="O8" s="2"/>
      <c r="P8" s="4"/>
      <c r="Q8" s="4"/>
    </row>
    <row r="9" customFormat="false" ht="13.5" hidden="false" customHeight="true" outlineLevel="0" collapsed="false">
      <c r="A9" s="2"/>
      <c r="B9" s="13"/>
      <c r="C9" s="2"/>
      <c r="D9" s="2"/>
      <c r="E9" s="2"/>
      <c r="F9" s="2"/>
      <c r="G9" s="2"/>
      <c r="H9" s="2"/>
      <c r="I9" s="2"/>
      <c r="J9" s="2"/>
      <c r="K9" s="2"/>
      <c r="L9" s="2"/>
      <c r="M9" s="2"/>
      <c r="N9" s="2"/>
      <c r="O9" s="2"/>
      <c r="P9" s="4"/>
      <c r="Q9" s="4"/>
    </row>
    <row r="10" customFormat="false" ht="47.25" hidden="false" customHeight="true" outlineLevel="0" collapsed="false">
      <c r="A10" s="2"/>
      <c r="B10" s="3" t="s">
        <v>4</v>
      </c>
      <c r="C10" s="11" t="s">
        <v>5</v>
      </c>
      <c r="D10" s="11"/>
      <c r="E10" s="11"/>
      <c r="F10" s="11"/>
      <c r="G10" s="11"/>
      <c r="H10" s="11"/>
      <c r="I10" s="11"/>
      <c r="J10" s="11"/>
      <c r="K10" s="11"/>
      <c r="L10" s="11"/>
      <c r="M10" s="11"/>
      <c r="N10" s="11"/>
      <c r="O10" s="14"/>
      <c r="P10" s="15"/>
      <c r="Q10" s="4"/>
    </row>
    <row r="11" customFormat="false" ht="35.25" hidden="false" customHeight="true" outlineLevel="0" collapsed="false">
      <c r="A11" s="2"/>
      <c r="B11" s="3" t="s">
        <v>4</v>
      </c>
      <c r="C11" s="11" t="s">
        <v>6</v>
      </c>
      <c r="D11" s="11"/>
      <c r="E11" s="11"/>
      <c r="F11" s="11"/>
      <c r="G11" s="11"/>
      <c r="H11" s="11"/>
      <c r="I11" s="11"/>
      <c r="J11" s="11"/>
      <c r="K11" s="11"/>
      <c r="L11" s="11"/>
      <c r="M11" s="11"/>
      <c r="N11" s="11"/>
      <c r="O11" s="14"/>
      <c r="P11" s="4"/>
      <c r="Q11" s="4"/>
    </row>
    <row r="12" customFormat="false" ht="34.5" hidden="false" customHeight="true" outlineLevel="0" collapsed="false">
      <c r="A12" s="2"/>
      <c r="B12" s="3" t="s">
        <v>4</v>
      </c>
      <c r="C12" s="11" t="s">
        <v>7</v>
      </c>
      <c r="D12" s="11"/>
      <c r="E12" s="11"/>
      <c r="F12" s="11"/>
      <c r="G12" s="11"/>
      <c r="H12" s="11"/>
      <c r="I12" s="11"/>
      <c r="J12" s="11"/>
      <c r="K12" s="11"/>
      <c r="L12" s="11"/>
      <c r="M12" s="11"/>
      <c r="N12" s="11"/>
      <c r="O12" s="14"/>
      <c r="P12" s="4"/>
      <c r="Q12" s="4"/>
    </row>
    <row r="13" customFormat="false" ht="33" hidden="false" customHeight="true" outlineLevel="0" collapsed="false">
      <c r="A13" s="2"/>
      <c r="B13" s="3" t="s">
        <v>4</v>
      </c>
      <c r="C13" s="11" t="s">
        <v>8</v>
      </c>
      <c r="D13" s="11"/>
      <c r="E13" s="11"/>
      <c r="F13" s="11"/>
      <c r="G13" s="11"/>
      <c r="H13" s="11"/>
      <c r="I13" s="11"/>
      <c r="J13" s="11"/>
      <c r="K13" s="11"/>
      <c r="L13" s="11"/>
      <c r="M13" s="11"/>
      <c r="N13" s="11"/>
      <c r="O13" s="2"/>
      <c r="P13" s="4"/>
      <c r="Q13" s="4"/>
    </row>
    <row r="14" customFormat="false" ht="24" hidden="false" customHeight="true" outlineLevel="0" collapsed="false">
      <c r="A14" s="2"/>
      <c r="B14" s="3" t="s">
        <v>4</v>
      </c>
      <c r="C14" s="3" t="s">
        <v>9</v>
      </c>
      <c r="D14" s="3"/>
      <c r="E14" s="3"/>
      <c r="F14" s="3"/>
      <c r="G14" s="3"/>
      <c r="H14" s="3"/>
      <c r="I14" s="3"/>
      <c r="J14" s="3"/>
      <c r="K14" s="3"/>
      <c r="L14" s="3"/>
      <c r="M14" s="3"/>
      <c r="N14" s="3"/>
      <c r="O14" s="11"/>
      <c r="P14" s="4"/>
      <c r="Q14" s="4"/>
    </row>
    <row r="15" customFormat="false" ht="24" hidden="false" customHeight="true" outlineLevel="0" collapsed="false">
      <c r="A15" s="2"/>
      <c r="B15" s="3"/>
      <c r="C15" s="3" t="s">
        <v>10</v>
      </c>
      <c r="D15" s="16"/>
      <c r="E15" s="16"/>
      <c r="F15" s="16"/>
      <c r="G15" s="16"/>
      <c r="H15" s="16"/>
      <c r="I15" s="16"/>
      <c r="J15" s="16"/>
      <c r="K15" s="16"/>
      <c r="L15" s="16"/>
      <c r="M15" s="16"/>
      <c r="N15" s="16"/>
      <c r="O15" s="11"/>
      <c r="P15" s="4"/>
      <c r="Q15" s="4"/>
    </row>
    <row r="16" customFormat="false" ht="24" hidden="false" customHeight="true" outlineLevel="0" collapsed="false">
      <c r="A16" s="2"/>
      <c r="B16" s="3" t="s">
        <v>4</v>
      </c>
      <c r="C16" s="3" t="s">
        <v>11</v>
      </c>
      <c r="D16" s="16"/>
      <c r="E16" s="16"/>
      <c r="F16" s="16"/>
      <c r="G16" s="16"/>
      <c r="H16" s="16"/>
      <c r="I16" s="16"/>
      <c r="J16" s="16"/>
      <c r="K16" s="16"/>
      <c r="L16" s="16"/>
      <c r="M16" s="16"/>
      <c r="N16" s="16"/>
      <c r="O16" s="11"/>
      <c r="P16" s="4"/>
      <c r="Q16" s="4"/>
    </row>
    <row r="17" customFormat="false" ht="54" hidden="false" customHeight="true" outlineLevel="0" collapsed="false">
      <c r="A17" s="2"/>
      <c r="B17" s="3" t="s">
        <v>4</v>
      </c>
      <c r="C17" s="17" t="s">
        <v>12</v>
      </c>
      <c r="D17" s="17"/>
      <c r="E17" s="17"/>
      <c r="F17" s="17"/>
      <c r="G17" s="17"/>
      <c r="H17" s="17"/>
      <c r="I17" s="17"/>
      <c r="J17" s="17"/>
      <c r="K17" s="17"/>
      <c r="L17" s="17"/>
      <c r="M17" s="17"/>
      <c r="N17" s="17"/>
      <c r="O17" s="14"/>
      <c r="P17" s="4"/>
      <c r="Q17" s="4"/>
    </row>
    <row r="18" customFormat="false" ht="13.5" hidden="false" customHeight="true" outlineLevel="0" collapsed="false">
      <c r="A18" s="2"/>
      <c r="B18" s="3"/>
      <c r="C18" s="2"/>
      <c r="D18" s="2"/>
      <c r="E18" s="2"/>
      <c r="F18" s="2"/>
      <c r="G18" s="2"/>
      <c r="H18" s="2"/>
      <c r="I18" s="2"/>
      <c r="J18" s="2"/>
      <c r="K18" s="2"/>
      <c r="L18" s="2"/>
      <c r="M18" s="2"/>
      <c r="N18" s="2"/>
      <c r="O18" s="2"/>
      <c r="P18" s="4"/>
      <c r="Q18" s="4"/>
    </row>
    <row r="19" customFormat="false" ht="23.25" hidden="false" customHeight="true" outlineLevel="0" collapsed="false">
      <c r="A19" s="2"/>
      <c r="B19" s="12" t="s">
        <v>13</v>
      </c>
      <c r="C19" s="12"/>
      <c r="D19" s="12"/>
      <c r="E19" s="12"/>
      <c r="F19" s="12"/>
      <c r="G19" s="12"/>
      <c r="H19" s="12"/>
      <c r="I19" s="12"/>
      <c r="J19" s="12"/>
      <c r="K19" s="12"/>
      <c r="L19" s="12"/>
      <c r="M19" s="12"/>
      <c r="N19" s="12"/>
      <c r="O19" s="2"/>
      <c r="P19" s="4"/>
      <c r="Q19" s="4"/>
    </row>
    <row r="20" customFormat="false" ht="13.5" hidden="false" customHeight="true" outlineLevel="0" collapsed="false">
      <c r="A20" s="2"/>
      <c r="B20" s="3"/>
      <c r="C20" s="2"/>
      <c r="D20" s="2"/>
      <c r="E20" s="2"/>
      <c r="F20" s="2"/>
      <c r="G20" s="2"/>
      <c r="H20" s="2"/>
      <c r="I20" s="2"/>
      <c r="J20" s="2"/>
      <c r="K20" s="2"/>
      <c r="L20" s="2"/>
      <c r="M20" s="2"/>
      <c r="N20" s="2"/>
      <c r="O20" s="2"/>
      <c r="P20" s="4"/>
      <c r="Q20" s="4"/>
    </row>
    <row r="21" customFormat="false" ht="108.75" hidden="false" customHeight="true" outlineLevel="0" collapsed="false">
      <c r="A21" s="2"/>
      <c r="B21" s="3" t="s">
        <v>4</v>
      </c>
      <c r="C21" s="11" t="s">
        <v>14</v>
      </c>
      <c r="D21" s="11"/>
      <c r="E21" s="11"/>
      <c r="F21" s="11"/>
      <c r="G21" s="11"/>
      <c r="H21" s="11"/>
      <c r="I21" s="11"/>
      <c r="J21" s="11"/>
      <c r="K21" s="11"/>
      <c r="L21" s="11"/>
      <c r="M21" s="11"/>
      <c r="N21" s="11"/>
      <c r="O21" s="2"/>
      <c r="P21" s="4"/>
      <c r="Q21" s="4"/>
    </row>
    <row r="22" customFormat="false" ht="13.5" hidden="false" customHeight="true" outlineLevel="0" collapsed="false">
      <c r="A22" s="4"/>
      <c r="B22" s="18"/>
      <c r="C22" s="19"/>
      <c r="D22" s="19"/>
      <c r="E22" s="19"/>
      <c r="F22" s="19"/>
      <c r="G22" s="19"/>
      <c r="H22" s="19"/>
      <c r="I22" s="19"/>
      <c r="J22" s="19"/>
      <c r="K22" s="19"/>
      <c r="L22" s="19"/>
      <c r="M22" s="19"/>
      <c r="N22" s="19"/>
      <c r="O22" s="4"/>
      <c r="P22" s="4"/>
      <c r="Q22" s="4"/>
    </row>
    <row r="23" customFormat="false" ht="13.5" hidden="false" customHeight="true" outlineLevel="0" collapsed="false">
      <c r="A23" s="4"/>
      <c r="B23" s="18"/>
      <c r="C23" s="19"/>
      <c r="D23" s="19"/>
      <c r="E23" s="19"/>
      <c r="F23" s="19"/>
      <c r="G23" s="19"/>
      <c r="H23" s="19"/>
      <c r="I23" s="19"/>
      <c r="J23" s="19"/>
      <c r="K23" s="19"/>
      <c r="L23" s="19"/>
      <c r="M23" s="19"/>
      <c r="N23" s="19"/>
      <c r="O23" s="4"/>
      <c r="P23" s="4"/>
      <c r="Q23" s="4"/>
    </row>
    <row r="24" customFormat="false" ht="13.5" hidden="false" customHeight="true" outlineLevel="0" collapsed="false">
      <c r="A24" s="4"/>
      <c r="B24" s="20"/>
      <c r="C24" s="4"/>
      <c r="D24" s="4"/>
      <c r="E24" s="4"/>
      <c r="F24" s="4"/>
      <c r="G24" s="4"/>
      <c r="H24" s="4"/>
      <c r="I24" s="4"/>
      <c r="J24" s="4"/>
      <c r="K24" s="4"/>
      <c r="L24" s="4"/>
      <c r="M24" s="4"/>
      <c r="N24" s="4"/>
      <c r="O24" s="4"/>
      <c r="P24" s="4"/>
      <c r="Q24" s="4"/>
    </row>
    <row r="25" customFormat="false" ht="13.5" hidden="false" customHeight="true" outlineLevel="0" collapsed="false">
      <c r="A25" s="4"/>
      <c r="B25" s="20"/>
      <c r="C25" s="4"/>
      <c r="D25" s="4"/>
      <c r="E25" s="4"/>
      <c r="F25" s="4"/>
      <c r="G25" s="4"/>
      <c r="H25" s="4"/>
      <c r="I25" s="4"/>
      <c r="J25" s="4"/>
      <c r="K25" s="4"/>
      <c r="L25" s="4"/>
      <c r="M25" s="4"/>
      <c r="N25" s="4"/>
      <c r="O25" s="4"/>
      <c r="P25" s="4"/>
      <c r="Q25" s="4"/>
    </row>
    <row r="26" customFormat="false" ht="31.5" hidden="false" customHeight="true" outlineLevel="0" collapsed="false">
      <c r="A26" s="4"/>
      <c r="B26" s="20"/>
      <c r="C26" s="4"/>
      <c r="D26" s="4"/>
      <c r="E26" s="4"/>
      <c r="F26" s="4"/>
      <c r="G26" s="4"/>
      <c r="H26" s="4"/>
      <c r="I26" s="4"/>
      <c r="J26" s="4"/>
      <c r="K26" s="4"/>
      <c r="L26" s="4"/>
      <c r="M26" s="4"/>
      <c r="N26" s="4"/>
      <c r="O26" s="4"/>
      <c r="P26" s="4"/>
      <c r="Q26" s="4"/>
    </row>
    <row r="27" customFormat="false" ht="13.5" hidden="false" customHeight="true" outlineLevel="0" collapsed="false">
      <c r="A27" s="4"/>
      <c r="B27" s="20"/>
      <c r="C27" s="4"/>
      <c r="D27" s="4"/>
      <c r="E27" s="4"/>
      <c r="F27" s="4"/>
      <c r="G27" s="4"/>
      <c r="H27" s="4"/>
      <c r="I27" s="4"/>
      <c r="J27" s="4"/>
      <c r="K27" s="4"/>
      <c r="L27" s="4"/>
      <c r="M27" s="4"/>
      <c r="N27" s="4"/>
      <c r="O27" s="4"/>
      <c r="P27" s="4"/>
      <c r="Q27" s="4"/>
    </row>
    <row r="28" customFormat="false" ht="13.5" hidden="false" customHeight="true" outlineLevel="0" collapsed="false">
      <c r="A28" s="4"/>
      <c r="B28" s="20"/>
      <c r="C28" s="4"/>
      <c r="D28" s="4"/>
      <c r="E28" s="4"/>
      <c r="F28" s="4"/>
      <c r="G28" s="4"/>
      <c r="H28" s="4"/>
      <c r="I28" s="4"/>
      <c r="J28" s="4"/>
      <c r="K28" s="4"/>
      <c r="L28" s="4"/>
      <c r="M28" s="4"/>
      <c r="N28" s="4"/>
      <c r="O28" s="4"/>
      <c r="P28" s="4"/>
      <c r="Q28" s="4"/>
    </row>
    <row r="29" customFormat="false" ht="13.5" hidden="false" customHeight="true" outlineLevel="0" collapsed="false">
      <c r="A29" s="4"/>
      <c r="B29" s="20"/>
      <c r="C29" s="4"/>
      <c r="D29" s="4"/>
      <c r="E29" s="4"/>
      <c r="F29" s="4"/>
      <c r="G29" s="4"/>
      <c r="H29" s="4"/>
      <c r="I29" s="4"/>
      <c r="J29" s="4"/>
      <c r="K29" s="4"/>
      <c r="L29" s="4"/>
      <c r="M29" s="4"/>
      <c r="N29" s="4"/>
      <c r="O29" s="4"/>
      <c r="P29" s="4"/>
      <c r="Q29" s="4"/>
    </row>
    <row r="30" customFormat="false" ht="13.5" hidden="false" customHeight="true" outlineLevel="0" collapsed="false">
      <c r="A30" s="4"/>
      <c r="B30" s="20"/>
      <c r="C30" s="4"/>
      <c r="D30" s="4"/>
      <c r="E30" s="4"/>
      <c r="F30" s="4"/>
      <c r="G30" s="4"/>
      <c r="H30" s="4"/>
      <c r="I30" s="4"/>
      <c r="J30" s="4"/>
      <c r="K30" s="4"/>
      <c r="L30" s="4"/>
      <c r="M30" s="4"/>
      <c r="N30" s="4"/>
      <c r="O30" s="4"/>
      <c r="P30" s="4"/>
      <c r="Q30" s="4"/>
    </row>
    <row r="31" customFormat="false" ht="13.5" hidden="false" customHeight="true" outlineLevel="0" collapsed="false">
      <c r="A31" s="4"/>
      <c r="B31" s="18"/>
      <c r="C31" s="21"/>
      <c r="D31" s="21"/>
      <c r="E31" s="21"/>
      <c r="F31" s="21"/>
      <c r="G31" s="21"/>
      <c r="H31" s="21"/>
      <c r="I31" s="21"/>
      <c r="J31" s="21"/>
      <c r="K31" s="21"/>
      <c r="L31" s="21"/>
      <c r="M31" s="21"/>
      <c r="N31" s="21"/>
      <c r="O31" s="4"/>
      <c r="P31" s="4"/>
      <c r="Q31" s="4"/>
    </row>
    <row r="32" customFormat="false" ht="13.5" hidden="false" customHeight="true" outlineLevel="0" collapsed="false">
      <c r="A32" s="4"/>
      <c r="B32" s="20"/>
      <c r="C32" s="4"/>
      <c r="D32" s="4"/>
      <c r="E32" s="4"/>
      <c r="F32" s="4"/>
      <c r="G32" s="4"/>
      <c r="H32" s="4"/>
      <c r="I32" s="4"/>
      <c r="J32" s="4"/>
      <c r="K32" s="4"/>
      <c r="L32" s="4"/>
      <c r="M32" s="4"/>
      <c r="N32" s="4"/>
      <c r="O32" s="4"/>
      <c r="P32" s="4"/>
      <c r="Q32" s="4"/>
    </row>
    <row r="33" customFormat="false" ht="13.5" hidden="false" customHeight="true" outlineLevel="0" collapsed="false">
      <c r="A33" s="4"/>
      <c r="B33" s="20"/>
      <c r="C33" s="4"/>
      <c r="D33" s="4"/>
      <c r="E33" s="4"/>
      <c r="F33" s="4"/>
      <c r="G33" s="4"/>
      <c r="H33" s="4"/>
      <c r="I33" s="4"/>
      <c r="J33" s="4"/>
      <c r="K33" s="4"/>
      <c r="L33" s="4"/>
      <c r="M33" s="4"/>
      <c r="N33" s="4"/>
      <c r="O33" s="4"/>
      <c r="P33" s="4"/>
      <c r="Q33" s="4"/>
    </row>
    <row r="34" customFormat="false" ht="13.5" hidden="false" customHeight="true" outlineLevel="0" collapsed="false">
      <c r="A34" s="4"/>
      <c r="B34" s="20"/>
      <c r="C34" s="4"/>
      <c r="D34" s="4"/>
      <c r="E34" s="4"/>
      <c r="F34" s="4"/>
      <c r="G34" s="4"/>
      <c r="H34" s="4"/>
      <c r="I34" s="4"/>
      <c r="J34" s="4"/>
      <c r="K34" s="4"/>
      <c r="L34" s="4"/>
      <c r="M34" s="4"/>
      <c r="N34" s="4"/>
      <c r="O34" s="4"/>
      <c r="P34" s="4"/>
      <c r="Q34" s="4"/>
    </row>
    <row r="35" customFormat="false" ht="13.5" hidden="false" customHeight="true" outlineLevel="0" collapsed="false">
      <c r="A35" s="4"/>
      <c r="B35" s="20"/>
      <c r="C35" s="4"/>
      <c r="D35" s="4"/>
      <c r="E35" s="4"/>
      <c r="F35" s="4"/>
      <c r="G35" s="4"/>
      <c r="H35" s="4"/>
      <c r="I35" s="4"/>
      <c r="J35" s="4"/>
      <c r="K35" s="4"/>
      <c r="L35" s="4"/>
      <c r="M35" s="4"/>
      <c r="N35" s="4"/>
      <c r="O35" s="4"/>
      <c r="P35" s="4"/>
      <c r="Q35" s="4"/>
    </row>
    <row r="36" customFormat="false" ht="13.5" hidden="false" customHeight="true" outlineLevel="0" collapsed="false">
      <c r="A36" s="4"/>
      <c r="B36" s="20"/>
      <c r="C36" s="4"/>
      <c r="D36" s="4"/>
      <c r="E36" s="4"/>
      <c r="F36" s="4"/>
      <c r="G36" s="4"/>
      <c r="H36" s="4"/>
      <c r="I36" s="4"/>
      <c r="J36" s="4"/>
      <c r="K36" s="4"/>
      <c r="L36" s="4"/>
      <c r="M36" s="4"/>
      <c r="N36" s="4"/>
      <c r="O36" s="4"/>
      <c r="P36" s="4"/>
      <c r="Q36" s="4"/>
    </row>
    <row r="37" customFormat="false" ht="13.5" hidden="false" customHeight="true" outlineLevel="0" collapsed="false">
      <c r="A37" s="4"/>
      <c r="B37" s="20"/>
      <c r="C37" s="4"/>
      <c r="D37" s="4"/>
      <c r="E37" s="4"/>
      <c r="F37" s="4"/>
      <c r="G37" s="4"/>
      <c r="H37" s="4"/>
      <c r="I37" s="4"/>
      <c r="J37" s="4"/>
      <c r="K37" s="4"/>
      <c r="L37" s="4"/>
      <c r="M37" s="4"/>
      <c r="N37" s="4"/>
      <c r="O37" s="4"/>
      <c r="P37" s="4"/>
      <c r="Q37" s="4"/>
    </row>
    <row r="38" customFormat="false" ht="13.5" hidden="false" customHeight="true" outlineLevel="0" collapsed="false">
      <c r="A38" s="4"/>
      <c r="B38" s="20"/>
      <c r="C38" s="4"/>
      <c r="D38" s="4"/>
      <c r="E38" s="4"/>
      <c r="F38" s="4"/>
      <c r="G38" s="4"/>
      <c r="H38" s="4"/>
      <c r="I38" s="4"/>
      <c r="J38" s="4"/>
      <c r="K38" s="4"/>
      <c r="L38" s="4"/>
      <c r="M38" s="4"/>
      <c r="N38" s="4"/>
      <c r="O38" s="4"/>
      <c r="P38" s="4"/>
      <c r="Q38" s="4"/>
    </row>
    <row r="39" customFormat="false" ht="13.5" hidden="false" customHeight="true" outlineLevel="0" collapsed="false">
      <c r="A39" s="4"/>
      <c r="B39" s="20"/>
      <c r="C39" s="4"/>
      <c r="D39" s="4"/>
      <c r="E39" s="4"/>
      <c r="F39" s="4"/>
      <c r="G39" s="4"/>
      <c r="H39" s="4"/>
      <c r="I39" s="4"/>
      <c r="J39" s="4"/>
      <c r="K39" s="4"/>
      <c r="L39" s="4"/>
      <c r="M39" s="4"/>
      <c r="N39" s="4"/>
      <c r="O39" s="4"/>
      <c r="P39" s="4"/>
      <c r="Q39" s="4"/>
    </row>
    <row r="40" customFormat="false" ht="13.5" hidden="false" customHeight="true" outlineLevel="0" collapsed="false">
      <c r="A40" s="4"/>
      <c r="B40" s="20"/>
      <c r="C40" s="4"/>
      <c r="D40" s="4"/>
      <c r="E40" s="4"/>
      <c r="F40" s="4"/>
      <c r="G40" s="4"/>
      <c r="H40" s="4"/>
      <c r="I40" s="4"/>
      <c r="J40" s="4"/>
      <c r="K40" s="4"/>
      <c r="L40" s="4"/>
      <c r="M40" s="4"/>
      <c r="N40" s="4"/>
      <c r="O40" s="4"/>
      <c r="P40" s="4"/>
      <c r="Q40" s="4"/>
    </row>
    <row r="41" customFormat="false" ht="13.5" hidden="false" customHeight="true" outlineLevel="0" collapsed="false">
      <c r="A41" s="4"/>
      <c r="B41" s="18"/>
      <c r="C41" s="21"/>
      <c r="D41" s="21"/>
      <c r="E41" s="21"/>
      <c r="F41" s="21"/>
      <c r="G41" s="21"/>
      <c r="H41" s="21"/>
      <c r="I41" s="21"/>
      <c r="J41" s="21"/>
      <c r="K41" s="21"/>
      <c r="L41" s="21"/>
      <c r="M41" s="21"/>
      <c r="N41" s="21"/>
      <c r="O41" s="4"/>
      <c r="P41" s="4"/>
      <c r="Q41" s="4"/>
    </row>
    <row r="42" customFormat="false" ht="48.75" hidden="false" customHeight="true" outlineLevel="0" collapsed="false">
      <c r="A42" s="4"/>
      <c r="B42" s="20"/>
      <c r="C42" s="4"/>
      <c r="D42" s="4"/>
      <c r="E42" s="4"/>
      <c r="F42" s="4"/>
      <c r="G42" s="4"/>
      <c r="H42" s="4"/>
      <c r="I42" s="4"/>
      <c r="J42" s="4"/>
      <c r="K42" s="4"/>
      <c r="L42" s="4"/>
      <c r="M42" s="4"/>
      <c r="N42" s="4"/>
      <c r="O42" s="4"/>
      <c r="P42" s="4"/>
      <c r="Q42" s="4"/>
    </row>
    <row r="43" customFormat="false" ht="13.5" hidden="false" customHeight="true" outlineLevel="0" collapsed="false">
      <c r="A43" s="4"/>
      <c r="B43" s="20"/>
      <c r="C43" s="4"/>
      <c r="D43" s="4"/>
      <c r="E43" s="4"/>
      <c r="F43" s="4"/>
      <c r="G43" s="4"/>
      <c r="H43" s="4"/>
      <c r="I43" s="4"/>
      <c r="J43" s="4"/>
      <c r="K43" s="4"/>
      <c r="L43" s="4"/>
      <c r="M43" s="4"/>
      <c r="N43" s="4"/>
      <c r="O43" s="4"/>
      <c r="P43" s="4"/>
      <c r="Q43" s="4"/>
    </row>
    <row r="44" customFormat="false" ht="13.5" hidden="false" customHeight="true" outlineLevel="0" collapsed="false">
      <c r="A44" s="4"/>
      <c r="B44" s="20"/>
      <c r="C44" s="4"/>
      <c r="D44" s="4"/>
      <c r="E44" s="4"/>
      <c r="F44" s="4"/>
      <c r="G44" s="4"/>
      <c r="H44" s="4"/>
      <c r="I44" s="4"/>
      <c r="J44" s="4"/>
      <c r="K44" s="4"/>
      <c r="L44" s="4"/>
      <c r="M44" s="4"/>
      <c r="N44" s="4"/>
      <c r="O44" s="4"/>
      <c r="P44" s="4"/>
      <c r="Q44" s="4"/>
    </row>
    <row r="45" customFormat="false" ht="13.5" hidden="false" customHeight="true" outlineLevel="0" collapsed="false">
      <c r="A45" s="4"/>
      <c r="B45" s="20"/>
      <c r="C45" s="4"/>
      <c r="D45" s="4"/>
      <c r="E45" s="4"/>
      <c r="F45" s="4"/>
      <c r="G45" s="4"/>
      <c r="H45" s="4"/>
      <c r="I45" s="4"/>
      <c r="J45" s="4"/>
      <c r="K45" s="4"/>
      <c r="L45" s="4"/>
      <c r="M45" s="4"/>
      <c r="N45" s="4"/>
      <c r="O45" s="4"/>
      <c r="P45" s="4"/>
      <c r="Q45" s="4"/>
    </row>
    <row r="46" customFormat="false" ht="13.5" hidden="false" customHeight="true" outlineLevel="0" collapsed="false">
      <c r="A46" s="4"/>
      <c r="B46" s="20"/>
      <c r="C46" s="4"/>
      <c r="D46" s="4"/>
      <c r="E46" s="4"/>
      <c r="F46" s="4"/>
      <c r="G46" s="4"/>
      <c r="H46" s="4"/>
      <c r="I46" s="4"/>
      <c r="J46" s="4"/>
      <c r="K46" s="4"/>
      <c r="L46" s="4"/>
      <c r="M46" s="4"/>
      <c r="N46" s="4"/>
      <c r="O46" s="4"/>
      <c r="P46" s="4"/>
      <c r="Q46" s="4"/>
    </row>
    <row r="47" customFormat="false" ht="13.5" hidden="false" customHeight="true" outlineLevel="0" collapsed="false">
      <c r="A47" s="4"/>
      <c r="B47" s="20"/>
      <c r="C47" s="4"/>
      <c r="D47" s="4"/>
      <c r="E47" s="4"/>
      <c r="F47" s="4"/>
      <c r="G47" s="4"/>
      <c r="H47" s="4"/>
      <c r="I47" s="4"/>
      <c r="J47" s="4"/>
      <c r="K47" s="4"/>
      <c r="L47" s="4"/>
      <c r="M47" s="4"/>
      <c r="N47" s="4"/>
      <c r="O47" s="4"/>
      <c r="P47" s="4"/>
      <c r="Q47" s="4"/>
    </row>
    <row r="48" customFormat="false" ht="13.5" hidden="false" customHeight="true" outlineLevel="0" collapsed="false">
      <c r="A48" s="4"/>
      <c r="B48" s="20"/>
      <c r="C48" s="4"/>
      <c r="D48" s="4"/>
      <c r="E48" s="4"/>
      <c r="F48" s="4"/>
      <c r="G48" s="4"/>
      <c r="H48" s="4"/>
      <c r="I48" s="4"/>
      <c r="J48" s="4"/>
      <c r="K48" s="4"/>
      <c r="L48" s="4"/>
      <c r="M48" s="4"/>
      <c r="N48" s="4"/>
      <c r="O48" s="4"/>
      <c r="P48" s="4"/>
      <c r="Q48" s="4"/>
    </row>
    <row r="49" customFormat="false" ht="13.5" hidden="false" customHeight="true" outlineLevel="0" collapsed="false">
      <c r="A49" s="4"/>
      <c r="B49" s="20"/>
      <c r="C49" s="4"/>
      <c r="D49" s="4"/>
      <c r="E49" s="4"/>
      <c r="F49" s="4"/>
      <c r="G49" s="4"/>
      <c r="H49" s="4"/>
      <c r="I49" s="4"/>
      <c r="J49" s="4"/>
      <c r="K49" s="4"/>
      <c r="L49" s="4"/>
      <c r="M49" s="4"/>
      <c r="N49" s="4"/>
      <c r="O49" s="4"/>
      <c r="P49" s="4"/>
      <c r="Q49" s="4"/>
    </row>
    <row r="50" customFormat="false" ht="13.5" hidden="false" customHeight="true" outlineLevel="0" collapsed="false">
      <c r="A50" s="4"/>
      <c r="B50" s="20"/>
      <c r="C50" s="4"/>
      <c r="D50" s="4"/>
      <c r="E50" s="4"/>
      <c r="F50" s="4"/>
      <c r="G50" s="4"/>
      <c r="H50" s="4"/>
      <c r="I50" s="4"/>
      <c r="J50" s="4"/>
      <c r="K50" s="4"/>
      <c r="L50" s="4"/>
      <c r="M50" s="4"/>
      <c r="N50" s="4"/>
      <c r="O50" s="4"/>
      <c r="P50" s="4"/>
      <c r="Q50" s="4"/>
    </row>
    <row r="51" customFormat="false" ht="13.5" hidden="false" customHeight="true" outlineLevel="0" collapsed="false">
      <c r="A51" s="4"/>
      <c r="B51" s="20"/>
      <c r="C51" s="4"/>
      <c r="D51" s="4"/>
      <c r="E51" s="4"/>
      <c r="F51" s="4"/>
      <c r="G51" s="4"/>
      <c r="H51" s="4"/>
      <c r="I51" s="4"/>
      <c r="J51" s="4"/>
      <c r="K51" s="4"/>
      <c r="L51" s="4"/>
      <c r="M51" s="4"/>
      <c r="N51" s="4"/>
      <c r="O51" s="4"/>
      <c r="P51" s="4"/>
      <c r="Q51" s="4"/>
    </row>
    <row r="52" customFormat="false" ht="13.5" hidden="false" customHeight="true" outlineLevel="0" collapsed="false">
      <c r="A52" s="4"/>
      <c r="B52" s="20"/>
      <c r="C52" s="4"/>
      <c r="D52" s="4"/>
      <c r="E52" s="4"/>
      <c r="F52" s="4"/>
      <c r="G52" s="4"/>
      <c r="H52" s="4"/>
      <c r="I52" s="4"/>
      <c r="J52" s="4"/>
      <c r="K52" s="4"/>
      <c r="L52" s="4"/>
      <c r="M52" s="4"/>
      <c r="N52" s="4"/>
      <c r="O52" s="4"/>
      <c r="P52" s="4"/>
      <c r="Q52" s="4"/>
    </row>
    <row r="53" customFormat="false" ht="13.5" hidden="false" customHeight="true" outlineLevel="0" collapsed="false">
      <c r="A53" s="4"/>
      <c r="B53" s="20"/>
      <c r="C53" s="4"/>
      <c r="D53" s="4"/>
      <c r="E53" s="4"/>
      <c r="F53" s="4"/>
      <c r="G53" s="4"/>
      <c r="H53" s="4"/>
      <c r="I53" s="4"/>
      <c r="J53" s="4"/>
      <c r="K53" s="4"/>
      <c r="L53" s="4"/>
      <c r="M53" s="4"/>
      <c r="N53" s="4"/>
      <c r="O53" s="4"/>
      <c r="P53" s="4"/>
      <c r="Q53" s="4"/>
    </row>
    <row r="54" customFormat="false" ht="13.5" hidden="false" customHeight="true" outlineLevel="0" collapsed="false">
      <c r="A54" s="4"/>
      <c r="B54" s="20"/>
      <c r="C54" s="4"/>
      <c r="D54" s="4"/>
      <c r="E54" s="4"/>
      <c r="F54" s="4"/>
      <c r="G54" s="4"/>
      <c r="H54" s="4"/>
      <c r="I54" s="4"/>
      <c r="J54" s="4"/>
      <c r="K54" s="4"/>
      <c r="L54" s="4"/>
      <c r="M54" s="4"/>
      <c r="N54" s="4"/>
      <c r="O54" s="4"/>
      <c r="P54" s="4"/>
      <c r="Q54" s="4"/>
    </row>
    <row r="55" customFormat="false" ht="13.5" hidden="false" customHeight="true" outlineLevel="0" collapsed="false">
      <c r="A55" s="4"/>
      <c r="B55" s="20"/>
      <c r="C55" s="4"/>
      <c r="D55" s="4"/>
      <c r="E55" s="4"/>
      <c r="F55" s="4"/>
      <c r="G55" s="4"/>
      <c r="H55" s="4"/>
      <c r="I55" s="4"/>
      <c r="J55" s="4"/>
      <c r="K55" s="4"/>
      <c r="L55" s="4"/>
      <c r="M55" s="4"/>
      <c r="N55" s="4"/>
      <c r="O55" s="4"/>
      <c r="P55" s="4"/>
      <c r="Q55" s="4"/>
    </row>
    <row r="56" customFormat="false" ht="13.5" hidden="false" customHeight="true" outlineLevel="0" collapsed="false">
      <c r="A56" s="4"/>
      <c r="B56" s="20"/>
      <c r="C56" s="4"/>
      <c r="D56" s="4"/>
      <c r="E56" s="4"/>
      <c r="F56" s="4"/>
      <c r="G56" s="4"/>
      <c r="H56" s="4"/>
      <c r="I56" s="4"/>
      <c r="J56" s="4"/>
      <c r="K56" s="4"/>
      <c r="L56" s="4"/>
      <c r="M56" s="4"/>
      <c r="N56" s="4"/>
      <c r="O56" s="4"/>
      <c r="P56" s="4"/>
      <c r="Q56" s="4"/>
    </row>
    <row r="57" customFormat="false" ht="13.5" hidden="false" customHeight="true" outlineLevel="0" collapsed="false">
      <c r="A57" s="4"/>
      <c r="B57" s="20"/>
      <c r="C57" s="4"/>
      <c r="D57" s="4"/>
      <c r="E57" s="4"/>
      <c r="F57" s="4"/>
      <c r="G57" s="4"/>
      <c r="H57" s="4"/>
      <c r="I57" s="4"/>
      <c r="J57" s="4"/>
      <c r="K57" s="4"/>
      <c r="L57" s="4"/>
      <c r="M57" s="4"/>
      <c r="N57" s="4"/>
      <c r="O57" s="4"/>
      <c r="P57" s="4"/>
      <c r="Q57" s="4"/>
    </row>
    <row r="58" customFormat="false" ht="13.5" hidden="false" customHeight="true" outlineLevel="0" collapsed="false">
      <c r="A58" s="4"/>
      <c r="B58" s="20"/>
      <c r="C58" s="4"/>
      <c r="D58" s="4"/>
      <c r="E58" s="4"/>
      <c r="F58" s="4"/>
      <c r="G58" s="4"/>
      <c r="H58" s="4"/>
      <c r="I58" s="4"/>
      <c r="J58" s="4"/>
      <c r="K58" s="4"/>
      <c r="L58" s="4"/>
      <c r="M58" s="4"/>
      <c r="N58" s="4"/>
      <c r="O58" s="4"/>
      <c r="P58" s="4"/>
      <c r="Q58" s="4"/>
    </row>
    <row r="59" customFormat="false" ht="13.5" hidden="false" customHeight="true" outlineLevel="0" collapsed="false">
      <c r="A59" s="4"/>
      <c r="B59" s="20"/>
      <c r="C59" s="4"/>
      <c r="D59" s="4"/>
      <c r="E59" s="4"/>
      <c r="F59" s="4"/>
      <c r="G59" s="4"/>
      <c r="H59" s="4"/>
      <c r="I59" s="4"/>
      <c r="J59" s="4"/>
      <c r="K59" s="4"/>
      <c r="L59" s="4"/>
      <c r="M59" s="4"/>
      <c r="N59" s="4"/>
      <c r="O59" s="4"/>
      <c r="P59" s="4"/>
      <c r="Q59" s="4"/>
    </row>
    <row r="60" customFormat="false" ht="13.5" hidden="false" customHeight="true" outlineLevel="0" collapsed="false">
      <c r="A60" s="4"/>
      <c r="B60" s="20"/>
      <c r="C60" s="4"/>
      <c r="D60" s="4"/>
      <c r="E60" s="4"/>
      <c r="F60" s="4"/>
      <c r="G60" s="4"/>
      <c r="H60" s="4"/>
      <c r="I60" s="4"/>
      <c r="J60" s="4"/>
      <c r="K60" s="4"/>
      <c r="L60" s="4"/>
      <c r="M60" s="4"/>
      <c r="N60" s="4"/>
      <c r="O60" s="4"/>
      <c r="P60" s="4"/>
      <c r="Q60" s="4"/>
    </row>
    <row r="61" customFormat="false" ht="13.5" hidden="false" customHeight="true" outlineLevel="0" collapsed="false">
      <c r="A61" s="4"/>
      <c r="B61" s="20"/>
      <c r="C61" s="4"/>
      <c r="D61" s="4"/>
      <c r="E61" s="4"/>
      <c r="F61" s="4"/>
      <c r="G61" s="4"/>
      <c r="H61" s="4"/>
      <c r="I61" s="4"/>
      <c r="J61" s="4"/>
      <c r="K61" s="4"/>
      <c r="L61" s="4"/>
      <c r="M61" s="4"/>
      <c r="N61" s="4"/>
      <c r="O61" s="4"/>
      <c r="P61" s="4"/>
      <c r="Q61" s="4"/>
    </row>
    <row r="62" customFormat="false" ht="13.5" hidden="false" customHeight="true" outlineLevel="0" collapsed="false">
      <c r="A62" s="4"/>
      <c r="B62" s="20"/>
      <c r="C62" s="4"/>
      <c r="D62" s="4"/>
      <c r="E62" s="4"/>
      <c r="F62" s="4"/>
      <c r="G62" s="4"/>
      <c r="H62" s="4"/>
      <c r="I62" s="4"/>
      <c r="J62" s="4"/>
      <c r="K62" s="4"/>
      <c r="L62" s="4"/>
      <c r="M62" s="4"/>
      <c r="N62" s="4"/>
      <c r="O62" s="4"/>
      <c r="P62" s="4"/>
      <c r="Q62" s="4"/>
    </row>
    <row r="63" customFormat="false" ht="13.5" hidden="false" customHeight="true" outlineLevel="0" collapsed="false">
      <c r="A63" s="4"/>
      <c r="B63" s="20"/>
      <c r="C63" s="4"/>
      <c r="D63" s="4"/>
      <c r="E63" s="4"/>
      <c r="F63" s="4"/>
      <c r="G63" s="4"/>
      <c r="H63" s="4"/>
      <c r="I63" s="4"/>
      <c r="J63" s="4"/>
      <c r="K63" s="4"/>
      <c r="L63" s="4"/>
      <c r="M63" s="4"/>
      <c r="N63" s="4"/>
      <c r="O63" s="4"/>
      <c r="P63" s="4"/>
      <c r="Q63" s="4"/>
    </row>
    <row r="64" customFormat="false" ht="13.5" hidden="false" customHeight="true" outlineLevel="0" collapsed="false">
      <c r="A64" s="4"/>
      <c r="B64" s="20"/>
      <c r="C64" s="4"/>
      <c r="D64" s="4"/>
      <c r="E64" s="4"/>
      <c r="F64" s="4"/>
      <c r="G64" s="4"/>
      <c r="H64" s="4"/>
      <c r="I64" s="4"/>
      <c r="J64" s="4"/>
      <c r="K64" s="4"/>
      <c r="L64" s="4"/>
      <c r="M64" s="4"/>
      <c r="N64" s="4"/>
      <c r="O64" s="4"/>
      <c r="P64" s="4"/>
      <c r="Q64" s="4"/>
    </row>
    <row r="65" customFormat="false" ht="13.5" hidden="false" customHeight="true" outlineLevel="0" collapsed="false">
      <c r="A65" s="4"/>
      <c r="B65" s="20"/>
      <c r="C65" s="4"/>
      <c r="D65" s="4"/>
      <c r="E65" s="4"/>
      <c r="F65" s="4"/>
      <c r="G65" s="4"/>
      <c r="H65" s="4"/>
      <c r="I65" s="4"/>
      <c r="J65" s="4"/>
      <c r="K65" s="4"/>
      <c r="L65" s="4"/>
      <c r="M65" s="4"/>
      <c r="N65" s="4"/>
      <c r="O65" s="4"/>
      <c r="P65" s="4"/>
      <c r="Q65" s="4"/>
    </row>
    <row r="66" customFormat="false" ht="13.5" hidden="false" customHeight="true" outlineLevel="0" collapsed="false">
      <c r="A66" s="4"/>
      <c r="B66" s="20"/>
      <c r="C66" s="4"/>
      <c r="D66" s="4"/>
      <c r="E66" s="4"/>
      <c r="F66" s="4"/>
      <c r="G66" s="4"/>
      <c r="H66" s="4"/>
      <c r="I66" s="4"/>
      <c r="J66" s="4"/>
      <c r="K66" s="4"/>
      <c r="L66" s="4"/>
      <c r="M66" s="4"/>
      <c r="N66" s="4"/>
      <c r="O66" s="4"/>
      <c r="P66" s="4"/>
      <c r="Q66" s="4"/>
    </row>
    <row r="67" customFormat="false" ht="13.5" hidden="false" customHeight="true" outlineLevel="0" collapsed="false">
      <c r="A67" s="4"/>
      <c r="B67" s="20"/>
      <c r="C67" s="4"/>
      <c r="D67" s="4"/>
      <c r="E67" s="4"/>
      <c r="F67" s="4"/>
      <c r="G67" s="4"/>
      <c r="H67" s="4"/>
      <c r="I67" s="4"/>
      <c r="J67" s="4"/>
      <c r="K67" s="4"/>
      <c r="L67" s="4"/>
      <c r="M67" s="4"/>
      <c r="N67" s="4"/>
      <c r="O67" s="4"/>
      <c r="P67" s="4"/>
      <c r="Q67" s="4"/>
    </row>
    <row r="68" customFormat="false" ht="13.5" hidden="false" customHeight="true" outlineLevel="0" collapsed="false">
      <c r="A68" s="4"/>
      <c r="B68" s="20"/>
      <c r="C68" s="4"/>
      <c r="D68" s="4"/>
      <c r="E68" s="4"/>
      <c r="F68" s="4"/>
      <c r="G68" s="4"/>
      <c r="H68" s="4"/>
      <c r="I68" s="4"/>
      <c r="J68" s="4"/>
      <c r="K68" s="4"/>
      <c r="L68" s="4"/>
      <c r="M68" s="4"/>
      <c r="N68" s="4"/>
      <c r="O68" s="4"/>
      <c r="P68" s="4"/>
      <c r="Q68" s="4"/>
    </row>
    <row r="69" customFormat="false" ht="13.5" hidden="false" customHeight="true" outlineLevel="0" collapsed="false">
      <c r="A69" s="4"/>
      <c r="B69" s="20"/>
      <c r="C69" s="4"/>
      <c r="D69" s="4"/>
      <c r="E69" s="4"/>
      <c r="F69" s="4"/>
      <c r="G69" s="4"/>
      <c r="H69" s="4"/>
      <c r="I69" s="4"/>
      <c r="J69" s="4"/>
      <c r="K69" s="4"/>
      <c r="L69" s="4"/>
      <c r="M69" s="4"/>
      <c r="N69" s="4"/>
      <c r="O69" s="4"/>
      <c r="P69" s="4"/>
      <c r="Q69" s="4"/>
    </row>
    <row r="70" customFormat="false" ht="13.5" hidden="false" customHeight="true" outlineLevel="0" collapsed="false">
      <c r="A70" s="4"/>
      <c r="B70" s="20"/>
      <c r="C70" s="4"/>
      <c r="D70" s="4"/>
      <c r="E70" s="4"/>
      <c r="F70" s="4"/>
      <c r="G70" s="4"/>
      <c r="H70" s="4"/>
      <c r="I70" s="4"/>
      <c r="J70" s="4"/>
      <c r="K70" s="4"/>
      <c r="L70" s="4"/>
      <c r="M70" s="4"/>
      <c r="N70" s="4"/>
      <c r="O70" s="4"/>
      <c r="P70" s="4"/>
      <c r="Q70" s="4"/>
    </row>
    <row r="71" customFormat="false" ht="13.5" hidden="false" customHeight="true" outlineLevel="0" collapsed="false">
      <c r="A71" s="4"/>
      <c r="B71" s="20"/>
      <c r="C71" s="4"/>
      <c r="D71" s="4"/>
      <c r="E71" s="4"/>
      <c r="F71" s="4"/>
      <c r="G71" s="4"/>
      <c r="H71" s="4"/>
      <c r="I71" s="4"/>
      <c r="J71" s="4"/>
      <c r="K71" s="4"/>
      <c r="L71" s="4"/>
      <c r="M71" s="4"/>
      <c r="N71" s="4"/>
      <c r="O71" s="4"/>
      <c r="P71" s="4"/>
      <c r="Q71" s="4"/>
    </row>
    <row r="72" customFormat="false" ht="13.5" hidden="false" customHeight="true" outlineLevel="0" collapsed="false">
      <c r="A72" s="4"/>
      <c r="B72" s="20"/>
      <c r="C72" s="4"/>
      <c r="D72" s="4"/>
      <c r="E72" s="4"/>
      <c r="F72" s="4"/>
      <c r="G72" s="4"/>
      <c r="H72" s="4"/>
      <c r="I72" s="4"/>
      <c r="J72" s="4"/>
      <c r="K72" s="4"/>
      <c r="L72" s="4"/>
      <c r="M72" s="4"/>
      <c r="N72" s="4"/>
      <c r="O72" s="4"/>
      <c r="P72" s="4"/>
      <c r="Q72" s="4"/>
    </row>
    <row r="73" customFormat="false" ht="13.5" hidden="false" customHeight="true" outlineLevel="0" collapsed="false">
      <c r="A73" s="4"/>
      <c r="B73" s="20"/>
      <c r="C73" s="4"/>
      <c r="D73" s="4"/>
      <c r="E73" s="4"/>
      <c r="F73" s="4"/>
      <c r="G73" s="4"/>
      <c r="H73" s="4"/>
      <c r="I73" s="4"/>
      <c r="J73" s="4"/>
      <c r="K73" s="4"/>
      <c r="L73" s="4"/>
      <c r="M73" s="4"/>
      <c r="N73" s="4"/>
      <c r="O73" s="4"/>
      <c r="P73" s="4"/>
      <c r="Q73" s="4"/>
    </row>
    <row r="74" customFormat="false" ht="13.5" hidden="false" customHeight="true" outlineLevel="0" collapsed="false">
      <c r="A74" s="4"/>
      <c r="B74" s="20"/>
      <c r="C74" s="4"/>
      <c r="D74" s="4"/>
      <c r="E74" s="4"/>
      <c r="F74" s="4"/>
      <c r="G74" s="4"/>
      <c r="H74" s="4"/>
      <c r="I74" s="4"/>
      <c r="J74" s="4"/>
      <c r="K74" s="4"/>
      <c r="L74" s="4"/>
      <c r="M74" s="4"/>
      <c r="N74" s="4"/>
      <c r="O74" s="4"/>
      <c r="P74" s="4"/>
      <c r="Q74" s="4"/>
    </row>
    <row r="75" customFormat="false" ht="13.5" hidden="false" customHeight="true" outlineLevel="0" collapsed="false">
      <c r="A75" s="4"/>
      <c r="B75" s="20"/>
      <c r="C75" s="4"/>
      <c r="D75" s="4"/>
      <c r="E75" s="4"/>
      <c r="F75" s="4"/>
      <c r="G75" s="4"/>
      <c r="H75" s="4"/>
      <c r="I75" s="4"/>
      <c r="J75" s="4"/>
      <c r="K75" s="4"/>
      <c r="L75" s="4"/>
      <c r="M75" s="4"/>
      <c r="N75" s="4"/>
      <c r="O75" s="4"/>
      <c r="P75" s="4"/>
      <c r="Q75" s="4"/>
    </row>
    <row r="76" customFormat="false" ht="13.5" hidden="false" customHeight="true" outlineLevel="0" collapsed="false">
      <c r="A76" s="4"/>
      <c r="B76" s="20"/>
      <c r="C76" s="4"/>
      <c r="D76" s="4"/>
      <c r="E76" s="4"/>
      <c r="F76" s="4"/>
      <c r="G76" s="4"/>
      <c r="H76" s="4"/>
      <c r="I76" s="4"/>
      <c r="J76" s="4"/>
      <c r="K76" s="4"/>
      <c r="L76" s="4"/>
      <c r="M76" s="4"/>
      <c r="N76" s="4"/>
      <c r="O76" s="4"/>
      <c r="P76" s="4"/>
      <c r="Q76" s="4"/>
    </row>
    <row r="77" customFormat="false" ht="13.5" hidden="false" customHeight="true" outlineLevel="0" collapsed="false">
      <c r="A77" s="4"/>
      <c r="B77" s="20"/>
      <c r="C77" s="4"/>
      <c r="D77" s="4"/>
      <c r="E77" s="4"/>
      <c r="F77" s="4"/>
      <c r="G77" s="4"/>
      <c r="H77" s="4"/>
      <c r="I77" s="4"/>
      <c r="J77" s="4"/>
      <c r="K77" s="4"/>
      <c r="L77" s="4"/>
      <c r="M77" s="4"/>
      <c r="N77" s="4"/>
      <c r="O77" s="4"/>
      <c r="P77" s="4"/>
      <c r="Q77" s="4"/>
    </row>
    <row r="78" customFormat="false" ht="13.5" hidden="false" customHeight="true" outlineLevel="0" collapsed="false">
      <c r="A78" s="4"/>
      <c r="B78" s="20"/>
      <c r="C78" s="4"/>
      <c r="D78" s="4"/>
      <c r="E78" s="4"/>
      <c r="F78" s="4"/>
      <c r="G78" s="4"/>
      <c r="H78" s="4"/>
      <c r="I78" s="4"/>
      <c r="J78" s="4"/>
      <c r="K78" s="4"/>
      <c r="L78" s="4"/>
      <c r="M78" s="4"/>
      <c r="N78" s="4"/>
      <c r="O78" s="4"/>
      <c r="P78" s="4"/>
      <c r="Q78" s="4"/>
    </row>
    <row r="79" customFormat="false" ht="13.5" hidden="false" customHeight="true" outlineLevel="0" collapsed="false">
      <c r="A79" s="4"/>
      <c r="B79" s="20"/>
      <c r="C79" s="4"/>
      <c r="D79" s="4"/>
      <c r="E79" s="4"/>
      <c r="F79" s="4"/>
      <c r="G79" s="4"/>
      <c r="H79" s="4"/>
      <c r="I79" s="4"/>
      <c r="J79" s="4"/>
      <c r="K79" s="4"/>
      <c r="L79" s="4"/>
      <c r="M79" s="4"/>
      <c r="N79" s="4"/>
      <c r="O79" s="4"/>
      <c r="P79" s="4"/>
      <c r="Q79" s="4"/>
    </row>
    <row r="80" customFormat="false" ht="13.5" hidden="false" customHeight="true" outlineLevel="0" collapsed="false">
      <c r="A80" s="4"/>
      <c r="B80" s="20"/>
      <c r="C80" s="4"/>
      <c r="D80" s="4"/>
      <c r="E80" s="4"/>
      <c r="F80" s="4"/>
      <c r="G80" s="4"/>
      <c r="H80" s="4"/>
      <c r="I80" s="4"/>
      <c r="J80" s="4"/>
      <c r="K80" s="4"/>
      <c r="L80" s="4"/>
      <c r="M80" s="4"/>
      <c r="N80" s="4"/>
      <c r="O80" s="4"/>
      <c r="P80" s="4"/>
      <c r="Q80" s="4"/>
    </row>
    <row r="81" customFormat="false" ht="13.5" hidden="false" customHeight="true" outlineLevel="0" collapsed="false">
      <c r="A81" s="4"/>
      <c r="B81" s="20"/>
      <c r="C81" s="4"/>
      <c r="D81" s="4"/>
      <c r="E81" s="4"/>
      <c r="F81" s="4"/>
      <c r="G81" s="4"/>
      <c r="H81" s="4"/>
      <c r="I81" s="4"/>
      <c r="J81" s="4"/>
      <c r="K81" s="4"/>
      <c r="L81" s="4"/>
      <c r="M81" s="4"/>
      <c r="N81" s="4"/>
      <c r="O81" s="4"/>
      <c r="P81" s="4"/>
      <c r="Q81" s="4"/>
    </row>
    <row r="82" customFormat="false" ht="13.5" hidden="false" customHeight="true" outlineLevel="0" collapsed="false">
      <c r="A82" s="4"/>
      <c r="B82" s="20"/>
      <c r="C82" s="4"/>
      <c r="D82" s="4"/>
      <c r="E82" s="4"/>
      <c r="F82" s="4"/>
      <c r="G82" s="4"/>
      <c r="H82" s="4"/>
      <c r="I82" s="4"/>
      <c r="J82" s="4"/>
      <c r="K82" s="4"/>
      <c r="L82" s="4"/>
      <c r="M82" s="4"/>
      <c r="N82" s="4"/>
      <c r="O82" s="4"/>
      <c r="P82" s="4"/>
      <c r="Q82" s="4"/>
    </row>
    <row r="83" customFormat="false" ht="13.5" hidden="false" customHeight="true" outlineLevel="0" collapsed="false">
      <c r="A83" s="4"/>
      <c r="B83" s="20"/>
      <c r="C83" s="4"/>
      <c r="D83" s="4"/>
      <c r="E83" s="4"/>
      <c r="F83" s="4"/>
      <c r="G83" s="4"/>
      <c r="H83" s="4"/>
      <c r="I83" s="4"/>
      <c r="J83" s="4"/>
      <c r="K83" s="4"/>
      <c r="L83" s="4"/>
      <c r="M83" s="4"/>
      <c r="N83" s="4"/>
      <c r="O83" s="4"/>
      <c r="P83" s="4"/>
      <c r="Q83" s="4"/>
    </row>
    <row r="84" customFormat="false" ht="13.5" hidden="false" customHeight="true" outlineLevel="0" collapsed="false">
      <c r="A84" s="4"/>
      <c r="B84" s="20"/>
      <c r="C84" s="4"/>
      <c r="D84" s="4"/>
      <c r="E84" s="4"/>
      <c r="F84" s="4"/>
      <c r="G84" s="4"/>
      <c r="H84" s="4"/>
      <c r="I84" s="4"/>
      <c r="J84" s="4"/>
      <c r="K84" s="4"/>
      <c r="L84" s="4"/>
      <c r="M84" s="4"/>
      <c r="N84" s="4"/>
      <c r="O84" s="4"/>
      <c r="P84" s="4"/>
      <c r="Q84" s="4"/>
    </row>
    <row r="85" customFormat="false" ht="13.5" hidden="false" customHeight="true" outlineLevel="0" collapsed="false">
      <c r="A85" s="4"/>
      <c r="B85" s="20"/>
      <c r="C85" s="4"/>
      <c r="D85" s="4"/>
      <c r="E85" s="4"/>
      <c r="F85" s="4"/>
      <c r="G85" s="4"/>
      <c r="H85" s="4"/>
      <c r="I85" s="4"/>
      <c r="J85" s="4"/>
      <c r="K85" s="4"/>
      <c r="L85" s="4"/>
      <c r="M85" s="4"/>
      <c r="N85" s="4"/>
      <c r="O85" s="4"/>
      <c r="P85" s="4"/>
      <c r="Q85" s="4"/>
    </row>
    <row r="86" customFormat="false" ht="13.5" hidden="false" customHeight="true" outlineLevel="0" collapsed="false">
      <c r="A86" s="4"/>
      <c r="B86" s="20"/>
      <c r="C86" s="4"/>
      <c r="D86" s="4"/>
      <c r="E86" s="4"/>
      <c r="F86" s="4"/>
      <c r="G86" s="4"/>
      <c r="H86" s="4"/>
      <c r="I86" s="4"/>
      <c r="J86" s="4"/>
      <c r="K86" s="4"/>
      <c r="L86" s="4"/>
      <c r="M86" s="4"/>
      <c r="N86" s="4"/>
      <c r="O86" s="4"/>
      <c r="P86" s="4"/>
      <c r="Q86" s="4"/>
    </row>
    <row r="87" customFormat="false" ht="13.5" hidden="false" customHeight="true" outlineLevel="0" collapsed="false">
      <c r="A87" s="4"/>
      <c r="B87" s="20"/>
      <c r="C87" s="4"/>
      <c r="D87" s="4"/>
      <c r="E87" s="4"/>
      <c r="F87" s="4"/>
      <c r="G87" s="4"/>
      <c r="H87" s="4"/>
      <c r="I87" s="4"/>
      <c r="J87" s="4"/>
      <c r="K87" s="4"/>
      <c r="L87" s="4"/>
      <c r="M87" s="4"/>
      <c r="N87" s="4"/>
      <c r="O87" s="4"/>
      <c r="P87" s="4"/>
      <c r="Q87" s="4"/>
    </row>
    <row r="88" customFormat="false" ht="13.5" hidden="false" customHeight="true" outlineLevel="0" collapsed="false">
      <c r="A88" s="4"/>
      <c r="B88" s="20"/>
      <c r="C88" s="4"/>
      <c r="D88" s="4"/>
      <c r="E88" s="4"/>
      <c r="F88" s="4"/>
      <c r="G88" s="4"/>
      <c r="H88" s="4"/>
      <c r="I88" s="4"/>
      <c r="J88" s="4"/>
      <c r="K88" s="4"/>
      <c r="L88" s="4"/>
      <c r="M88" s="4"/>
      <c r="N88" s="4"/>
      <c r="O88" s="4"/>
      <c r="P88" s="4"/>
      <c r="Q88" s="4"/>
    </row>
    <row r="89" customFormat="false" ht="13.5" hidden="false" customHeight="true" outlineLevel="0" collapsed="false">
      <c r="A89" s="4"/>
      <c r="B89" s="20"/>
      <c r="C89" s="4"/>
      <c r="D89" s="4"/>
      <c r="E89" s="4"/>
      <c r="F89" s="4"/>
      <c r="G89" s="4"/>
      <c r="H89" s="4"/>
      <c r="I89" s="4"/>
      <c r="J89" s="4"/>
      <c r="K89" s="4"/>
      <c r="L89" s="4"/>
      <c r="M89" s="4"/>
      <c r="N89" s="4"/>
      <c r="O89" s="4"/>
      <c r="P89" s="4"/>
      <c r="Q89" s="4"/>
    </row>
    <row r="90" customFormat="false" ht="13.5" hidden="false" customHeight="true" outlineLevel="0" collapsed="false">
      <c r="A90" s="4"/>
      <c r="B90" s="20"/>
      <c r="C90" s="4"/>
      <c r="D90" s="4"/>
      <c r="E90" s="4"/>
      <c r="F90" s="4"/>
      <c r="G90" s="4"/>
      <c r="H90" s="4"/>
      <c r="I90" s="4"/>
      <c r="J90" s="4"/>
      <c r="K90" s="4"/>
      <c r="L90" s="4"/>
      <c r="M90" s="4"/>
      <c r="N90" s="4"/>
      <c r="O90" s="4"/>
      <c r="P90" s="4"/>
      <c r="Q90" s="4"/>
    </row>
    <row r="91" customFormat="false" ht="13.5" hidden="false" customHeight="true" outlineLevel="0" collapsed="false">
      <c r="A91" s="4"/>
      <c r="B91" s="20"/>
      <c r="C91" s="4"/>
      <c r="D91" s="4"/>
      <c r="E91" s="4"/>
      <c r="F91" s="4"/>
      <c r="G91" s="4"/>
      <c r="H91" s="4"/>
      <c r="I91" s="4"/>
      <c r="J91" s="4"/>
      <c r="K91" s="4"/>
      <c r="L91" s="4"/>
      <c r="M91" s="4"/>
      <c r="N91" s="4"/>
      <c r="O91" s="4"/>
      <c r="P91" s="4"/>
      <c r="Q91" s="4"/>
    </row>
    <row r="92" customFormat="false" ht="13.5" hidden="false" customHeight="true" outlineLevel="0" collapsed="false">
      <c r="A92" s="4"/>
      <c r="B92" s="20"/>
      <c r="C92" s="4"/>
      <c r="D92" s="4"/>
      <c r="E92" s="4"/>
      <c r="F92" s="4"/>
      <c r="G92" s="4"/>
      <c r="H92" s="4"/>
      <c r="I92" s="4"/>
      <c r="J92" s="4"/>
      <c r="K92" s="4"/>
      <c r="L92" s="4"/>
      <c r="M92" s="4"/>
      <c r="N92" s="4"/>
      <c r="O92" s="4"/>
      <c r="P92" s="4"/>
      <c r="Q92" s="4"/>
    </row>
    <row r="93" customFormat="false" ht="13.5" hidden="false" customHeight="true" outlineLevel="0" collapsed="false">
      <c r="A93" s="4"/>
      <c r="B93" s="20"/>
      <c r="C93" s="4"/>
      <c r="D93" s="4"/>
      <c r="E93" s="4"/>
      <c r="F93" s="4"/>
      <c r="G93" s="4"/>
      <c r="H93" s="4"/>
      <c r="I93" s="4"/>
      <c r="J93" s="4"/>
      <c r="K93" s="4"/>
      <c r="L93" s="4"/>
      <c r="M93" s="4"/>
      <c r="N93" s="4"/>
      <c r="O93" s="4"/>
      <c r="P93" s="4"/>
      <c r="Q93" s="4"/>
    </row>
    <row r="94" customFormat="false" ht="13.5" hidden="false" customHeight="true" outlineLevel="0" collapsed="false">
      <c r="A94" s="4"/>
      <c r="B94" s="20"/>
      <c r="C94" s="4"/>
      <c r="D94" s="4"/>
      <c r="E94" s="4"/>
      <c r="F94" s="4"/>
      <c r="G94" s="4"/>
      <c r="H94" s="4"/>
      <c r="I94" s="4"/>
      <c r="J94" s="4"/>
      <c r="K94" s="4"/>
      <c r="L94" s="4"/>
      <c r="M94" s="4"/>
      <c r="N94" s="4"/>
      <c r="O94" s="4"/>
      <c r="P94" s="4"/>
      <c r="Q94" s="4"/>
    </row>
    <row r="95" customFormat="false" ht="13.5" hidden="false" customHeight="true" outlineLevel="0" collapsed="false">
      <c r="A95" s="4"/>
      <c r="B95" s="20"/>
      <c r="C95" s="4"/>
      <c r="D95" s="4"/>
      <c r="E95" s="4"/>
      <c r="F95" s="4"/>
      <c r="G95" s="4"/>
      <c r="H95" s="4"/>
      <c r="I95" s="4"/>
      <c r="J95" s="4"/>
      <c r="K95" s="4"/>
      <c r="L95" s="4"/>
      <c r="M95" s="4"/>
      <c r="N95" s="4"/>
      <c r="O95" s="4"/>
      <c r="P95" s="4"/>
      <c r="Q95" s="4"/>
    </row>
    <row r="96" customFormat="false" ht="13.5" hidden="false" customHeight="true" outlineLevel="0" collapsed="false">
      <c r="A96" s="4"/>
      <c r="B96" s="20"/>
      <c r="C96" s="4"/>
      <c r="D96" s="4"/>
      <c r="E96" s="4"/>
      <c r="F96" s="4"/>
      <c r="G96" s="4"/>
      <c r="H96" s="4"/>
      <c r="I96" s="4"/>
      <c r="J96" s="4"/>
      <c r="K96" s="4"/>
      <c r="L96" s="4"/>
      <c r="M96" s="4"/>
      <c r="N96" s="4"/>
      <c r="O96" s="4"/>
      <c r="P96" s="4"/>
      <c r="Q96" s="4"/>
    </row>
    <row r="97" customFormat="false" ht="13.5" hidden="false" customHeight="true" outlineLevel="0" collapsed="false">
      <c r="A97" s="4"/>
      <c r="B97" s="20"/>
      <c r="C97" s="4"/>
      <c r="D97" s="4"/>
      <c r="E97" s="4"/>
      <c r="F97" s="4"/>
      <c r="G97" s="4"/>
      <c r="H97" s="4"/>
      <c r="I97" s="4"/>
      <c r="J97" s="4"/>
      <c r="K97" s="4"/>
      <c r="L97" s="4"/>
      <c r="M97" s="4"/>
      <c r="N97" s="4"/>
      <c r="O97" s="4"/>
      <c r="P97" s="4"/>
      <c r="Q97" s="4"/>
    </row>
    <row r="98" customFormat="false" ht="13.5" hidden="false" customHeight="true" outlineLevel="0" collapsed="false">
      <c r="A98" s="4"/>
      <c r="B98" s="20"/>
      <c r="C98" s="4"/>
      <c r="D98" s="4"/>
      <c r="E98" s="4"/>
      <c r="F98" s="4"/>
      <c r="G98" s="4"/>
      <c r="H98" s="4"/>
      <c r="I98" s="4"/>
      <c r="J98" s="4"/>
      <c r="K98" s="4"/>
      <c r="L98" s="4"/>
      <c r="M98" s="4"/>
      <c r="N98" s="4"/>
      <c r="O98" s="4"/>
      <c r="P98" s="4"/>
      <c r="Q98" s="4"/>
    </row>
    <row r="99" customFormat="false" ht="13.5" hidden="false" customHeight="true" outlineLevel="0" collapsed="false">
      <c r="A99" s="4"/>
      <c r="B99" s="20"/>
      <c r="C99" s="4"/>
      <c r="D99" s="4"/>
      <c r="E99" s="4"/>
      <c r="F99" s="4"/>
      <c r="G99" s="4"/>
      <c r="H99" s="4"/>
      <c r="I99" s="4"/>
      <c r="J99" s="4"/>
      <c r="K99" s="4"/>
      <c r="L99" s="4"/>
      <c r="M99" s="4"/>
      <c r="N99" s="4"/>
      <c r="O99" s="4"/>
      <c r="P99" s="4"/>
      <c r="Q99" s="4"/>
    </row>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sheetData>
  <mergeCells count="17">
    <mergeCell ref="A2:I2"/>
    <mergeCell ref="J2:N2"/>
    <mergeCell ref="B4:O4"/>
    <mergeCell ref="B5:N5"/>
    <mergeCell ref="B8:N8"/>
    <mergeCell ref="C10:N10"/>
    <mergeCell ref="C11:N11"/>
    <mergeCell ref="C12:N12"/>
    <mergeCell ref="C13:N13"/>
    <mergeCell ref="C14:N14"/>
    <mergeCell ref="C17:N17"/>
    <mergeCell ref="B19:N19"/>
    <mergeCell ref="C21:N21"/>
    <mergeCell ref="C22:N22"/>
    <mergeCell ref="C23:N23"/>
    <mergeCell ref="C31:N31"/>
    <mergeCell ref="C41:N41"/>
  </mergeCells>
  <printOptions headings="false" gridLines="false" gridLinesSet="true" horizontalCentered="false" verticalCentered="false"/>
  <pageMargins left="0.118055555555556" right="0.118055555555556" top="0.157638888888889" bottom="0.157638888888889" header="0.511811023622047" footer="0.511811023622047"/>
  <pageSetup paperSize="9" scale="6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X849"/>
  <sheetViews>
    <sheetView showFormulas="false" showGridLines="false" showRowColHeaders="true" showZeros="true" rightToLeft="false" tabSelected="true" showOutlineSymbols="true" defaultGridColor="true" view="normal" topLeftCell="A1" colorId="64" zoomScale="60" zoomScaleNormal="60" zoomScalePageLayoutView="100" workbookViewId="0">
      <selection pane="topLeft" activeCell="A10" activeCellId="0" sqref="A10"/>
    </sheetView>
  </sheetViews>
  <sheetFormatPr defaultColWidth="12.6015625" defaultRowHeight="15" zeroHeight="false" outlineLevelRow="0" outlineLevelCol="0"/>
  <cols>
    <col collapsed="false" customWidth="true" hidden="false" outlineLevel="0" max="1" min="1" style="1" width="1"/>
    <col collapsed="false" customWidth="true" hidden="false" outlineLevel="0" max="2" min="2" style="16" width="36.5"/>
    <col collapsed="false" customWidth="true" hidden="false" outlineLevel="0" max="3" min="3" style="16" width="28.1"/>
    <col collapsed="false" customWidth="true" hidden="false" outlineLevel="0" max="4" min="4" style="16" width="10.29"/>
    <col collapsed="false" customWidth="true" hidden="false" outlineLevel="0" max="5" min="5" style="16" width="9.5"/>
    <col collapsed="false" customWidth="true" hidden="false" outlineLevel="0" max="6" min="6" style="16" width="5.6"/>
    <col collapsed="false" customWidth="true" hidden="false" outlineLevel="0" max="7" min="7" style="16" width="2"/>
    <col collapsed="false" customWidth="true" hidden="false" outlineLevel="0" max="8" min="8" style="16" width="5.2"/>
    <col collapsed="false" customWidth="true" hidden="false" outlineLevel="0" max="9" min="9" style="16" width="3.2"/>
    <col collapsed="false" customWidth="true" hidden="false" outlineLevel="0" max="10" min="10" style="16" width="57.79"/>
    <col collapsed="false" customWidth="true" hidden="false" outlineLevel="0" max="11" min="11" style="16" width="11.4"/>
    <col collapsed="false" customWidth="true" hidden="false" outlineLevel="0" max="17" min="12" style="16" width="7.6"/>
    <col collapsed="false" customWidth="true" hidden="false" outlineLevel="0" max="18" min="18" style="16" width="33.1"/>
    <col collapsed="false" customWidth="true" hidden="false" outlineLevel="0" max="24" min="19" style="1" width="7.6"/>
    <col collapsed="false" customWidth="false" hidden="false" outlineLevel="0" max="16384" min="25" style="1" width="12.6"/>
  </cols>
  <sheetData>
    <row r="1" customFormat="false" ht="15" hidden="false" customHeight="true" outlineLevel="0" collapsed="false">
      <c r="B1" s="22" t="s">
        <v>15</v>
      </c>
      <c r="C1" s="22"/>
      <c r="D1" s="22"/>
      <c r="E1" s="22"/>
      <c r="F1" s="22"/>
      <c r="G1" s="22"/>
      <c r="H1" s="22"/>
      <c r="I1" s="22"/>
      <c r="J1" s="22"/>
      <c r="K1" s="22"/>
      <c r="L1" s="22"/>
      <c r="M1" s="22"/>
      <c r="N1" s="22"/>
      <c r="O1" s="22"/>
      <c r="P1" s="22"/>
      <c r="Q1" s="22"/>
      <c r="R1" s="22"/>
    </row>
    <row r="2" customFormat="false" ht="15" hidden="false" customHeight="true" outlineLevel="0" collapsed="false">
      <c r="B2" s="22" t="s">
        <v>16</v>
      </c>
      <c r="C2" s="22"/>
      <c r="D2" s="22"/>
      <c r="E2" s="22"/>
      <c r="F2" s="22"/>
      <c r="G2" s="22"/>
      <c r="H2" s="22"/>
      <c r="I2" s="22"/>
      <c r="J2" s="22"/>
      <c r="K2" s="22"/>
      <c r="L2" s="22"/>
      <c r="M2" s="22"/>
      <c r="N2" s="22"/>
      <c r="O2" s="22"/>
      <c r="P2" s="22"/>
      <c r="Q2" s="22"/>
      <c r="R2" s="22"/>
    </row>
    <row r="3" customFormat="false" ht="15" hidden="false" customHeight="true" outlineLevel="0" collapsed="false">
      <c r="B3" s="23" t="s">
        <v>17</v>
      </c>
      <c r="C3" s="23"/>
      <c r="D3" s="23"/>
      <c r="E3" s="23"/>
      <c r="F3" s="23"/>
      <c r="G3" s="23"/>
      <c r="H3" s="23"/>
      <c r="I3" s="23"/>
      <c r="J3" s="23"/>
      <c r="K3" s="24" t="s">
        <v>18</v>
      </c>
      <c r="L3" s="24"/>
      <c r="M3" s="24"/>
      <c r="N3" s="24"/>
      <c r="O3" s="24"/>
      <c r="P3" s="24"/>
      <c r="Q3" s="24"/>
      <c r="R3" s="24"/>
    </row>
    <row r="4" customFormat="false" ht="15" hidden="false" customHeight="true" outlineLevel="0" collapsed="false">
      <c r="B4" s="23"/>
      <c r="C4" s="23"/>
      <c r="D4" s="23"/>
      <c r="E4" s="23"/>
      <c r="F4" s="23"/>
      <c r="G4" s="23"/>
      <c r="H4" s="23"/>
      <c r="I4" s="23"/>
      <c r="J4" s="23"/>
      <c r="K4" s="24"/>
      <c r="L4" s="24"/>
      <c r="M4" s="24"/>
      <c r="N4" s="24"/>
      <c r="O4" s="24"/>
      <c r="P4" s="24"/>
      <c r="Q4" s="24"/>
      <c r="R4" s="24"/>
    </row>
    <row r="5" customFormat="false" ht="15" hidden="false" customHeight="true" outlineLevel="0" collapsed="false">
      <c r="B5" s="23"/>
      <c r="C5" s="23"/>
      <c r="D5" s="23"/>
      <c r="E5" s="23"/>
      <c r="F5" s="23"/>
      <c r="G5" s="23"/>
      <c r="H5" s="23"/>
      <c r="I5" s="23"/>
      <c r="J5" s="23"/>
      <c r="K5" s="24"/>
      <c r="L5" s="24"/>
      <c r="M5" s="24"/>
      <c r="N5" s="24"/>
      <c r="O5" s="24"/>
      <c r="P5" s="24"/>
      <c r="Q5" s="24"/>
      <c r="R5" s="24"/>
    </row>
    <row r="6" customFormat="false" ht="39" hidden="false" customHeight="true" outlineLevel="0" collapsed="false">
      <c r="B6" s="25" t="s">
        <v>19</v>
      </c>
      <c r="C6" s="25"/>
      <c r="D6" s="25"/>
      <c r="E6" s="25"/>
      <c r="F6" s="25"/>
      <c r="G6" s="25"/>
      <c r="H6" s="25"/>
      <c r="I6" s="25"/>
      <c r="J6" s="25"/>
      <c r="K6" s="26" t="s">
        <v>20</v>
      </c>
      <c r="L6" s="26"/>
      <c r="M6" s="26"/>
      <c r="N6" s="26"/>
      <c r="O6" s="26"/>
      <c r="P6" s="26"/>
      <c r="Q6" s="26"/>
      <c r="R6" s="26"/>
    </row>
    <row r="7" customFormat="false" ht="22.5" hidden="false" customHeight="true" outlineLevel="0" collapsed="false">
      <c r="B7" s="25" t="s">
        <v>21</v>
      </c>
      <c r="C7" s="25"/>
      <c r="D7" s="25"/>
      <c r="E7" s="25"/>
      <c r="F7" s="25"/>
      <c r="G7" s="25"/>
      <c r="H7" s="25"/>
      <c r="I7" s="25"/>
      <c r="J7" s="25"/>
      <c r="K7" s="26" t="s">
        <v>22</v>
      </c>
      <c r="L7" s="26"/>
      <c r="M7" s="26"/>
      <c r="N7" s="26"/>
      <c r="O7" s="26"/>
      <c r="P7" s="26"/>
      <c r="Q7" s="26"/>
      <c r="R7" s="26"/>
    </row>
    <row r="8" customFormat="false" ht="33" hidden="false" customHeight="true" outlineLevel="0" collapsed="false">
      <c r="B8" s="25" t="s">
        <v>23</v>
      </c>
      <c r="C8" s="25"/>
      <c r="D8" s="25"/>
      <c r="E8" s="25"/>
      <c r="F8" s="25"/>
      <c r="G8" s="25"/>
      <c r="H8" s="25"/>
      <c r="I8" s="25"/>
      <c r="J8" s="25"/>
      <c r="K8" s="26" t="s">
        <v>24</v>
      </c>
      <c r="L8" s="26"/>
      <c r="M8" s="26"/>
      <c r="N8" s="26"/>
      <c r="O8" s="26"/>
      <c r="P8" s="26"/>
      <c r="Q8" s="26"/>
      <c r="R8" s="26"/>
    </row>
    <row r="9" customFormat="false" ht="40.5" hidden="false" customHeight="true" outlineLevel="0" collapsed="false">
      <c r="B9" s="25" t="s">
        <v>25</v>
      </c>
      <c r="C9" s="25"/>
      <c r="D9" s="25"/>
      <c r="E9" s="25"/>
      <c r="F9" s="25"/>
      <c r="G9" s="25"/>
      <c r="H9" s="25"/>
      <c r="I9" s="25"/>
      <c r="J9" s="25"/>
      <c r="K9" s="26" t="s">
        <v>26</v>
      </c>
      <c r="L9" s="26"/>
      <c r="M9" s="26"/>
      <c r="N9" s="26"/>
      <c r="O9" s="26"/>
      <c r="P9" s="26"/>
      <c r="Q9" s="26"/>
      <c r="R9" s="26"/>
    </row>
    <row r="10" customFormat="false" ht="39" hidden="false" customHeight="true" outlineLevel="0" collapsed="false">
      <c r="B10" s="25" t="s">
        <v>27</v>
      </c>
      <c r="C10" s="25"/>
      <c r="D10" s="25"/>
      <c r="E10" s="25"/>
      <c r="F10" s="25"/>
      <c r="G10" s="25"/>
      <c r="H10" s="25"/>
      <c r="I10" s="25"/>
      <c r="J10" s="25"/>
      <c r="K10" s="26" t="s">
        <v>28</v>
      </c>
      <c r="L10" s="26"/>
      <c r="M10" s="26"/>
      <c r="N10" s="26"/>
      <c r="O10" s="26"/>
      <c r="P10" s="26"/>
      <c r="Q10" s="26"/>
      <c r="R10" s="26"/>
    </row>
    <row r="11" customFormat="false" ht="48.75" hidden="false" customHeight="true" outlineLevel="0" collapsed="false">
      <c r="B11" s="25" t="s">
        <v>29</v>
      </c>
      <c r="C11" s="25"/>
      <c r="D11" s="25"/>
      <c r="E11" s="25"/>
      <c r="F11" s="25"/>
      <c r="G11" s="25"/>
      <c r="H11" s="25"/>
      <c r="I11" s="25"/>
      <c r="J11" s="25"/>
      <c r="K11" s="26" t="s">
        <v>30</v>
      </c>
      <c r="L11" s="26"/>
      <c r="M11" s="26"/>
      <c r="N11" s="26"/>
      <c r="O11" s="26"/>
      <c r="P11" s="26"/>
      <c r="Q11" s="26"/>
      <c r="R11" s="26"/>
    </row>
    <row r="12" customFormat="false" ht="74.25" hidden="false" customHeight="true" outlineLevel="0" collapsed="false">
      <c r="B12" s="25" t="s">
        <v>31</v>
      </c>
      <c r="C12" s="25"/>
      <c r="D12" s="25"/>
      <c r="E12" s="25"/>
      <c r="F12" s="25"/>
      <c r="G12" s="25"/>
      <c r="H12" s="25"/>
      <c r="I12" s="25"/>
      <c r="J12" s="25"/>
      <c r="K12" s="26" t="s">
        <v>32</v>
      </c>
      <c r="L12" s="26"/>
      <c r="M12" s="26"/>
      <c r="N12" s="26"/>
      <c r="O12" s="26"/>
      <c r="P12" s="26"/>
      <c r="Q12" s="26"/>
      <c r="R12" s="26"/>
    </row>
    <row r="13" customFormat="false" ht="19.5" hidden="false" customHeight="true" outlineLevel="0" collapsed="false">
      <c r="B13" s="27" t="s">
        <v>33</v>
      </c>
      <c r="C13" s="27"/>
      <c r="D13" s="27"/>
      <c r="E13" s="27"/>
      <c r="F13" s="27"/>
      <c r="G13" s="27"/>
      <c r="H13" s="27"/>
      <c r="I13" s="27"/>
      <c r="J13" s="27"/>
      <c r="K13" s="28" t="s">
        <v>18</v>
      </c>
      <c r="L13" s="28"/>
      <c r="M13" s="28"/>
      <c r="N13" s="28"/>
      <c r="O13" s="28"/>
      <c r="P13" s="28"/>
      <c r="Q13" s="28"/>
      <c r="R13" s="28"/>
    </row>
    <row r="14" customFormat="false" ht="106.5" hidden="false" customHeight="true" outlineLevel="0" collapsed="false">
      <c r="B14" s="25" t="s">
        <v>34</v>
      </c>
      <c r="C14" s="25"/>
      <c r="D14" s="25"/>
      <c r="E14" s="25"/>
      <c r="F14" s="25"/>
      <c r="G14" s="25"/>
      <c r="H14" s="25"/>
      <c r="I14" s="25"/>
      <c r="J14" s="25"/>
      <c r="K14" s="26" t="s">
        <v>35</v>
      </c>
      <c r="L14" s="26"/>
      <c r="M14" s="26"/>
      <c r="N14" s="26"/>
      <c r="O14" s="26"/>
      <c r="P14" s="26"/>
      <c r="Q14" s="26"/>
      <c r="R14" s="26"/>
    </row>
    <row r="15" customFormat="false" ht="83.25" hidden="false" customHeight="true" outlineLevel="0" collapsed="false">
      <c r="B15" s="25" t="s">
        <v>36</v>
      </c>
      <c r="C15" s="25"/>
      <c r="D15" s="25"/>
      <c r="E15" s="25"/>
      <c r="F15" s="25"/>
      <c r="G15" s="25"/>
      <c r="H15" s="25"/>
      <c r="I15" s="25"/>
      <c r="J15" s="25"/>
      <c r="K15" s="26" t="s">
        <v>37</v>
      </c>
      <c r="L15" s="26"/>
      <c r="M15" s="26"/>
      <c r="N15" s="26"/>
      <c r="O15" s="26"/>
      <c r="P15" s="26"/>
      <c r="Q15" s="26"/>
      <c r="R15" s="26"/>
    </row>
    <row r="16" customFormat="false" ht="138" hidden="false" customHeight="true" outlineLevel="0" collapsed="false">
      <c r="B16" s="25" t="s">
        <v>38</v>
      </c>
      <c r="C16" s="25"/>
      <c r="D16" s="25"/>
      <c r="E16" s="25"/>
      <c r="F16" s="25"/>
      <c r="G16" s="25"/>
      <c r="H16" s="25"/>
      <c r="I16" s="25"/>
      <c r="J16" s="25"/>
      <c r="K16" s="26" t="s">
        <v>39</v>
      </c>
      <c r="L16" s="26"/>
      <c r="M16" s="26"/>
      <c r="N16" s="26"/>
      <c r="O16" s="26"/>
      <c r="P16" s="26"/>
      <c r="Q16" s="26"/>
      <c r="R16" s="26"/>
    </row>
    <row r="17" customFormat="false" ht="108" hidden="false" customHeight="true" outlineLevel="0" collapsed="false">
      <c r="B17" s="25" t="s">
        <v>40</v>
      </c>
      <c r="C17" s="25"/>
      <c r="D17" s="25"/>
      <c r="E17" s="25"/>
      <c r="F17" s="25"/>
      <c r="G17" s="25"/>
      <c r="H17" s="25"/>
      <c r="I17" s="25"/>
      <c r="J17" s="25"/>
      <c r="K17" s="26" t="s">
        <v>41</v>
      </c>
      <c r="L17" s="26"/>
      <c r="M17" s="26"/>
      <c r="N17" s="26"/>
      <c r="O17" s="26"/>
      <c r="P17" s="26"/>
      <c r="Q17" s="26"/>
      <c r="R17" s="26"/>
    </row>
    <row r="18" customFormat="false" ht="9.75" hidden="false" customHeight="true" outlineLevel="0" collapsed="false">
      <c r="B18" s="29" t="s">
        <v>42</v>
      </c>
      <c r="C18" s="29"/>
      <c r="D18" s="29"/>
      <c r="E18" s="29"/>
      <c r="F18" s="29"/>
      <c r="G18" s="29"/>
      <c r="H18" s="29"/>
      <c r="I18" s="29"/>
      <c r="J18" s="29"/>
      <c r="K18" s="30" t="s">
        <v>18</v>
      </c>
      <c r="L18" s="30"/>
      <c r="M18" s="30"/>
      <c r="N18" s="30"/>
      <c r="O18" s="30"/>
      <c r="P18" s="30"/>
      <c r="Q18" s="30"/>
      <c r="R18" s="30"/>
      <c r="S18" s="31"/>
      <c r="T18" s="31"/>
      <c r="U18" s="31"/>
      <c r="V18" s="31"/>
      <c r="W18" s="31"/>
      <c r="X18" s="31"/>
    </row>
    <row r="19" customFormat="false" ht="15" hidden="false" customHeight="false" outlineLevel="0" collapsed="false">
      <c r="B19" s="29"/>
      <c r="C19" s="29"/>
      <c r="D19" s="29"/>
      <c r="E19" s="29"/>
      <c r="F19" s="29"/>
      <c r="G19" s="29"/>
      <c r="H19" s="29"/>
      <c r="I19" s="29"/>
      <c r="J19" s="29"/>
      <c r="K19" s="30"/>
      <c r="L19" s="30"/>
      <c r="M19" s="30"/>
      <c r="N19" s="30"/>
      <c r="O19" s="30"/>
      <c r="P19" s="30"/>
      <c r="Q19" s="30"/>
      <c r="R19" s="30"/>
      <c r="S19" s="31"/>
      <c r="T19" s="31"/>
      <c r="U19" s="31"/>
      <c r="V19" s="31"/>
      <c r="W19" s="31"/>
      <c r="X19" s="31"/>
    </row>
    <row r="20" customFormat="false" ht="0.75" hidden="false" customHeight="true" outlineLevel="0" collapsed="false">
      <c r="B20" s="29"/>
      <c r="C20" s="29"/>
      <c r="D20" s="29"/>
      <c r="E20" s="29"/>
      <c r="F20" s="29"/>
      <c r="G20" s="29"/>
      <c r="H20" s="29"/>
      <c r="I20" s="29"/>
      <c r="J20" s="29"/>
      <c r="K20" s="30"/>
      <c r="L20" s="30"/>
      <c r="M20" s="30"/>
      <c r="N20" s="30"/>
      <c r="O20" s="30"/>
      <c r="P20" s="30"/>
      <c r="Q20" s="30"/>
      <c r="R20" s="30"/>
      <c r="S20" s="31"/>
      <c r="T20" s="31"/>
      <c r="U20" s="31"/>
      <c r="V20" s="31"/>
      <c r="W20" s="31"/>
      <c r="X20" s="31"/>
    </row>
    <row r="21" customFormat="false" ht="30" hidden="false" customHeight="true" outlineLevel="0" collapsed="false">
      <c r="B21" s="32" t="s">
        <v>43</v>
      </c>
      <c r="C21" s="32"/>
      <c r="D21" s="32"/>
      <c r="E21" s="32"/>
      <c r="F21" s="32"/>
      <c r="G21" s="32"/>
      <c r="H21" s="32"/>
      <c r="I21" s="32"/>
      <c r="J21" s="32"/>
      <c r="K21" s="33"/>
      <c r="L21" s="33"/>
      <c r="M21" s="33"/>
      <c r="N21" s="33"/>
      <c r="O21" s="33"/>
      <c r="P21" s="33"/>
      <c r="Q21" s="33"/>
      <c r="R21" s="33"/>
    </row>
    <row r="22" customFormat="false" ht="15" hidden="false" customHeight="true" outlineLevel="0" collapsed="false">
      <c r="B22" s="34" t="s">
        <v>44</v>
      </c>
      <c r="C22" s="35"/>
      <c r="D22" s="35"/>
      <c r="E22" s="35"/>
      <c r="F22" s="35"/>
      <c r="G22" s="35"/>
      <c r="H22" s="35"/>
      <c r="I22" s="35"/>
      <c r="J22" s="36"/>
      <c r="K22" s="37" t="s">
        <v>45</v>
      </c>
      <c r="L22" s="37"/>
      <c r="M22" s="37"/>
      <c r="N22" s="37"/>
      <c r="O22" s="37"/>
      <c r="P22" s="37"/>
      <c r="Q22" s="37"/>
      <c r="R22" s="37"/>
    </row>
    <row r="23" customFormat="false" ht="30" hidden="false" customHeight="true" outlineLevel="0" collapsed="false">
      <c r="B23" s="32" t="s">
        <v>46</v>
      </c>
      <c r="C23" s="32"/>
      <c r="D23" s="32"/>
      <c r="E23" s="32"/>
      <c r="F23" s="32"/>
      <c r="G23" s="32"/>
      <c r="H23" s="32"/>
      <c r="I23" s="32"/>
      <c r="J23" s="32"/>
      <c r="K23" s="33"/>
      <c r="L23" s="33"/>
      <c r="M23" s="33"/>
      <c r="N23" s="33"/>
      <c r="O23" s="33"/>
      <c r="P23" s="33"/>
      <c r="Q23" s="33"/>
      <c r="R23" s="33"/>
    </row>
    <row r="24" customFormat="false" ht="30.75" hidden="false" customHeight="true" outlineLevel="0" collapsed="false">
      <c r="B24" s="38" t="s">
        <v>47</v>
      </c>
      <c r="C24" s="39"/>
      <c r="D24" s="39"/>
      <c r="E24" s="39"/>
      <c r="F24" s="39"/>
      <c r="G24" s="39"/>
      <c r="H24" s="39"/>
      <c r="I24" s="39"/>
      <c r="J24" s="40"/>
      <c r="K24" s="37" t="s">
        <v>48</v>
      </c>
      <c r="L24" s="37"/>
      <c r="M24" s="37"/>
      <c r="N24" s="37"/>
      <c r="O24" s="37"/>
      <c r="P24" s="37"/>
      <c r="Q24" s="37"/>
      <c r="R24" s="37"/>
    </row>
    <row r="25" customFormat="false" ht="99" hidden="false" customHeight="true" outlineLevel="0" collapsed="false">
      <c r="B25" s="41" t="s">
        <v>49</v>
      </c>
      <c r="C25" s="41" t="s">
        <v>50</v>
      </c>
      <c r="D25" s="41"/>
      <c r="E25" s="41"/>
      <c r="F25" s="41"/>
      <c r="G25" s="41"/>
      <c r="H25" s="41"/>
      <c r="I25" s="41"/>
      <c r="J25" s="41"/>
      <c r="K25" s="33"/>
      <c r="L25" s="33"/>
      <c r="M25" s="33"/>
      <c r="N25" s="33"/>
      <c r="O25" s="33"/>
      <c r="P25" s="33"/>
      <c r="Q25" s="33"/>
      <c r="R25" s="33"/>
    </row>
    <row r="26" customFormat="false" ht="30" hidden="false" customHeight="true" outlineLevel="0" collapsed="false">
      <c r="B26" s="42" t="s">
        <v>51</v>
      </c>
      <c r="C26" s="43" t="n">
        <v>1000000</v>
      </c>
      <c r="D26" s="41" t="s">
        <v>52</v>
      </c>
      <c r="E26" s="41"/>
      <c r="F26" s="41"/>
      <c r="G26" s="41"/>
      <c r="H26" s="41"/>
      <c r="I26" s="41"/>
      <c r="J26" s="41"/>
      <c r="K26" s="44" t="s">
        <v>53</v>
      </c>
      <c r="L26" s="44"/>
      <c r="M26" s="44"/>
      <c r="N26" s="44"/>
      <c r="O26" s="44"/>
      <c r="P26" s="44"/>
      <c r="Q26" s="44"/>
      <c r="R26" s="44"/>
    </row>
    <row r="27" customFormat="false" ht="26.25" hidden="false" customHeight="true" outlineLevel="0" collapsed="false">
      <c r="B27" s="42" t="s">
        <v>54</v>
      </c>
      <c r="C27" s="45" t="str">
        <f aca="false">B24</f>
        <v>Масштабування власної справи</v>
      </c>
      <c r="D27" s="46"/>
      <c r="E27" s="47"/>
      <c r="F27" s="48"/>
      <c r="G27" s="48"/>
      <c r="H27" s="48"/>
      <c r="I27" s="48"/>
      <c r="J27" s="49"/>
      <c r="K27" s="44"/>
      <c r="L27" s="44"/>
      <c r="M27" s="44"/>
      <c r="N27" s="44"/>
      <c r="O27" s="44"/>
      <c r="P27" s="44"/>
      <c r="Q27" s="44"/>
      <c r="R27" s="44"/>
    </row>
    <row r="28" customFormat="false" ht="15" hidden="false" customHeight="false" outlineLevel="0" collapsed="false">
      <c r="B28" s="50" t="s">
        <v>55</v>
      </c>
      <c r="C28" s="51" t="n">
        <f aca="false">IF(B24="Започаткування власної справи",300000,IF(B24="Масштабування власної справи",1500000,""))</f>
        <v>1500000</v>
      </c>
      <c r="D28" s="52"/>
      <c r="E28" s="26"/>
      <c r="F28" s="26"/>
      <c r="G28" s="26"/>
      <c r="H28" s="26"/>
      <c r="I28" s="26"/>
      <c r="J28" s="26"/>
      <c r="K28" s="44"/>
      <c r="L28" s="44"/>
      <c r="M28" s="44"/>
      <c r="N28" s="44"/>
      <c r="O28" s="44"/>
      <c r="P28" s="44"/>
      <c r="Q28" s="44"/>
      <c r="R28" s="44"/>
    </row>
    <row r="29" customFormat="false" ht="30.75" hidden="false" customHeight="true" outlineLevel="0" collapsed="false">
      <c r="B29" s="37" t="s">
        <v>56</v>
      </c>
      <c r="C29" s="53" t="s">
        <v>57</v>
      </c>
      <c r="D29" s="54" t="n">
        <f aca="false">IF(C29="Платник ПДВ",20%,0%)</f>
        <v>0</v>
      </c>
      <c r="E29" s="26"/>
      <c r="F29" s="26"/>
      <c r="G29" s="26"/>
      <c r="H29" s="26"/>
      <c r="I29" s="26"/>
      <c r="J29" s="26"/>
      <c r="K29" s="44"/>
      <c r="L29" s="44"/>
      <c r="M29" s="44"/>
      <c r="N29" s="44"/>
      <c r="O29" s="44"/>
      <c r="P29" s="44"/>
      <c r="Q29" s="44"/>
      <c r="R29" s="44"/>
    </row>
    <row r="30" customFormat="false" ht="50.25" hidden="false" customHeight="true" outlineLevel="0" collapsed="false">
      <c r="B30" s="37" t="s">
        <v>58</v>
      </c>
      <c r="C30" s="45" t="s">
        <v>59</v>
      </c>
      <c r="D30" s="55" t="n">
        <f aca="false">IF(C30="Так",5%,0%)</f>
        <v>0</v>
      </c>
      <c r="E30" s="26"/>
      <c r="F30" s="26"/>
      <c r="G30" s="26"/>
      <c r="H30" s="26"/>
      <c r="I30" s="26"/>
      <c r="J30" s="26"/>
      <c r="K30" s="44"/>
      <c r="L30" s="44"/>
      <c r="M30" s="44"/>
      <c r="N30" s="44"/>
      <c r="O30" s="44"/>
      <c r="P30" s="44"/>
      <c r="Q30" s="44"/>
      <c r="R30" s="44"/>
    </row>
    <row r="31" customFormat="false" ht="15" hidden="false" customHeight="false" outlineLevel="0" collapsed="false">
      <c r="B31" s="56" t="s">
        <v>60</v>
      </c>
      <c r="C31" s="45" t="s">
        <v>59</v>
      </c>
      <c r="D31" s="55" t="n">
        <f aca="false">IF(C31="Так",20%,0%)</f>
        <v>0</v>
      </c>
      <c r="E31" s="26"/>
      <c r="F31" s="26"/>
      <c r="G31" s="26"/>
      <c r="H31" s="26"/>
      <c r="I31" s="26"/>
      <c r="J31" s="26"/>
      <c r="K31" s="44"/>
      <c r="L31" s="44"/>
      <c r="M31" s="44"/>
      <c r="N31" s="44"/>
      <c r="O31" s="44"/>
      <c r="P31" s="44"/>
      <c r="Q31" s="44"/>
      <c r="R31" s="44"/>
    </row>
    <row r="32" customFormat="false" ht="52.5" hidden="false" customHeight="true" outlineLevel="0" collapsed="false">
      <c r="B32" s="50" t="s">
        <v>61</v>
      </c>
      <c r="C32" s="45" t="s">
        <v>59</v>
      </c>
      <c r="D32" s="57" t="n">
        <f aca="false">IF(C32="Так",20%,0%)</f>
        <v>0</v>
      </c>
      <c r="E32" s="26"/>
      <c r="F32" s="26"/>
      <c r="G32" s="26"/>
      <c r="H32" s="26"/>
      <c r="I32" s="26"/>
      <c r="J32" s="26"/>
      <c r="K32" s="44"/>
      <c r="L32" s="44"/>
      <c r="M32" s="44"/>
      <c r="N32" s="44"/>
      <c r="O32" s="44"/>
      <c r="P32" s="44"/>
      <c r="Q32" s="44"/>
      <c r="R32" s="44"/>
    </row>
    <row r="33" customFormat="false" ht="52.5" hidden="false" customHeight="true" outlineLevel="0" collapsed="false">
      <c r="B33" s="50" t="s">
        <v>62</v>
      </c>
      <c r="C33" s="45" t="s">
        <v>59</v>
      </c>
      <c r="D33" s="57" t="n">
        <f aca="false">IF(C33="Так",20%,0%)</f>
        <v>0</v>
      </c>
      <c r="E33" s="26"/>
      <c r="F33" s="26"/>
      <c r="G33" s="26"/>
      <c r="H33" s="26"/>
      <c r="I33" s="26"/>
      <c r="J33" s="26"/>
      <c r="K33" s="44"/>
      <c r="L33" s="44"/>
      <c r="M33" s="44"/>
      <c r="N33" s="44"/>
      <c r="O33" s="44"/>
      <c r="P33" s="44"/>
      <c r="Q33" s="44"/>
      <c r="R33" s="44"/>
    </row>
    <row r="34" customFormat="false" ht="50.25" hidden="false" customHeight="true" outlineLevel="0" collapsed="false">
      <c r="B34" s="50" t="s">
        <v>63</v>
      </c>
      <c r="C34" s="45" t="s">
        <v>59</v>
      </c>
      <c r="D34" s="57" t="n">
        <f aca="false">IF(C34="Так",20%,0%)</f>
        <v>0</v>
      </c>
      <c r="E34" s="58" t="str">
        <f aca="false">IF(C34="Так",IF(B99&gt;=2,"2+ нових місця заплановано","УВАГА: у кадровому плані менше 2 нових місць"),"")</f>
        <v/>
      </c>
      <c r="F34" s="58"/>
      <c r="G34" s="58"/>
      <c r="H34" s="58"/>
      <c r="I34" s="58"/>
      <c r="J34" s="58"/>
      <c r="K34" s="44"/>
      <c r="L34" s="44"/>
      <c r="M34" s="44"/>
      <c r="N34" s="44"/>
      <c r="O34" s="44"/>
      <c r="P34" s="44"/>
      <c r="Q34" s="44"/>
      <c r="R34" s="44"/>
    </row>
    <row r="35" customFormat="false" ht="46.5" hidden="false" customHeight="true" outlineLevel="0" collapsed="false">
      <c r="B35" s="50" t="s">
        <v>64</v>
      </c>
      <c r="C35" s="45" t="s">
        <v>59</v>
      </c>
      <c r="D35" s="57" t="n">
        <f aca="false">IF(C35="Так",30%,0%)</f>
        <v>0</v>
      </c>
      <c r="E35" s="26"/>
      <c r="F35" s="26"/>
      <c r="G35" s="26"/>
      <c r="H35" s="26"/>
      <c r="I35" s="26"/>
      <c r="J35" s="26"/>
      <c r="K35" s="44"/>
      <c r="L35" s="44"/>
      <c r="M35" s="44"/>
      <c r="N35" s="44"/>
      <c r="O35" s="44"/>
      <c r="P35" s="44"/>
      <c r="Q35" s="44"/>
      <c r="R35" s="44"/>
    </row>
    <row r="36" customFormat="false" ht="62.25" hidden="false" customHeight="true" outlineLevel="0" collapsed="false">
      <c r="B36" s="50" t="s">
        <v>65</v>
      </c>
      <c r="C36" s="45" t="s">
        <v>59</v>
      </c>
      <c r="D36" s="57" t="n">
        <f aca="false">IF(C36="Так",30%,0%)</f>
        <v>0</v>
      </c>
      <c r="E36" s="26"/>
      <c r="F36" s="26"/>
      <c r="G36" s="26"/>
      <c r="H36" s="26"/>
      <c r="I36" s="26"/>
      <c r="J36" s="26"/>
      <c r="K36" s="44"/>
      <c r="L36" s="44"/>
      <c r="M36" s="44"/>
      <c r="N36" s="44"/>
      <c r="O36" s="44"/>
      <c r="P36" s="44"/>
      <c r="Q36" s="44"/>
      <c r="R36" s="44"/>
    </row>
    <row r="37" customFormat="false" ht="46.5" hidden="false" customHeight="true" outlineLevel="0" collapsed="false">
      <c r="B37" s="50" t="s">
        <v>66</v>
      </c>
      <c r="C37" s="45" t="s">
        <v>59</v>
      </c>
      <c r="D37" s="55" t="n">
        <f aca="false">IF(C37="Так",50%,0%)</f>
        <v>0</v>
      </c>
      <c r="E37" s="26"/>
      <c r="F37" s="26"/>
      <c r="G37" s="26"/>
      <c r="H37" s="26"/>
      <c r="I37" s="26"/>
      <c r="J37" s="26"/>
      <c r="K37" s="44"/>
      <c r="L37" s="44"/>
      <c r="M37" s="44"/>
      <c r="N37" s="44"/>
      <c r="O37" s="44"/>
      <c r="P37" s="44"/>
      <c r="Q37" s="44"/>
      <c r="R37" s="44"/>
    </row>
    <row r="38" customFormat="false" ht="15" hidden="false" customHeight="false" outlineLevel="0" collapsed="false">
      <c r="B38" s="59" t="s">
        <v>67</v>
      </c>
      <c r="C38" s="60" t="s">
        <v>68</v>
      </c>
      <c r="D38" s="61" t="n">
        <f aca="false">SUM(D29:D37)</f>
        <v>0</v>
      </c>
      <c r="E38" s="26"/>
      <c r="F38" s="26"/>
      <c r="G38" s="26"/>
      <c r="H38" s="26"/>
      <c r="I38" s="26"/>
      <c r="J38" s="26"/>
      <c r="K38" s="44"/>
      <c r="L38" s="44"/>
      <c r="M38" s="44"/>
      <c r="N38" s="44"/>
      <c r="O38" s="44"/>
      <c r="P38" s="44"/>
      <c r="Q38" s="44"/>
      <c r="R38" s="44"/>
    </row>
    <row r="39" customFormat="false" ht="52.2" hidden="false" customHeight="false" outlineLevel="0" collapsed="false">
      <c r="B39" s="59" t="s">
        <v>69</v>
      </c>
      <c r="C39" s="51" t="n">
        <f aca="false">IF(B24="","",MIN(C28*(1+D38),IF(B24="Започаткування власної справи",500000,IF(B24="Масштабування власної справи",2500000,""))))</f>
        <v>1500000</v>
      </c>
      <c r="D39" s="62" t="str">
        <f aca="false">IF(C26="","",IF(B24="","Оберіть тип проєкту",IF(C26&lt;IF(B24="Започаткування власної справи",100000,500000),"УВАГА: сума нижча мінімуму",IF(C26&gt;C39,"УВАГА: перевищено максимум","Сума в межах Порядку"))))</f>
        <v>Сума в межах Порядку</v>
      </c>
      <c r="E39" s="63" t="str">
        <f aca="false">IF(B24="Масштабування власної справи",IF(B99&gt;=1,"1+ нове місце заплановано","УВАГА: для масштабування потрібно 1 нове місце"),"")</f>
        <v>1+ нове місце заплановано</v>
      </c>
      <c r="F39" s="64"/>
      <c r="G39" s="64"/>
      <c r="H39" s="64"/>
      <c r="I39" s="64"/>
      <c r="J39" s="65"/>
      <c r="K39" s="44"/>
      <c r="L39" s="44"/>
      <c r="M39" s="44"/>
      <c r="N39" s="44"/>
      <c r="O39" s="44"/>
      <c r="P39" s="44"/>
      <c r="Q39" s="44"/>
      <c r="R39" s="44"/>
    </row>
    <row r="40" customFormat="false" ht="30" hidden="false" customHeight="true" outlineLevel="0" collapsed="false">
      <c r="B40" s="32" t="s">
        <v>70</v>
      </c>
      <c r="C40" s="32"/>
      <c r="D40" s="32"/>
      <c r="E40" s="32"/>
      <c r="F40" s="32"/>
      <c r="G40" s="32"/>
      <c r="H40" s="32"/>
      <c r="I40" s="32"/>
      <c r="J40" s="32"/>
      <c r="K40" s="33"/>
      <c r="L40" s="33"/>
      <c r="M40" s="33"/>
      <c r="N40" s="33"/>
      <c r="O40" s="33"/>
      <c r="P40" s="33"/>
      <c r="Q40" s="33"/>
      <c r="R40" s="33"/>
    </row>
    <row r="41" customFormat="false" ht="84" hidden="false" customHeight="true" outlineLevel="0" collapsed="false">
      <c r="B41" s="38" t="s">
        <v>71</v>
      </c>
      <c r="C41" s="66" t="s">
        <v>72</v>
      </c>
      <c r="D41" s="66"/>
      <c r="E41" s="66"/>
      <c r="F41" s="66"/>
      <c r="G41" s="66"/>
      <c r="H41" s="66"/>
      <c r="I41" s="66"/>
      <c r="J41" s="66"/>
      <c r="K41" s="37" t="s">
        <v>73</v>
      </c>
      <c r="L41" s="37"/>
      <c r="M41" s="37"/>
      <c r="N41" s="37"/>
      <c r="O41" s="37"/>
      <c r="P41" s="37"/>
      <c r="Q41" s="37"/>
      <c r="R41" s="37"/>
    </row>
    <row r="42" customFormat="false" ht="30" hidden="false" customHeight="true" outlineLevel="0" collapsed="false">
      <c r="B42" s="32"/>
      <c r="C42" s="32"/>
      <c r="D42" s="32"/>
      <c r="E42" s="32"/>
      <c r="F42" s="32"/>
      <c r="G42" s="32"/>
      <c r="H42" s="32"/>
      <c r="I42" s="32"/>
      <c r="J42" s="32"/>
      <c r="K42" s="33"/>
      <c r="L42" s="33"/>
      <c r="M42" s="33"/>
      <c r="N42" s="33"/>
      <c r="O42" s="33"/>
      <c r="P42" s="33"/>
      <c r="Q42" s="33"/>
      <c r="R42" s="33"/>
    </row>
    <row r="43" customFormat="false" ht="84.75" hidden="false" customHeight="true" outlineLevel="0" collapsed="false">
      <c r="B43" s="38" t="s">
        <v>57</v>
      </c>
      <c r="C43" s="66" t="s">
        <v>74</v>
      </c>
      <c r="D43" s="66"/>
      <c r="E43" s="66"/>
      <c r="F43" s="66"/>
      <c r="G43" s="66"/>
      <c r="H43" s="66"/>
      <c r="I43" s="66"/>
      <c r="J43" s="66"/>
      <c r="K43" s="37" t="s">
        <v>75</v>
      </c>
      <c r="L43" s="37"/>
      <c r="M43" s="37"/>
      <c r="N43" s="37"/>
      <c r="O43" s="37"/>
      <c r="P43" s="37"/>
      <c r="Q43" s="37"/>
      <c r="R43" s="37"/>
    </row>
    <row r="44" customFormat="false" ht="30" hidden="false" customHeight="true" outlineLevel="0" collapsed="false">
      <c r="B44" s="32" t="s">
        <v>76</v>
      </c>
      <c r="C44" s="32"/>
      <c r="D44" s="32"/>
      <c r="E44" s="32"/>
      <c r="F44" s="32"/>
      <c r="G44" s="32"/>
      <c r="H44" s="32"/>
      <c r="I44" s="32"/>
      <c r="J44" s="32"/>
      <c r="K44" s="33"/>
      <c r="L44" s="33"/>
      <c r="M44" s="33"/>
      <c r="N44" s="33"/>
      <c r="O44" s="33"/>
      <c r="P44" s="33"/>
      <c r="Q44" s="33"/>
      <c r="R44" s="33"/>
    </row>
    <row r="45" customFormat="false" ht="93.75" hidden="false" customHeight="true" outlineLevel="0" collapsed="false">
      <c r="B45" s="52" t="s">
        <v>77</v>
      </c>
      <c r="C45" s="52"/>
      <c r="D45" s="52"/>
      <c r="E45" s="52"/>
      <c r="F45" s="52"/>
      <c r="G45" s="52"/>
      <c r="H45" s="52"/>
      <c r="I45" s="52"/>
      <c r="J45" s="52"/>
      <c r="K45" s="37" t="s">
        <v>78</v>
      </c>
      <c r="L45" s="37"/>
      <c r="M45" s="37"/>
      <c r="N45" s="37"/>
      <c r="O45" s="37"/>
      <c r="P45" s="37"/>
      <c r="Q45" s="37"/>
      <c r="R45" s="37"/>
    </row>
    <row r="46" customFormat="false" ht="30" hidden="false" customHeight="true" outlineLevel="0" collapsed="false">
      <c r="B46" s="32" t="s">
        <v>79</v>
      </c>
      <c r="C46" s="32"/>
      <c r="D46" s="32"/>
      <c r="E46" s="32"/>
      <c r="F46" s="32"/>
      <c r="G46" s="32"/>
      <c r="H46" s="32"/>
      <c r="I46" s="32"/>
      <c r="J46" s="32"/>
      <c r="K46" s="33"/>
      <c r="L46" s="33"/>
      <c r="M46" s="33"/>
      <c r="N46" s="33"/>
      <c r="O46" s="33"/>
      <c r="P46" s="33"/>
      <c r="Q46" s="33"/>
      <c r="R46" s="33"/>
    </row>
    <row r="47" customFormat="false" ht="135" hidden="false" customHeight="true" outlineLevel="0" collapsed="false">
      <c r="B47" s="67" t="s">
        <v>80</v>
      </c>
      <c r="C47" s="67"/>
      <c r="D47" s="67"/>
      <c r="E47" s="67"/>
      <c r="F47" s="67"/>
      <c r="G47" s="67"/>
      <c r="H47" s="67"/>
      <c r="I47" s="67"/>
      <c r="J47" s="67"/>
      <c r="K47" s="37" t="s">
        <v>81</v>
      </c>
      <c r="L47" s="37"/>
      <c r="M47" s="37"/>
      <c r="N47" s="37"/>
      <c r="O47" s="37"/>
      <c r="P47" s="37"/>
      <c r="Q47" s="37"/>
      <c r="R47" s="37"/>
    </row>
    <row r="48" customFormat="false" ht="30" hidden="false" customHeight="true" outlineLevel="0" collapsed="false">
      <c r="B48" s="68" t="s">
        <v>82</v>
      </c>
      <c r="C48" s="68"/>
      <c r="D48" s="68"/>
      <c r="E48" s="68"/>
      <c r="F48" s="68"/>
      <c r="G48" s="68"/>
      <c r="H48" s="68"/>
      <c r="I48" s="68"/>
      <c r="J48" s="68"/>
      <c r="K48" s="69"/>
      <c r="L48" s="69"/>
      <c r="M48" s="69"/>
      <c r="N48" s="69"/>
      <c r="O48" s="69"/>
      <c r="P48" s="69"/>
      <c r="Q48" s="69"/>
      <c r="R48" s="69"/>
    </row>
    <row r="49" customFormat="false" ht="92.25" hidden="false" customHeight="true" outlineLevel="0" collapsed="false">
      <c r="B49" s="70" t="s">
        <v>83</v>
      </c>
      <c r="C49" s="70"/>
      <c r="D49" s="70"/>
      <c r="E49" s="70"/>
      <c r="F49" s="70"/>
      <c r="G49" s="70"/>
      <c r="H49" s="70"/>
      <c r="I49" s="70"/>
      <c r="J49" s="70"/>
      <c r="K49" s="37" t="s">
        <v>84</v>
      </c>
      <c r="L49" s="37"/>
      <c r="M49" s="37"/>
      <c r="N49" s="37"/>
      <c r="O49" s="37"/>
      <c r="P49" s="37"/>
      <c r="Q49" s="37"/>
      <c r="R49" s="37"/>
    </row>
    <row r="50" customFormat="false" ht="30" hidden="false" customHeight="true" outlineLevel="0" collapsed="false">
      <c r="B50" s="68" t="s">
        <v>85</v>
      </c>
      <c r="C50" s="68"/>
      <c r="D50" s="68"/>
      <c r="E50" s="68"/>
      <c r="F50" s="68"/>
      <c r="G50" s="68"/>
      <c r="H50" s="68"/>
      <c r="I50" s="68"/>
      <c r="J50" s="68"/>
      <c r="K50" s="33"/>
      <c r="L50" s="33"/>
      <c r="M50" s="33"/>
      <c r="N50" s="33"/>
      <c r="O50" s="33"/>
      <c r="P50" s="33"/>
      <c r="Q50" s="33"/>
      <c r="R50" s="33"/>
    </row>
    <row r="51" customFormat="false" ht="51" hidden="false" customHeight="true" outlineLevel="0" collapsed="false">
      <c r="B51" s="70" t="s">
        <v>86</v>
      </c>
      <c r="C51" s="70"/>
      <c r="D51" s="70"/>
      <c r="E51" s="70"/>
      <c r="F51" s="70"/>
      <c r="G51" s="70"/>
      <c r="H51" s="70"/>
      <c r="I51" s="70"/>
      <c r="J51" s="70"/>
      <c r="K51" s="37" t="s">
        <v>87</v>
      </c>
      <c r="L51" s="37"/>
      <c r="M51" s="37"/>
      <c r="N51" s="37"/>
      <c r="O51" s="37"/>
      <c r="P51" s="37"/>
      <c r="Q51" s="37"/>
      <c r="R51" s="37"/>
    </row>
    <row r="52" customFormat="false" ht="30" hidden="false" customHeight="true" outlineLevel="0" collapsed="false">
      <c r="B52" s="68" t="s">
        <v>88</v>
      </c>
      <c r="C52" s="68"/>
      <c r="D52" s="68"/>
      <c r="E52" s="68"/>
      <c r="F52" s="68"/>
      <c r="G52" s="68"/>
      <c r="H52" s="68"/>
      <c r="I52" s="68"/>
      <c r="J52" s="68"/>
      <c r="K52" s="71" t="s">
        <v>89</v>
      </c>
      <c r="L52" s="71"/>
      <c r="M52" s="71"/>
      <c r="N52" s="71"/>
      <c r="O52" s="71"/>
      <c r="P52" s="71"/>
      <c r="Q52" s="71"/>
      <c r="R52" s="71"/>
    </row>
    <row r="53" customFormat="false" ht="48.75" hidden="false" customHeight="true" outlineLevel="0" collapsed="false">
      <c r="B53" s="72" t="s">
        <v>90</v>
      </c>
      <c r="C53" s="72"/>
      <c r="D53" s="72"/>
      <c r="E53" s="72"/>
      <c r="F53" s="72"/>
      <c r="G53" s="72"/>
      <c r="H53" s="72"/>
      <c r="I53" s="72"/>
      <c r="J53" s="72"/>
      <c r="K53" s="73" t="s">
        <v>91</v>
      </c>
      <c r="L53" s="73"/>
      <c r="M53" s="73"/>
      <c r="N53" s="73"/>
      <c r="O53" s="73"/>
      <c r="P53" s="73"/>
      <c r="Q53" s="73"/>
      <c r="R53" s="73"/>
    </row>
    <row r="54" customFormat="false" ht="48.75" hidden="false" customHeight="true" outlineLevel="0" collapsed="false">
      <c r="B54" s="72" t="s">
        <v>92</v>
      </c>
      <c r="C54" s="72"/>
      <c r="D54" s="72"/>
      <c r="E54" s="72"/>
      <c r="F54" s="72"/>
      <c r="G54" s="72"/>
      <c r="H54" s="72"/>
      <c r="I54" s="72"/>
      <c r="J54" s="72"/>
      <c r="K54" s="73"/>
      <c r="L54" s="73"/>
      <c r="M54" s="73"/>
      <c r="N54" s="73"/>
      <c r="O54" s="73"/>
      <c r="P54" s="73"/>
      <c r="Q54" s="73"/>
      <c r="R54" s="73"/>
    </row>
    <row r="55" customFormat="false" ht="48.75" hidden="false" customHeight="true" outlineLevel="0" collapsed="false">
      <c r="B55" s="72" t="s">
        <v>93</v>
      </c>
      <c r="C55" s="72"/>
      <c r="D55" s="72"/>
      <c r="E55" s="72"/>
      <c r="F55" s="72"/>
      <c r="G55" s="72"/>
      <c r="H55" s="72"/>
      <c r="I55" s="72"/>
      <c r="J55" s="72"/>
      <c r="K55" s="73"/>
      <c r="L55" s="73"/>
      <c r="M55" s="73"/>
      <c r="N55" s="73"/>
      <c r="O55" s="73"/>
      <c r="P55" s="73"/>
      <c r="Q55" s="73"/>
      <c r="R55" s="73"/>
    </row>
    <row r="56" customFormat="false" ht="34.5" hidden="false" customHeight="true" outlineLevel="0" collapsed="false">
      <c r="B56" s="74" t="s">
        <v>94</v>
      </c>
      <c r="C56" s="74"/>
      <c r="D56" s="74"/>
      <c r="E56" s="74"/>
      <c r="F56" s="74"/>
      <c r="G56" s="74"/>
      <c r="H56" s="74"/>
      <c r="I56" s="74"/>
      <c r="J56" s="74"/>
      <c r="K56" s="73"/>
      <c r="L56" s="73"/>
      <c r="M56" s="73"/>
      <c r="N56" s="73"/>
      <c r="O56" s="73"/>
      <c r="P56" s="73"/>
      <c r="Q56" s="73"/>
      <c r="R56" s="73"/>
    </row>
    <row r="57" customFormat="false" ht="30" hidden="false" customHeight="true" outlineLevel="0" collapsed="false">
      <c r="B57" s="68" t="s">
        <v>95</v>
      </c>
      <c r="C57" s="68"/>
      <c r="D57" s="68"/>
      <c r="E57" s="68"/>
      <c r="F57" s="68"/>
      <c r="G57" s="68"/>
      <c r="H57" s="68"/>
      <c r="I57" s="68"/>
      <c r="J57" s="68"/>
      <c r="K57" s="33"/>
      <c r="L57" s="33"/>
      <c r="M57" s="33"/>
      <c r="N57" s="33"/>
      <c r="O57" s="33"/>
      <c r="P57" s="33"/>
      <c r="Q57" s="33"/>
      <c r="R57" s="33"/>
    </row>
    <row r="58" customFormat="false" ht="92.25" hidden="false" customHeight="true" outlineLevel="0" collapsed="false">
      <c r="B58" s="70" t="s">
        <v>96</v>
      </c>
      <c r="C58" s="70"/>
      <c r="D58" s="70"/>
      <c r="E58" s="70"/>
      <c r="F58" s="70"/>
      <c r="G58" s="70"/>
      <c r="H58" s="70"/>
      <c r="I58" s="70"/>
      <c r="J58" s="70"/>
      <c r="K58" s="37" t="s">
        <v>97</v>
      </c>
      <c r="L58" s="37"/>
      <c r="M58" s="37"/>
      <c r="N58" s="37"/>
      <c r="O58" s="37"/>
      <c r="P58" s="37"/>
      <c r="Q58" s="37"/>
      <c r="R58" s="37"/>
    </row>
    <row r="59" customFormat="false" ht="30" hidden="false" customHeight="true" outlineLevel="0" collapsed="false">
      <c r="B59" s="68" t="s">
        <v>98</v>
      </c>
      <c r="C59" s="68"/>
      <c r="D59" s="68"/>
      <c r="E59" s="68"/>
      <c r="F59" s="68"/>
      <c r="G59" s="68"/>
      <c r="H59" s="68"/>
      <c r="I59" s="68"/>
      <c r="J59" s="68"/>
      <c r="K59" s="33"/>
      <c r="L59" s="33"/>
      <c r="M59" s="33"/>
      <c r="N59" s="33"/>
      <c r="O59" s="33"/>
      <c r="P59" s="33"/>
      <c r="Q59" s="33"/>
      <c r="R59" s="33"/>
    </row>
    <row r="60" customFormat="false" ht="92.25" hidden="false" customHeight="true" outlineLevel="0" collapsed="false">
      <c r="B60" s="70" t="s">
        <v>99</v>
      </c>
      <c r="C60" s="70"/>
      <c r="D60" s="70"/>
      <c r="E60" s="70"/>
      <c r="F60" s="70"/>
      <c r="G60" s="70"/>
      <c r="H60" s="70"/>
      <c r="I60" s="70"/>
      <c r="J60" s="70"/>
      <c r="K60" s="50" t="s">
        <v>100</v>
      </c>
      <c r="L60" s="50"/>
      <c r="M60" s="50"/>
      <c r="N60" s="50"/>
      <c r="O60" s="50"/>
      <c r="P60" s="50"/>
      <c r="Q60" s="50"/>
      <c r="R60" s="50"/>
    </row>
    <row r="61" customFormat="false" ht="30" hidden="false" customHeight="true" outlineLevel="0" collapsed="false">
      <c r="B61" s="68" t="s">
        <v>101</v>
      </c>
      <c r="C61" s="68"/>
      <c r="D61" s="68"/>
      <c r="E61" s="68"/>
      <c r="F61" s="68"/>
      <c r="G61" s="68"/>
      <c r="H61" s="68"/>
      <c r="I61" s="68"/>
      <c r="J61" s="68"/>
      <c r="K61" s="33"/>
      <c r="L61" s="33"/>
      <c r="M61" s="33"/>
      <c r="N61" s="33"/>
      <c r="O61" s="33"/>
      <c r="P61" s="33"/>
      <c r="Q61" s="33"/>
      <c r="R61" s="33"/>
    </row>
    <row r="62" customFormat="false" ht="34.5" hidden="false" customHeight="true" outlineLevel="0" collapsed="false">
      <c r="B62" s="75" t="s">
        <v>102</v>
      </c>
      <c r="C62" s="75"/>
      <c r="D62" s="75"/>
      <c r="E62" s="75"/>
      <c r="F62" s="75"/>
      <c r="G62" s="75"/>
      <c r="H62" s="75"/>
      <c r="I62" s="75"/>
      <c r="J62" s="75"/>
      <c r="K62" s="76" t="s">
        <v>103</v>
      </c>
      <c r="L62" s="76"/>
      <c r="M62" s="76"/>
      <c r="N62" s="76"/>
      <c r="O62" s="76"/>
      <c r="P62" s="76"/>
      <c r="Q62" s="76"/>
      <c r="R62" s="76"/>
    </row>
    <row r="63" customFormat="false" ht="42.75" hidden="false" customHeight="true" outlineLevel="0" collapsed="false">
      <c r="B63" s="75" t="s">
        <v>104</v>
      </c>
      <c r="C63" s="75"/>
      <c r="D63" s="75"/>
      <c r="E63" s="75"/>
      <c r="F63" s="75"/>
      <c r="G63" s="75"/>
      <c r="H63" s="75"/>
      <c r="I63" s="75"/>
      <c r="J63" s="75"/>
      <c r="K63" s="77" t="s">
        <v>105</v>
      </c>
      <c r="L63" s="77"/>
      <c r="M63" s="77"/>
      <c r="N63" s="77"/>
      <c r="O63" s="77"/>
      <c r="P63" s="77"/>
      <c r="Q63" s="77"/>
      <c r="R63" s="77"/>
    </row>
    <row r="64" customFormat="false" ht="48.75" hidden="false" customHeight="true" outlineLevel="0" collapsed="false">
      <c r="B64" s="78" t="s">
        <v>106</v>
      </c>
      <c r="C64" s="78"/>
      <c r="D64" s="78"/>
      <c r="E64" s="78"/>
      <c r="F64" s="78"/>
      <c r="G64" s="78"/>
      <c r="H64" s="78"/>
      <c r="I64" s="78"/>
      <c r="J64" s="78"/>
      <c r="K64" s="77" t="s">
        <v>107</v>
      </c>
      <c r="L64" s="77"/>
      <c r="M64" s="77"/>
      <c r="N64" s="77"/>
      <c r="O64" s="77"/>
      <c r="P64" s="77"/>
      <c r="Q64" s="77"/>
      <c r="R64" s="77"/>
    </row>
    <row r="65" customFormat="false" ht="48.75" hidden="false" customHeight="true" outlineLevel="0" collapsed="false">
      <c r="B65" s="75" t="s">
        <v>108</v>
      </c>
      <c r="C65" s="75"/>
      <c r="D65" s="75"/>
      <c r="E65" s="75"/>
      <c r="F65" s="75"/>
      <c r="G65" s="75"/>
      <c r="H65" s="75"/>
      <c r="I65" s="75"/>
      <c r="J65" s="75"/>
      <c r="K65" s="77" t="s">
        <v>109</v>
      </c>
      <c r="L65" s="77"/>
      <c r="M65" s="77"/>
      <c r="N65" s="77"/>
      <c r="O65" s="77"/>
      <c r="P65" s="77"/>
      <c r="Q65" s="77"/>
      <c r="R65" s="77"/>
    </row>
    <row r="66" customFormat="false" ht="72" hidden="false" customHeight="true" outlineLevel="0" collapsed="false">
      <c r="B66" s="32" t="s">
        <v>110</v>
      </c>
      <c r="C66" s="32"/>
      <c r="D66" s="32"/>
      <c r="E66" s="32"/>
      <c r="F66" s="32"/>
      <c r="G66" s="32"/>
      <c r="H66" s="32"/>
      <c r="I66" s="32"/>
      <c r="J66" s="32"/>
      <c r="K66" s="41" t="s">
        <v>111</v>
      </c>
      <c r="L66" s="41"/>
      <c r="M66" s="41"/>
      <c r="N66" s="41"/>
      <c r="O66" s="41"/>
      <c r="P66" s="41"/>
      <c r="Q66" s="41"/>
      <c r="R66" s="41"/>
    </row>
    <row r="67" customFormat="false" ht="35.25" hidden="false" customHeight="true" outlineLevel="0" collapsed="false">
      <c r="B67" s="70" t="s">
        <v>112</v>
      </c>
      <c r="C67" s="70"/>
      <c r="D67" s="70"/>
      <c r="E67" s="70"/>
      <c r="F67" s="70"/>
      <c r="G67" s="70"/>
      <c r="H67" s="70"/>
      <c r="I67" s="70"/>
      <c r="J67" s="70"/>
      <c r="K67" s="79" t="s">
        <v>113</v>
      </c>
      <c r="L67" s="79"/>
      <c r="M67" s="79"/>
      <c r="N67" s="79"/>
      <c r="O67" s="79"/>
      <c r="P67" s="79"/>
      <c r="Q67" s="79"/>
      <c r="R67" s="79"/>
    </row>
    <row r="68" customFormat="false" ht="36" hidden="false" customHeight="true" outlineLevel="0" collapsed="false">
      <c r="B68" s="70" t="s">
        <v>114</v>
      </c>
      <c r="C68" s="70"/>
      <c r="D68" s="70"/>
      <c r="E68" s="70"/>
      <c r="F68" s="70"/>
      <c r="G68" s="70"/>
      <c r="H68" s="70"/>
      <c r="I68" s="70"/>
      <c r="J68" s="70"/>
      <c r="K68" s="79" t="s">
        <v>115</v>
      </c>
      <c r="L68" s="79"/>
      <c r="M68" s="79"/>
      <c r="N68" s="79"/>
      <c r="O68" s="79"/>
      <c r="P68" s="79"/>
      <c r="Q68" s="79"/>
      <c r="R68" s="79"/>
    </row>
    <row r="69" customFormat="false" ht="34.5" hidden="false" customHeight="true" outlineLevel="0" collapsed="false">
      <c r="B69" s="70" t="s">
        <v>116</v>
      </c>
      <c r="C69" s="70"/>
      <c r="D69" s="70"/>
      <c r="E69" s="70"/>
      <c r="F69" s="70"/>
      <c r="G69" s="70"/>
      <c r="H69" s="70"/>
      <c r="I69" s="70"/>
      <c r="J69" s="70"/>
      <c r="K69" s="79" t="s">
        <v>117</v>
      </c>
      <c r="L69" s="79"/>
      <c r="M69" s="79"/>
      <c r="N69" s="79"/>
      <c r="O69" s="79"/>
      <c r="P69" s="79"/>
      <c r="Q69" s="79"/>
      <c r="R69" s="79"/>
    </row>
    <row r="70" customFormat="false" ht="63" hidden="false" customHeight="true" outlineLevel="0" collapsed="false">
      <c r="B70" s="70" t="s">
        <v>118</v>
      </c>
      <c r="C70" s="70"/>
      <c r="D70" s="70"/>
      <c r="E70" s="70"/>
      <c r="F70" s="70"/>
      <c r="G70" s="70"/>
      <c r="H70" s="70"/>
      <c r="I70" s="70"/>
      <c r="J70" s="70"/>
      <c r="K70" s="79" t="s">
        <v>119</v>
      </c>
      <c r="L70" s="79"/>
      <c r="M70" s="79"/>
      <c r="N70" s="79"/>
      <c r="O70" s="79"/>
      <c r="P70" s="79"/>
      <c r="Q70" s="79"/>
      <c r="R70" s="79"/>
    </row>
    <row r="71" customFormat="false" ht="48.75" hidden="false" customHeight="true" outlineLevel="0" collapsed="false">
      <c r="B71" s="70" t="s">
        <v>120</v>
      </c>
      <c r="C71" s="70"/>
      <c r="D71" s="70"/>
      <c r="E71" s="70"/>
      <c r="F71" s="70"/>
      <c r="G71" s="70"/>
      <c r="H71" s="70"/>
      <c r="I71" s="70"/>
      <c r="J71" s="70"/>
      <c r="K71" s="79" t="s">
        <v>121</v>
      </c>
      <c r="L71" s="79"/>
      <c r="M71" s="79"/>
      <c r="N71" s="79"/>
      <c r="O71" s="79"/>
      <c r="P71" s="79"/>
      <c r="Q71" s="79"/>
      <c r="R71" s="79"/>
    </row>
    <row r="72" customFormat="false" ht="48.75" hidden="false" customHeight="true" outlineLevel="0" collapsed="false">
      <c r="B72" s="70" t="s">
        <v>122</v>
      </c>
      <c r="C72" s="70"/>
      <c r="D72" s="70"/>
      <c r="E72" s="70"/>
      <c r="F72" s="70"/>
      <c r="G72" s="70"/>
      <c r="H72" s="70"/>
      <c r="I72" s="70"/>
      <c r="J72" s="70"/>
      <c r="K72" s="79" t="s">
        <v>123</v>
      </c>
      <c r="L72" s="79"/>
      <c r="M72" s="79"/>
      <c r="N72" s="79"/>
      <c r="O72" s="79"/>
      <c r="P72" s="79"/>
      <c r="Q72" s="79"/>
      <c r="R72" s="79"/>
    </row>
    <row r="73" customFormat="false" ht="30" hidden="false" customHeight="true" outlineLevel="0" collapsed="false">
      <c r="B73" s="68" t="s">
        <v>124</v>
      </c>
      <c r="C73" s="68"/>
      <c r="D73" s="68"/>
      <c r="E73" s="68"/>
      <c r="F73" s="68"/>
      <c r="G73" s="68"/>
      <c r="H73" s="68"/>
      <c r="I73" s="68"/>
      <c r="J73" s="68"/>
      <c r="K73" s="33"/>
      <c r="L73" s="33"/>
      <c r="M73" s="33"/>
      <c r="N73" s="33"/>
      <c r="O73" s="33"/>
      <c r="P73" s="33"/>
      <c r="Q73" s="33"/>
      <c r="R73" s="33"/>
    </row>
    <row r="74" customFormat="false" ht="60.75" hidden="false" customHeight="true" outlineLevel="0" collapsed="false">
      <c r="B74" s="70" t="s">
        <v>125</v>
      </c>
      <c r="C74" s="70"/>
      <c r="D74" s="70"/>
      <c r="E74" s="70"/>
      <c r="F74" s="70"/>
      <c r="G74" s="70"/>
      <c r="H74" s="70"/>
      <c r="I74" s="70"/>
      <c r="J74" s="70"/>
      <c r="K74" s="76" t="s">
        <v>126</v>
      </c>
      <c r="L74" s="76"/>
      <c r="M74" s="76"/>
      <c r="N74" s="76"/>
      <c r="O74" s="76"/>
      <c r="P74" s="76"/>
      <c r="Q74" s="76"/>
      <c r="R74" s="76"/>
    </row>
    <row r="75" customFormat="false" ht="30" hidden="false" customHeight="true" outlineLevel="0" collapsed="false">
      <c r="B75" s="68" t="s">
        <v>127</v>
      </c>
      <c r="C75" s="68"/>
      <c r="D75" s="68"/>
      <c r="E75" s="68"/>
      <c r="F75" s="68"/>
      <c r="G75" s="68"/>
      <c r="H75" s="68"/>
      <c r="I75" s="68"/>
      <c r="J75" s="68"/>
      <c r="K75" s="33"/>
      <c r="L75" s="33"/>
      <c r="M75" s="33"/>
      <c r="N75" s="33"/>
      <c r="O75" s="33"/>
      <c r="P75" s="33"/>
      <c r="Q75" s="33"/>
      <c r="R75" s="33"/>
    </row>
    <row r="76" customFormat="false" ht="75.75" hidden="false" customHeight="true" outlineLevel="0" collapsed="false">
      <c r="B76" s="70" t="s">
        <v>128</v>
      </c>
      <c r="C76" s="70"/>
      <c r="D76" s="70"/>
      <c r="E76" s="70"/>
      <c r="F76" s="70"/>
      <c r="G76" s="70"/>
      <c r="H76" s="70"/>
      <c r="I76" s="70"/>
      <c r="J76" s="70"/>
      <c r="K76" s="37" t="s">
        <v>129</v>
      </c>
      <c r="L76" s="37"/>
      <c r="M76" s="37"/>
      <c r="N76" s="37"/>
      <c r="O76" s="37"/>
      <c r="P76" s="37"/>
      <c r="Q76" s="37"/>
      <c r="R76" s="37"/>
    </row>
    <row r="77" customFormat="false" ht="30" hidden="false" customHeight="true" outlineLevel="0" collapsed="false">
      <c r="B77" s="68" t="s">
        <v>130</v>
      </c>
      <c r="C77" s="68"/>
      <c r="D77" s="68"/>
      <c r="E77" s="68"/>
      <c r="F77" s="68"/>
      <c r="G77" s="68"/>
      <c r="H77" s="68"/>
      <c r="I77" s="68"/>
      <c r="J77" s="68"/>
      <c r="K77" s="33"/>
      <c r="L77" s="33"/>
      <c r="M77" s="33"/>
      <c r="N77" s="33"/>
      <c r="O77" s="33"/>
      <c r="P77" s="33"/>
      <c r="Q77" s="33"/>
      <c r="R77" s="33"/>
    </row>
    <row r="78" customFormat="false" ht="50.25" hidden="false" customHeight="true" outlineLevel="0" collapsed="false">
      <c r="B78" s="70" t="s">
        <v>131</v>
      </c>
      <c r="C78" s="70"/>
      <c r="D78" s="70"/>
      <c r="E78" s="70"/>
      <c r="F78" s="70"/>
      <c r="G78" s="70"/>
      <c r="H78" s="70"/>
      <c r="I78" s="70"/>
      <c r="J78" s="70"/>
      <c r="K78" s="37" t="s">
        <v>132</v>
      </c>
      <c r="L78" s="37"/>
      <c r="M78" s="37"/>
      <c r="N78" s="37"/>
      <c r="O78" s="37"/>
      <c r="P78" s="37"/>
      <c r="Q78" s="37"/>
      <c r="R78" s="37"/>
    </row>
    <row r="79" customFormat="false" ht="48" hidden="false" customHeight="true" outlineLevel="0" collapsed="false">
      <c r="B79" s="27" t="s">
        <v>133</v>
      </c>
      <c r="C79" s="27"/>
      <c r="D79" s="27"/>
      <c r="E79" s="27"/>
      <c r="F79" s="27"/>
      <c r="G79" s="27"/>
      <c r="H79" s="27"/>
      <c r="I79" s="27"/>
      <c r="J79" s="27"/>
      <c r="K79" s="28" t="s">
        <v>18</v>
      </c>
      <c r="L79" s="28"/>
      <c r="M79" s="28"/>
      <c r="N79" s="28"/>
      <c r="O79" s="28"/>
      <c r="P79" s="28"/>
      <c r="Q79" s="28"/>
      <c r="R79" s="28"/>
      <c r="S79" s="31"/>
      <c r="T79" s="31"/>
      <c r="U79" s="31"/>
      <c r="V79" s="31"/>
      <c r="W79" s="31"/>
      <c r="X79" s="31"/>
    </row>
    <row r="80" customFormat="false" ht="27" hidden="false" customHeight="true" outlineLevel="0" collapsed="false">
      <c r="B80" s="32" t="s">
        <v>134</v>
      </c>
      <c r="C80" s="32"/>
      <c r="D80" s="32"/>
      <c r="E80" s="32"/>
      <c r="F80" s="32"/>
      <c r="G80" s="32"/>
      <c r="H80" s="32"/>
      <c r="I80" s="32"/>
      <c r="J80" s="32"/>
      <c r="K80" s="33"/>
      <c r="L80" s="33"/>
      <c r="M80" s="33"/>
      <c r="N80" s="33"/>
      <c r="O80" s="33"/>
      <c r="P80" s="33"/>
      <c r="Q80" s="33"/>
      <c r="R80" s="33"/>
      <c r="S80" s="31"/>
      <c r="T80" s="31"/>
      <c r="U80" s="31"/>
      <c r="V80" s="31"/>
      <c r="W80" s="31"/>
      <c r="X80" s="31"/>
    </row>
    <row r="81" customFormat="false" ht="33" hidden="false" customHeight="true" outlineLevel="0" collapsed="false">
      <c r="B81" s="80" t="s">
        <v>135</v>
      </c>
      <c r="C81" s="80"/>
      <c r="D81" s="80"/>
      <c r="E81" s="80" t="s">
        <v>136</v>
      </c>
      <c r="F81" s="80" t="s">
        <v>137</v>
      </c>
      <c r="G81" s="80"/>
      <c r="H81" s="80"/>
      <c r="I81" s="80"/>
      <c r="J81" s="80"/>
      <c r="K81" s="37" t="s">
        <v>138</v>
      </c>
      <c r="L81" s="37"/>
      <c r="M81" s="37"/>
      <c r="N81" s="37"/>
      <c r="O81" s="37"/>
      <c r="P81" s="37"/>
      <c r="Q81" s="37"/>
      <c r="R81" s="37"/>
    </row>
    <row r="82" customFormat="false" ht="106.5" hidden="false" customHeight="true" outlineLevel="0" collapsed="false">
      <c r="B82" s="37" t="s">
        <v>139</v>
      </c>
      <c r="C82" s="37"/>
      <c r="D82" s="37"/>
      <c r="E82" s="81" t="n">
        <v>390000</v>
      </c>
      <c r="F82" s="37" t="s">
        <v>140</v>
      </c>
      <c r="G82" s="37"/>
      <c r="H82" s="37"/>
      <c r="I82" s="37"/>
      <c r="J82" s="37"/>
      <c r="K82" s="37"/>
      <c r="L82" s="37"/>
      <c r="M82" s="37"/>
      <c r="N82" s="37"/>
      <c r="O82" s="37"/>
      <c r="P82" s="37"/>
      <c r="Q82" s="37"/>
      <c r="R82" s="37"/>
    </row>
    <row r="83" customFormat="false" ht="63" hidden="false" customHeight="true" outlineLevel="0" collapsed="false">
      <c r="B83" s="37" t="s">
        <v>141</v>
      </c>
      <c r="C83" s="37"/>
      <c r="D83" s="37"/>
      <c r="E83" s="81" t="n">
        <v>180000</v>
      </c>
      <c r="F83" s="37" t="s">
        <v>142</v>
      </c>
      <c r="G83" s="37"/>
      <c r="H83" s="37"/>
      <c r="I83" s="37"/>
      <c r="J83" s="37"/>
      <c r="K83" s="37"/>
      <c r="L83" s="37"/>
      <c r="M83" s="37"/>
      <c r="N83" s="37"/>
      <c r="O83" s="37"/>
      <c r="P83" s="37"/>
      <c r="Q83" s="37"/>
      <c r="R83" s="37"/>
    </row>
    <row r="84" customFormat="false" ht="34.5" hidden="false" customHeight="true" outlineLevel="0" collapsed="false">
      <c r="B84" s="82" t="s">
        <v>143</v>
      </c>
      <c r="C84" s="82"/>
      <c r="D84" s="82"/>
      <c r="E84" s="83" t="n">
        <v>95000</v>
      </c>
      <c r="F84" s="82" t="s">
        <v>144</v>
      </c>
      <c r="G84" s="82"/>
      <c r="H84" s="82"/>
      <c r="I84" s="82"/>
      <c r="J84" s="82"/>
      <c r="K84" s="37"/>
      <c r="L84" s="37"/>
      <c r="M84" s="37"/>
      <c r="N84" s="37"/>
      <c r="O84" s="37"/>
      <c r="P84" s="37"/>
      <c r="Q84" s="37"/>
      <c r="R84" s="37"/>
    </row>
    <row r="85" customFormat="false" ht="48.75" hidden="false" customHeight="true" outlineLevel="0" collapsed="false">
      <c r="B85" s="82" t="s">
        <v>145</v>
      </c>
      <c r="C85" s="82"/>
      <c r="D85" s="82"/>
      <c r="E85" s="83" t="n">
        <v>40000</v>
      </c>
      <c r="F85" s="82" t="s">
        <v>146</v>
      </c>
      <c r="G85" s="82"/>
      <c r="H85" s="82"/>
      <c r="I85" s="82"/>
      <c r="J85" s="82"/>
      <c r="K85" s="37"/>
      <c r="L85" s="37"/>
      <c r="M85" s="37"/>
      <c r="N85" s="37"/>
      <c r="O85" s="37"/>
      <c r="P85" s="37"/>
      <c r="Q85" s="37"/>
      <c r="R85" s="37"/>
    </row>
    <row r="86" customFormat="false" ht="48.75" hidden="false" customHeight="true" outlineLevel="0" collapsed="false">
      <c r="B86" s="82" t="s">
        <v>147</v>
      </c>
      <c r="C86" s="82"/>
      <c r="D86" s="82"/>
      <c r="E86" s="83" t="n">
        <v>95000</v>
      </c>
      <c r="F86" s="82" t="s">
        <v>148</v>
      </c>
      <c r="G86" s="82"/>
      <c r="H86" s="82"/>
      <c r="I86" s="82"/>
      <c r="J86" s="82"/>
      <c r="K86" s="37"/>
      <c r="L86" s="37"/>
      <c r="M86" s="37"/>
      <c r="N86" s="37"/>
      <c r="O86" s="37"/>
      <c r="P86" s="37"/>
      <c r="Q86" s="37"/>
      <c r="R86" s="37"/>
    </row>
    <row r="87" customFormat="false" ht="34.5" hidden="false" customHeight="true" outlineLevel="0" collapsed="false">
      <c r="B87" s="82" t="s">
        <v>149</v>
      </c>
      <c r="C87" s="82"/>
      <c r="D87" s="82"/>
      <c r="E87" s="83" t="n">
        <v>20000</v>
      </c>
      <c r="F87" s="82" t="s">
        <v>150</v>
      </c>
      <c r="G87" s="82"/>
      <c r="H87" s="82"/>
      <c r="I87" s="82"/>
      <c r="J87" s="82"/>
      <c r="K87" s="37"/>
      <c r="L87" s="37"/>
      <c r="M87" s="37"/>
      <c r="N87" s="37"/>
      <c r="O87" s="37"/>
      <c r="P87" s="37"/>
      <c r="Q87" s="37"/>
      <c r="R87" s="37"/>
    </row>
    <row r="88" customFormat="false" ht="48.75" hidden="false" customHeight="true" outlineLevel="0" collapsed="false">
      <c r="B88" s="82" t="s">
        <v>151</v>
      </c>
      <c r="C88" s="82"/>
      <c r="D88" s="82"/>
      <c r="E88" s="83" t="n">
        <v>180000</v>
      </c>
      <c r="F88" s="82" t="s">
        <v>152</v>
      </c>
      <c r="G88" s="82"/>
      <c r="H88" s="82"/>
      <c r="I88" s="82"/>
      <c r="J88" s="82"/>
      <c r="K88" s="37"/>
      <c r="L88" s="37"/>
      <c r="M88" s="37"/>
      <c r="N88" s="37"/>
      <c r="O88" s="37"/>
      <c r="P88" s="37"/>
      <c r="Q88" s="37"/>
      <c r="R88" s="37"/>
    </row>
    <row r="89" customFormat="false" ht="34.5" hidden="false" customHeight="true" outlineLevel="0" collapsed="false">
      <c r="B89" s="84" t="s">
        <v>153</v>
      </c>
      <c r="C89" s="84"/>
      <c r="D89" s="84"/>
      <c r="E89" s="85" t="n">
        <f aca="false">SUM(E82:E88)</f>
        <v>1000000</v>
      </c>
      <c r="F89" s="82" t="s">
        <v>154</v>
      </c>
      <c r="G89" s="82"/>
      <c r="H89" s="82"/>
      <c r="I89" s="82"/>
      <c r="J89" s="82"/>
      <c r="K89" s="37"/>
      <c r="L89" s="37"/>
      <c r="M89" s="37"/>
      <c r="N89" s="37"/>
      <c r="O89" s="37"/>
      <c r="P89" s="37"/>
      <c r="Q89" s="37"/>
      <c r="R89" s="37"/>
    </row>
    <row r="90" customFormat="false" ht="36" hidden="false" customHeight="true" outlineLevel="0" collapsed="false">
      <c r="B90" s="86" t="s">
        <v>155</v>
      </c>
      <c r="C90" s="86"/>
      <c r="D90" s="86"/>
      <c r="E90" s="86"/>
      <c r="F90" s="86"/>
      <c r="G90" s="86"/>
      <c r="H90" s="86"/>
      <c r="I90" s="86"/>
      <c r="J90" s="86"/>
      <c r="K90" s="87" t="s">
        <v>68</v>
      </c>
      <c r="L90" s="87"/>
      <c r="M90" s="87"/>
      <c r="N90" s="87"/>
      <c r="O90" s="87"/>
      <c r="P90" s="87"/>
      <c r="Q90" s="87"/>
      <c r="R90" s="87"/>
    </row>
    <row r="91" customFormat="false" ht="30" hidden="false" customHeight="true" outlineLevel="0" collapsed="false">
      <c r="B91" s="80" t="s">
        <v>156</v>
      </c>
      <c r="C91" s="80"/>
      <c r="D91" s="80"/>
      <c r="E91" s="80" t="s">
        <v>136</v>
      </c>
      <c r="F91" s="88" t="s">
        <v>137</v>
      </c>
      <c r="G91" s="88"/>
      <c r="H91" s="88"/>
      <c r="I91" s="88"/>
      <c r="J91" s="88"/>
      <c r="K91" s="89" t="s">
        <v>157</v>
      </c>
      <c r="L91" s="89"/>
      <c r="M91" s="89"/>
      <c r="N91" s="89"/>
      <c r="O91" s="89"/>
      <c r="P91" s="89"/>
      <c r="Q91" s="89"/>
      <c r="R91" s="89"/>
    </row>
    <row r="92" customFormat="false" ht="20.25" hidden="false" customHeight="true" outlineLevel="0" collapsed="false">
      <c r="B92" s="37" t="s">
        <v>158</v>
      </c>
      <c r="C92" s="37"/>
      <c r="D92" s="37"/>
      <c r="E92" s="81" t="n">
        <v>110000</v>
      </c>
      <c r="F92" s="90" t="s">
        <v>159</v>
      </c>
      <c r="G92" s="90"/>
      <c r="H92" s="90"/>
      <c r="I92" s="90"/>
      <c r="J92" s="90"/>
      <c r="K92" s="89"/>
      <c r="L92" s="89"/>
      <c r="M92" s="89"/>
      <c r="N92" s="89"/>
      <c r="O92" s="89"/>
      <c r="P92" s="89"/>
      <c r="Q92" s="89"/>
      <c r="R92" s="89"/>
    </row>
    <row r="93" customFormat="false" ht="20.25" hidden="false" customHeight="true" outlineLevel="0" collapsed="false">
      <c r="B93" s="37" t="s">
        <v>160</v>
      </c>
      <c r="C93" s="37"/>
      <c r="D93" s="37"/>
      <c r="E93" s="81" t="n">
        <v>275860</v>
      </c>
      <c r="F93" s="90" t="s">
        <v>161</v>
      </c>
      <c r="G93" s="90"/>
      <c r="H93" s="90"/>
      <c r="I93" s="90"/>
      <c r="J93" s="90"/>
      <c r="K93" s="89"/>
      <c r="L93" s="89"/>
      <c r="M93" s="89"/>
      <c r="N93" s="89"/>
      <c r="O93" s="89"/>
      <c r="P93" s="89"/>
      <c r="Q93" s="89"/>
      <c r="R93" s="89"/>
    </row>
    <row r="94" customFormat="false" ht="63" hidden="false" customHeight="true" outlineLevel="0" collapsed="false">
      <c r="B94" s="37" t="s">
        <v>162</v>
      </c>
      <c r="C94" s="37"/>
      <c r="D94" s="37"/>
      <c r="E94" s="81" t="n">
        <v>100000</v>
      </c>
      <c r="F94" s="90" t="s">
        <v>163</v>
      </c>
      <c r="G94" s="91"/>
      <c r="H94" s="91"/>
      <c r="I94" s="91"/>
      <c r="J94" s="91"/>
      <c r="K94" s="89"/>
      <c r="L94" s="89"/>
      <c r="M94" s="89"/>
      <c r="N94" s="89"/>
      <c r="O94" s="89"/>
      <c r="P94" s="89"/>
      <c r="Q94" s="89"/>
      <c r="R94" s="89"/>
    </row>
    <row r="95" customFormat="false" ht="15.75" hidden="false" customHeight="true" outlineLevel="0" collapsed="false">
      <c r="B95" s="82"/>
      <c r="C95" s="82"/>
      <c r="D95" s="82"/>
      <c r="E95" s="83"/>
      <c r="F95" s="92"/>
      <c r="G95" s="92"/>
      <c r="H95" s="92"/>
      <c r="I95" s="92"/>
      <c r="J95" s="92"/>
      <c r="K95" s="89"/>
      <c r="L95" s="89"/>
      <c r="M95" s="89"/>
      <c r="N95" s="89"/>
      <c r="O95" s="89"/>
      <c r="P95" s="89"/>
      <c r="Q95" s="89"/>
      <c r="R95" s="89"/>
    </row>
    <row r="96" customFormat="false" ht="20.25" hidden="false" customHeight="true" outlineLevel="0" collapsed="false">
      <c r="B96" s="80" t="s">
        <v>153</v>
      </c>
      <c r="C96" s="80"/>
      <c r="D96" s="80"/>
      <c r="E96" s="93" t="n">
        <f aca="false">SUM(E89:E95)</f>
        <v>1485860</v>
      </c>
      <c r="F96" s="37" t="s">
        <v>164</v>
      </c>
      <c r="G96" s="37"/>
      <c r="H96" s="37"/>
      <c r="I96" s="37"/>
      <c r="J96" s="37"/>
      <c r="K96" s="89"/>
      <c r="L96" s="89"/>
      <c r="M96" s="89"/>
      <c r="N96" s="89"/>
      <c r="O96" s="89"/>
      <c r="P96" s="89"/>
      <c r="Q96" s="89"/>
      <c r="R96" s="89"/>
    </row>
    <row r="97" customFormat="false" ht="42.75" hidden="false" customHeight="true" outlineLevel="0" collapsed="false">
      <c r="B97" s="94" t="s">
        <v>165</v>
      </c>
      <c r="C97" s="94"/>
      <c r="D97" s="94"/>
      <c r="E97" s="94"/>
      <c r="F97" s="94"/>
      <c r="G97" s="94"/>
      <c r="H97" s="94"/>
      <c r="I97" s="94"/>
      <c r="J97" s="94"/>
      <c r="K97" s="28" t="s">
        <v>18</v>
      </c>
      <c r="L97" s="28"/>
      <c r="M97" s="28"/>
      <c r="N97" s="28"/>
      <c r="O97" s="28"/>
      <c r="P97" s="28"/>
      <c r="Q97" s="28"/>
      <c r="R97" s="28"/>
    </row>
    <row r="98" customFormat="false" ht="30" hidden="false" customHeight="true" outlineLevel="0" collapsed="false">
      <c r="B98" s="68" t="s">
        <v>166</v>
      </c>
      <c r="C98" s="68"/>
      <c r="D98" s="68"/>
      <c r="E98" s="68"/>
      <c r="F98" s="68"/>
      <c r="G98" s="68"/>
      <c r="H98" s="68"/>
      <c r="I98" s="68"/>
      <c r="J98" s="68"/>
      <c r="K98" s="33"/>
      <c r="L98" s="33"/>
      <c r="M98" s="33"/>
      <c r="N98" s="33"/>
      <c r="O98" s="33"/>
      <c r="P98" s="33"/>
      <c r="Q98" s="33"/>
      <c r="R98" s="33"/>
    </row>
    <row r="99" customFormat="false" ht="77.25" hidden="false" customHeight="true" outlineLevel="0" collapsed="false">
      <c r="B99" s="37" t="n">
        <v>2</v>
      </c>
      <c r="C99" s="37"/>
      <c r="D99" s="37"/>
      <c r="E99" s="37"/>
      <c r="F99" s="37"/>
      <c r="G99" s="37"/>
      <c r="H99" s="37"/>
      <c r="I99" s="37"/>
      <c r="J99" s="37"/>
      <c r="K99" s="37" t="s">
        <v>167</v>
      </c>
      <c r="L99" s="37"/>
      <c r="M99" s="37"/>
      <c r="N99" s="37"/>
      <c r="O99" s="37"/>
      <c r="P99" s="37"/>
      <c r="Q99" s="37"/>
      <c r="R99" s="37"/>
    </row>
    <row r="100" customFormat="false" ht="30" hidden="false" customHeight="true" outlineLevel="0" collapsed="false">
      <c r="B100" s="68" t="s">
        <v>168</v>
      </c>
      <c r="C100" s="68"/>
      <c r="D100" s="68"/>
      <c r="E100" s="68"/>
      <c r="F100" s="68"/>
      <c r="G100" s="68"/>
      <c r="H100" s="68"/>
      <c r="I100" s="68"/>
      <c r="J100" s="68"/>
      <c r="K100" s="33"/>
      <c r="L100" s="33"/>
      <c r="M100" s="33"/>
      <c r="N100" s="33"/>
      <c r="O100" s="33"/>
      <c r="P100" s="33"/>
      <c r="Q100" s="33"/>
      <c r="R100" s="33"/>
    </row>
    <row r="101" customFormat="false" ht="124.5" hidden="false" customHeight="true" outlineLevel="0" collapsed="false">
      <c r="B101" s="70" t="s">
        <v>169</v>
      </c>
      <c r="C101" s="70"/>
      <c r="D101" s="70"/>
      <c r="E101" s="70"/>
      <c r="F101" s="70"/>
      <c r="G101" s="70"/>
      <c r="H101" s="70"/>
      <c r="I101" s="70"/>
      <c r="J101" s="70"/>
      <c r="K101" s="37" t="s">
        <v>170</v>
      </c>
      <c r="L101" s="37"/>
      <c r="M101" s="37"/>
      <c r="N101" s="37"/>
      <c r="O101" s="37"/>
      <c r="P101" s="37"/>
      <c r="Q101" s="37"/>
      <c r="R101" s="37"/>
    </row>
    <row r="102" customFormat="false" ht="42.75" hidden="false" customHeight="true" outlineLevel="0" collapsed="false">
      <c r="B102" s="94" t="s">
        <v>171</v>
      </c>
      <c r="C102" s="94"/>
      <c r="D102" s="94"/>
      <c r="E102" s="94"/>
      <c r="F102" s="94"/>
      <c r="G102" s="94"/>
      <c r="H102" s="94"/>
      <c r="I102" s="94"/>
      <c r="J102" s="94"/>
      <c r="K102" s="28" t="s">
        <v>18</v>
      </c>
      <c r="L102" s="28"/>
      <c r="M102" s="28"/>
      <c r="N102" s="28"/>
      <c r="O102" s="28"/>
      <c r="P102" s="28"/>
      <c r="Q102" s="28"/>
      <c r="R102" s="28"/>
    </row>
    <row r="103" customFormat="false" ht="30" hidden="false" customHeight="true" outlineLevel="0" collapsed="false">
      <c r="B103" s="68" t="s">
        <v>172</v>
      </c>
      <c r="C103" s="68"/>
      <c r="D103" s="68"/>
      <c r="E103" s="68"/>
      <c r="F103" s="68"/>
      <c r="G103" s="68"/>
      <c r="H103" s="68"/>
      <c r="I103" s="68"/>
      <c r="J103" s="68"/>
      <c r="K103" s="33"/>
      <c r="L103" s="33"/>
      <c r="M103" s="33"/>
      <c r="N103" s="33"/>
      <c r="O103" s="33"/>
      <c r="P103" s="33"/>
      <c r="Q103" s="33"/>
      <c r="R103" s="33"/>
    </row>
    <row r="104" customFormat="false" ht="109.5" hidden="false" customHeight="true" outlineLevel="0" collapsed="false">
      <c r="B104" s="70" t="s">
        <v>173</v>
      </c>
      <c r="C104" s="70"/>
      <c r="D104" s="70"/>
      <c r="E104" s="70"/>
      <c r="F104" s="70"/>
      <c r="G104" s="70"/>
      <c r="H104" s="70"/>
      <c r="I104" s="70"/>
      <c r="J104" s="70"/>
      <c r="K104" s="37" t="s">
        <v>174</v>
      </c>
      <c r="L104" s="37"/>
      <c r="M104" s="37"/>
      <c r="N104" s="37"/>
      <c r="O104" s="37"/>
      <c r="P104" s="37"/>
      <c r="Q104" s="37"/>
      <c r="R104" s="37"/>
    </row>
    <row r="105" customFormat="false" ht="30" hidden="false" customHeight="true" outlineLevel="0" collapsed="false">
      <c r="B105" s="68" t="s">
        <v>175</v>
      </c>
      <c r="C105" s="68"/>
      <c r="D105" s="68"/>
      <c r="E105" s="68"/>
      <c r="F105" s="68"/>
      <c r="G105" s="68"/>
      <c r="H105" s="68"/>
      <c r="I105" s="68"/>
      <c r="J105" s="68"/>
      <c r="K105" s="33"/>
      <c r="L105" s="33"/>
      <c r="M105" s="33"/>
      <c r="N105" s="33"/>
      <c r="O105" s="33"/>
      <c r="P105" s="33"/>
      <c r="Q105" s="33"/>
      <c r="R105" s="33"/>
    </row>
    <row r="106" customFormat="false" ht="106.5" hidden="false" customHeight="true" outlineLevel="0" collapsed="false">
      <c r="B106" s="70" t="s">
        <v>176</v>
      </c>
      <c r="C106" s="70"/>
      <c r="D106" s="70"/>
      <c r="E106" s="70"/>
      <c r="F106" s="70"/>
      <c r="G106" s="70"/>
      <c r="H106" s="70"/>
      <c r="I106" s="70"/>
      <c r="J106" s="70"/>
      <c r="K106" s="37" t="s">
        <v>177</v>
      </c>
      <c r="L106" s="37"/>
      <c r="M106" s="37"/>
      <c r="N106" s="37"/>
      <c r="O106" s="37"/>
      <c r="P106" s="37"/>
      <c r="Q106" s="37"/>
      <c r="R106" s="37"/>
    </row>
    <row r="107" customFormat="false" ht="42.75" hidden="false" customHeight="true" outlineLevel="0" collapsed="false">
      <c r="B107" s="94" t="s">
        <v>178</v>
      </c>
      <c r="C107" s="94"/>
      <c r="D107" s="94"/>
      <c r="E107" s="94"/>
      <c r="F107" s="94"/>
      <c r="G107" s="94"/>
      <c r="H107" s="94"/>
      <c r="I107" s="94"/>
      <c r="J107" s="94"/>
      <c r="K107" s="28" t="s">
        <v>18</v>
      </c>
      <c r="L107" s="28"/>
      <c r="M107" s="28"/>
      <c r="N107" s="28"/>
      <c r="O107" s="28"/>
      <c r="P107" s="28"/>
      <c r="Q107" s="28"/>
      <c r="R107" s="28"/>
    </row>
    <row r="108" customFormat="false" ht="30" hidden="false" customHeight="true" outlineLevel="0" collapsed="false">
      <c r="B108" s="68" t="s">
        <v>179</v>
      </c>
      <c r="C108" s="68"/>
      <c r="D108" s="68"/>
      <c r="E108" s="68"/>
      <c r="F108" s="68"/>
      <c r="G108" s="68"/>
      <c r="H108" s="68"/>
      <c r="I108" s="68"/>
      <c r="J108" s="68"/>
      <c r="K108" s="33"/>
      <c r="L108" s="33"/>
      <c r="M108" s="33"/>
      <c r="N108" s="33"/>
      <c r="O108" s="33"/>
      <c r="P108" s="33"/>
      <c r="Q108" s="33"/>
      <c r="R108" s="33"/>
    </row>
    <row r="109" customFormat="false" ht="60" hidden="false" customHeight="true" outlineLevel="0" collapsed="false">
      <c r="B109" s="70" t="n">
        <v>2</v>
      </c>
      <c r="C109" s="70"/>
      <c r="D109" s="70"/>
      <c r="E109" s="70"/>
      <c r="F109" s="70"/>
      <c r="G109" s="70"/>
      <c r="H109" s="70"/>
      <c r="I109" s="70"/>
      <c r="J109" s="70"/>
      <c r="K109" s="37" t="s">
        <v>180</v>
      </c>
      <c r="L109" s="37"/>
      <c r="M109" s="37"/>
      <c r="N109" s="37"/>
      <c r="O109" s="37"/>
      <c r="P109" s="37"/>
      <c r="Q109" s="37"/>
      <c r="R109" s="37"/>
    </row>
    <row r="110" customFormat="false" ht="30" hidden="false" customHeight="true" outlineLevel="0" collapsed="false">
      <c r="B110" s="68" t="s">
        <v>181</v>
      </c>
      <c r="C110" s="68"/>
      <c r="D110" s="68"/>
      <c r="E110" s="68"/>
      <c r="F110" s="68"/>
      <c r="G110" s="68"/>
      <c r="H110" s="68"/>
      <c r="I110" s="68"/>
      <c r="J110" s="68"/>
      <c r="K110" s="33"/>
      <c r="L110" s="33"/>
      <c r="M110" s="33"/>
      <c r="N110" s="33"/>
      <c r="O110" s="33"/>
      <c r="P110" s="33"/>
      <c r="Q110" s="33"/>
      <c r="R110" s="33"/>
    </row>
    <row r="111" customFormat="false" ht="87" hidden="false" customHeight="true" outlineLevel="0" collapsed="false">
      <c r="B111" s="70" t="s">
        <v>182</v>
      </c>
      <c r="C111" s="70"/>
      <c r="D111" s="70"/>
      <c r="E111" s="70"/>
      <c r="F111" s="70"/>
      <c r="G111" s="70"/>
      <c r="H111" s="70"/>
      <c r="I111" s="70"/>
      <c r="J111" s="70"/>
      <c r="K111" s="37" t="s">
        <v>183</v>
      </c>
      <c r="L111" s="37"/>
      <c r="M111" s="37"/>
      <c r="N111" s="37"/>
      <c r="O111" s="37"/>
      <c r="P111" s="37"/>
      <c r="Q111" s="37"/>
      <c r="R111" s="37"/>
    </row>
    <row r="112" customFormat="false" ht="30" hidden="false" customHeight="true" outlineLevel="0" collapsed="false">
      <c r="B112" s="68" t="s">
        <v>184</v>
      </c>
      <c r="C112" s="68"/>
      <c r="D112" s="68"/>
      <c r="E112" s="68"/>
      <c r="F112" s="68"/>
      <c r="G112" s="68"/>
      <c r="H112" s="68"/>
      <c r="I112" s="68"/>
      <c r="J112" s="68"/>
      <c r="K112" s="33"/>
      <c r="L112" s="33"/>
      <c r="M112" s="33"/>
      <c r="N112" s="33"/>
      <c r="O112" s="33"/>
      <c r="P112" s="33"/>
      <c r="Q112" s="33"/>
      <c r="R112" s="33"/>
    </row>
    <row r="113" customFormat="false" ht="86.25" hidden="false" customHeight="true" outlineLevel="0" collapsed="false">
      <c r="B113" s="70" t="s">
        <v>185</v>
      </c>
      <c r="C113" s="70"/>
      <c r="D113" s="70"/>
      <c r="E113" s="70"/>
      <c r="F113" s="70"/>
      <c r="G113" s="70"/>
      <c r="H113" s="70"/>
      <c r="I113" s="70"/>
      <c r="J113" s="70"/>
      <c r="K113" s="37" t="s">
        <v>186</v>
      </c>
      <c r="L113" s="37"/>
      <c r="M113" s="37"/>
      <c r="N113" s="37"/>
      <c r="O113" s="37"/>
      <c r="P113" s="37"/>
      <c r="Q113" s="37"/>
      <c r="R113" s="37"/>
    </row>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sheetData>
  <mergeCells count="197">
    <mergeCell ref="B1:R1"/>
    <mergeCell ref="B2:R2"/>
    <mergeCell ref="B3:J5"/>
    <mergeCell ref="K3:R5"/>
    <mergeCell ref="B6:J6"/>
    <mergeCell ref="K6:R6"/>
    <mergeCell ref="B7:J7"/>
    <mergeCell ref="K7:R7"/>
    <mergeCell ref="B8:J8"/>
    <mergeCell ref="K8:R8"/>
    <mergeCell ref="B9:J9"/>
    <mergeCell ref="K9:R9"/>
    <mergeCell ref="B10:J10"/>
    <mergeCell ref="K10:R10"/>
    <mergeCell ref="B11:J11"/>
    <mergeCell ref="K11:R11"/>
    <mergeCell ref="B12:J12"/>
    <mergeCell ref="K12:R12"/>
    <mergeCell ref="B13:J13"/>
    <mergeCell ref="K13:R13"/>
    <mergeCell ref="B14:J14"/>
    <mergeCell ref="K14:R14"/>
    <mergeCell ref="B15:J15"/>
    <mergeCell ref="K15:R15"/>
    <mergeCell ref="B16:J16"/>
    <mergeCell ref="K16:R16"/>
    <mergeCell ref="B17:J17"/>
    <mergeCell ref="K17:R17"/>
    <mergeCell ref="B18:J20"/>
    <mergeCell ref="K18:R20"/>
    <mergeCell ref="B21:J21"/>
    <mergeCell ref="K21:R21"/>
    <mergeCell ref="K22:R22"/>
    <mergeCell ref="B23:J23"/>
    <mergeCell ref="K23:R23"/>
    <mergeCell ref="K24:R24"/>
    <mergeCell ref="C25:J25"/>
    <mergeCell ref="K25:R25"/>
    <mergeCell ref="D26:J26"/>
    <mergeCell ref="K26:R39"/>
    <mergeCell ref="E28:J28"/>
    <mergeCell ref="E29:J29"/>
    <mergeCell ref="E30:J30"/>
    <mergeCell ref="E31:J31"/>
    <mergeCell ref="E32:J32"/>
    <mergeCell ref="E33:J33"/>
    <mergeCell ref="E34:J34"/>
    <mergeCell ref="E35:J35"/>
    <mergeCell ref="E36:J36"/>
    <mergeCell ref="E37:J37"/>
    <mergeCell ref="E38:J38"/>
    <mergeCell ref="B40:J40"/>
    <mergeCell ref="K40:R40"/>
    <mergeCell ref="C41:J41"/>
    <mergeCell ref="K41:R41"/>
    <mergeCell ref="B42:J42"/>
    <mergeCell ref="K42:R42"/>
    <mergeCell ref="C43:J43"/>
    <mergeCell ref="K43:R43"/>
    <mergeCell ref="B44:J44"/>
    <mergeCell ref="K44:R44"/>
    <mergeCell ref="B45:J45"/>
    <mergeCell ref="K45:R45"/>
    <mergeCell ref="B46:J46"/>
    <mergeCell ref="K46:R46"/>
    <mergeCell ref="B47:J47"/>
    <mergeCell ref="K47:R47"/>
    <mergeCell ref="B48:J48"/>
    <mergeCell ref="K48:R48"/>
    <mergeCell ref="B49:J49"/>
    <mergeCell ref="K49:R49"/>
    <mergeCell ref="B50:J50"/>
    <mergeCell ref="K50:R50"/>
    <mergeCell ref="B51:J51"/>
    <mergeCell ref="K51:R51"/>
    <mergeCell ref="B52:J52"/>
    <mergeCell ref="K52:R52"/>
    <mergeCell ref="B53:J53"/>
    <mergeCell ref="K53:R56"/>
    <mergeCell ref="B54:J54"/>
    <mergeCell ref="B55:J55"/>
    <mergeCell ref="B56:J56"/>
    <mergeCell ref="B57:J57"/>
    <mergeCell ref="K57:R57"/>
    <mergeCell ref="B58:J58"/>
    <mergeCell ref="K58:R58"/>
    <mergeCell ref="B59:J59"/>
    <mergeCell ref="K59:R59"/>
    <mergeCell ref="B60:J60"/>
    <mergeCell ref="K60:R60"/>
    <mergeCell ref="B61:J61"/>
    <mergeCell ref="K61:R61"/>
    <mergeCell ref="B62:J62"/>
    <mergeCell ref="K62:R62"/>
    <mergeCell ref="B63:J63"/>
    <mergeCell ref="K63:R63"/>
    <mergeCell ref="B64:J64"/>
    <mergeCell ref="K64:R64"/>
    <mergeCell ref="B65:J65"/>
    <mergeCell ref="K65:R65"/>
    <mergeCell ref="B66:J66"/>
    <mergeCell ref="K66:R66"/>
    <mergeCell ref="B67:J67"/>
    <mergeCell ref="K67:R67"/>
    <mergeCell ref="B68:J68"/>
    <mergeCell ref="K68:R68"/>
    <mergeCell ref="B69:J69"/>
    <mergeCell ref="K69:R69"/>
    <mergeCell ref="B70:J70"/>
    <mergeCell ref="K70:R70"/>
    <mergeCell ref="B71:J71"/>
    <mergeCell ref="K71:R71"/>
    <mergeCell ref="B72:J72"/>
    <mergeCell ref="K72:R72"/>
    <mergeCell ref="B73:J73"/>
    <mergeCell ref="K73:R73"/>
    <mergeCell ref="B74:J74"/>
    <mergeCell ref="K74:R74"/>
    <mergeCell ref="B75:J75"/>
    <mergeCell ref="K75:R75"/>
    <mergeCell ref="B76:J76"/>
    <mergeCell ref="K76:R76"/>
    <mergeCell ref="B77:J77"/>
    <mergeCell ref="K77:R77"/>
    <mergeCell ref="B78:J78"/>
    <mergeCell ref="K78:R78"/>
    <mergeCell ref="B79:J79"/>
    <mergeCell ref="K79:R79"/>
    <mergeCell ref="B80:J80"/>
    <mergeCell ref="K80:R80"/>
    <mergeCell ref="B81:D81"/>
    <mergeCell ref="F81:J81"/>
    <mergeCell ref="K81:R89"/>
    <mergeCell ref="B82:D82"/>
    <mergeCell ref="F82:J82"/>
    <mergeCell ref="B83:D83"/>
    <mergeCell ref="F83:J83"/>
    <mergeCell ref="B84:D84"/>
    <mergeCell ref="F84:J84"/>
    <mergeCell ref="B85:D85"/>
    <mergeCell ref="F85:J85"/>
    <mergeCell ref="B86:D86"/>
    <mergeCell ref="F86:J86"/>
    <mergeCell ref="B87:D87"/>
    <mergeCell ref="F87:J87"/>
    <mergeCell ref="B88:D88"/>
    <mergeCell ref="F88:J88"/>
    <mergeCell ref="B89:D89"/>
    <mergeCell ref="F89:J89"/>
    <mergeCell ref="B90:J90"/>
    <mergeCell ref="K90:R90"/>
    <mergeCell ref="B91:D91"/>
    <mergeCell ref="F91:J91"/>
    <mergeCell ref="K91:R96"/>
    <mergeCell ref="B92:D92"/>
    <mergeCell ref="F92:J92"/>
    <mergeCell ref="B93:D93"/>
    <mergeCell ref="F93:J93"/>
    <mergeCell ref="B94:D94"/>
    <mergeCell ref="B95:D95"/>
    <mergeCell ref="F95:J95"/>
    <mergeCell ref="B96:D96"/>
    <mergeCell ref="F96:J96"/>
    <mergeCell ref="B97:J97"/>
    <mergeCell ref="K97:R97"/>
    <mergeCell ref="B98:J98"/>
    <mergeCell ref="K98:R98"/>
    <mergeCell ref="B99:J99"/>
    <mergeCell ref="K99:R99"/>
    <mergeCell ref="B100:J100"/>
    <mergeCell ref="K100:R100"/>
    <mergeCell ref="B101:J101"/>
    <mergeCell ref="K101:R101"/>
    <mergeCell ref="B102:J102"/>
    <mergeCell ref="K102:R102"/>
    <mergeCell ref="B103:J103"/>
    <mergeCell ref="K103:R103"/>
    <mergeCell ref="B104:J104"/>
    <mergeCell ref="K104:R104"/>
    <mergeCell ref="B105:J105"/>
    <mergeCell ref="K105:R105"/>
    <mergeCell ref="B106:J106"/>
    <mergeCell ref="K106:R106"/>
    <mergeCell ref="B107:J107"/>
    <mergeCell ref="K107:R107"/>
    <mergeCell ref="B108:J108"/>
    <mergeCell ref="K108:R108"/>
    <mergeCell ref="B109:J109"/>
    <mergeCell ref="K109:R109"/>
    <mergeCell ref="B110:J110"/>
    <mergeCell ref="K110:R110"/>
    <mergeCell ref="B111:J111"/>
    <mergeCell ref="K111:R111"/>
    <mergeCell ref="B112:J112"/>
    <mergeCell ref="K112:R112"/>
    <mergeCell ref="B113:J113"/>
    <mergeCell ref="K113:R113"/>
  </mergeCells>
  <conditionalFormatting sqref="B99:J99">
    <cfRule type="expression" priority="2" aboveAverage="0" equalAverage="0" bottom="0" percent="0" rank="0" text="" dxfId="0">
      <formula>AND($B$24="Масштабування власної справи",OR($B$99="",$B$99=0))</formula>
    </cfRule>
  </conditionalFormatting>
  <conditionalFormatting sqref="C26">
    <cfRule type="expression" priority="3" aboveAverage="0" equalAverage="0" bottom="0" percent="0" rank="0" text="" dxfId="1">
      <formula>AND(ISNUMBER(C26),OR(C26&gt;$C$39,AND($B$24="Започаткування власної справи",C26&lt;100000),AND($B$24="Масштабування власної справи",C26&lt;500000)))</formula>
    </cfRule>
  </conditionalFormatting>
  <conditionalFormatting sqref="D39">
    <cfRule type="expression" priority="4" aboveAverage="0" equalAverage="0" bottom="0" percent="0" rank="0" text="" dxfId="2">
      <formula>LEFT(D39,5)="УВАГА"</formula>
    </cfRule>
  </conditionalFormatting>
  <conditionalFormatting sqref="E34">
    <cfRule type="expression" priority="5" aboveAverage="0" equalAverage="0" bottom="0" percent="0" rank="0" text="" dxfId="2">
      <formula>LEFT(E34,5)="УВАГА"</formula>
    </cfRule>
  </conditionalFormatting>
  <conditionalFormatting sqref="E39">
    <cfRule type="expression" priority="6" aboveAverage="0" equalAverage="0" bottom="0" percent="0" rank="0" text="" dxfId="2">
      <formula>LEFT(E39,5)="УВАГА"</formula>
    </cfRule>
  </conditionalFormatting>
  <dataValidations count="9">
    <dataValidation allowBlank="true" errorStyle="stop" operator="between" showDropDown="false" showErrorMessage="true" showInputMessage="true" sqref="B22" type="list">
      <formula1>"24 місяці,36 місяців,60 місяців"</formula1>
      <formula2>0</formula2>
    </dataValidation>
    <dataValidation allowBlank="true" errorStyle="stop" operator="between" showDropDown="false" showErrorMessage="true" showInputMessage="true" sqref="B24" type="list">
      <formula1>"Започаткування власної справи,Масштабування власної справи"</formula1>
      <formula2>0</formula2>
    </dataValidation>
    <dataValidation allowBlank="true" errorStyle="stop" operator="between" showDropDown="false" showErrorMessage="true" showInputMessage="true" sqref="B43" type="list">
      <formula1>"Платник ПДВ,Неплатник ПДВ"</formula1>
      <formula2>0</formula2>
    </dataValidation>
    <dataValidation allowBlank="true" errorStyle="stop" operator="between" showDropDown="false" showErrorMessage="true" showInputMessage="true" sqref="B41" type="list">
      <formula1>"Загальна система,Спрощена система — 1 група (ФОП),Спрощена система — 2 група (ФОП),Спрощена система — 3 група,Спрощена система — 4 група (сільгосптоваровиробники)"</formula1>
      <formula2>0</formula2>
    </dataValidation>
    <dataValidation allowBlank="true" errorStyle="stop" operator="greaterThanOrEqual" showDropDown="false" showErrorMessage="true" showInputMessage="true" sqref="B99:J99" type="whole">
      <formula1>0</formula1>
      <formula2>0</formula2>
    </dataValidation>
    <dataValidation allowBlank="true" errorStyle="stop" operator="greaterThanOrEqual" showDropDown="false" showErrorMessage="true" showInputMessage="true" sqref="C26" type="decimal">
      <formula1>0</formula1>
      <formula2>0</formula2>
    </dataValidation>
    <dataValidation allowBlank="false" errorStyle="stop" operator="between" showDropDown="false" showErrorMessage="false" showInputMessage="false" sqref="C30:C37" type="list">
      <formula1>"Так,Ні"</formula1>
      <formula2>0</formula2>
    </dataValidation>
    <dataValidation allowBlank="false" errorStyle="stop" operator="between" showDropDown="false" showErrorMessage="false" showInputMessage="false" sqref="C29 B44" type="list">
      <formula1>"Платник ПДВ,Неплатник ПДВ"</formula1>
      <formula2>0</formula2>
    </dataValidation>
    <dataValidation allowBlank="false" errorStyle="stop" operator="between" showDropDown="false" showErrorMessage="false" showInputMessage="false" sqref="B42" type="list">
      <formula1>"Загальна система,Спрощена система — 1 група,Спрощена система — 2 група,Спрощена система — 3 група,Спрощена система — 4 група"</formula1>
      <formula2>0</formula2>
    </dataValidation>
  </dataValidations>
  <printOptions headings="false" gridLines="false" gridLinesSet="true" horizontalCentered="false" verticalCentered="false"/>
  <pageMargins left="0.118055555555556" right="0.118055555555556" top="0.157638888888889" bottom="0.157638888888889" header="0.511811023622047" footer="0.511811023622047"/>
  <pageSetup paperSize="9" scale="48"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CG974"/>
  <sheetViews>
    <sheetView showFormulas="false" showGridLines="true" showRowColHeaders="true" showZeros="true" rightToLeft="false" tabSelected="false" showOutlineSymbols="true" defaultGridColor="true" view="normal" topLeftCell="A55" colorId="64" zoomScale="60" zoomScaleNormal="60" zoomScalePageLayoutView="100" workbookViewId="0">
      <selection pane="topLeft" activeCell="B78" activeCellId="0" sqref="B78"/>
    </sheetView>
  </sheetViews>
  <sheetFormatPr defaultColWidth="12.6015625" defaultRowHeight="15" zeroHeight="false" outlineLevelRow="0" outlineLevelCol="0"/>
  <cols>
    <col collapsed="false" customWidth="true" hidden="false" outlineLevel="0" max="1" min="1" style="1" width="4.7"/>
    <col collapsed="false" customWidth="true" hidden="false" outlineLevel="0" max="2" min="2" style="16" width="50.5"/>
    <col collapsed="false" customWidth="true" hidden="false" outlineLevel="0" max="3" min="3" style="16" width="20.1"/>
    <col collapsed="false" customWidth="true" hidden="false" outlineLevel="0" max="4" min="4" style="16" width="17.2"/>
    <col collapsed="false" customWidth="true" hidden="false" outlineLevel="0" max="5" min="5" style="16" width="13.29"/>
    <col collapsed="false" customWidth="true" hidden="false" outlineLevel="0" max="6" min="6" style="16" width="11.79"/>
    <col collapsed="false" customWidth="false" hidden="false" outlineLevel="0" max="7" min="7" style="16" width="12.6"/>
    <col collapsed="false" customWidth="true" hidden="false" outlineLevel="0" max="8" min="8" style="16" width="12.79"/>
    <col collapsed="false" customWidth="true" hidden="false" outlineLevel="0" max="9" min="9" style="16" width="10.2"/>
    <col collapsed="false" customWidth="true" hidden="false" outlineLevel="0" max="10" min="10" style="16" width="10.29"/>
    <col collapsed="false" customWidth="true" hidden="false" outlineLevel="0" max="11" min="11" style="16" width="11"/>
    <col collapsed="false" customWidth="true" hidden="false" outlineLevel="0" max="12" min="12" style="16" width="11.1"/>
    <col collapsed="false" customWidth="true" hidden="false" outlineLevel="0" max="13" min="13" style="16" width="10.9"/>
    <col collapsed="false" customWidth="true" hidden="false" outlineLevel="0" max="15" min="14" style="16" width="10.4"/>
    <col collapsed="false" customWidth="true" hidden="false" outlineLevel="0" max="16" min="16" style="16" width="12.1"/>
    <col collapsed="false" customWidth="true" hidden="false" outlineLevel="0" max="17" min="17" style="16" width="9.9"/>
    <col collapsed="false" customWidth="true" hidden="false" outlineLevel="0" max="18" min="18" style="16" width="10.7"/>
    <col collapsed="false" customWidth="true" hidden="false" outlineLevel="0" max="19" min="19" style="16" width="10.29"/>
    <col collapsed="false" customWidth="true" hidden="false" outlineLevel="0" max="23" min="20" style="16" width="10.1"/>
    <col collapsed="false" customWidth="true" hidden="false" outlineLevel="0" max="24" min="24" style="16" width="12.7"/>
    <col collapsed="false" customWidth="true" hidden="false" outlineLevel="0" max="25" min="25" style="16" width="12.4"/>
    <col collapsed="false" customWidth="true" hidden="false" outlineLevel="0" max="26" min="26" style="16" width="12.9"/>
    <col collapsed="false" customWidth="true" hidden="false" outlineLevel="0" max="27" min="27" style="16" width="14.4"/>
    <col collapsed="false" customWidth="true" hidden="false" outlineLevel="0" max="28" min="28" style="16" width="10.1"/>
    <col collapsed="false" customWidth="true" hidden="false" outlineLevel="0" max="29" min="29" style="16" width="11"/>
    <col collapsed="false" customWidth="true" hidden="false" outlineLevel="0" max="30" min="30" style="16" width="10.7"/>
    <col collapsed="false" customWidth="true" hidden="false" outlineLevel="0" max="31" min="31" style="16" width="11.79"/>
    <col collapsed="false" customWidth="true" hidden="false" outlineLevel="0" max="32" min="32" style="16" width="11.1"/>
    <col collapsed="false" customWidth="true" hidden="false" outlineLevel="0" max="33" min="33" style="16" width="10.6"/>
    <col collapsed="false" customWidth="true" hidden="false" outlineLevel="0" max="34" min="34" style="16" width="11.6"/>
    <col collapsed="false" customWidth="true" hidden="false" outlineLevel="0" max="35" min="35" style="16" width="12.7"/>
    <col collapsed="false" customWidth="false" hidden="false" outlineLevel="0" max="36" min="36" style="16" width="12.6"/>
    <col collapsed="false" customWidth="true" hidden="false" outlineLevel="0" max="37" min="37" style="16" width="13.29"/>
    <col collapsed="false" customWidth="true" hidden="false" outlineLevel="0" max="38" min="38" style="16" width="10.6"/>
    <col collapsed="false" customWidth="true" hidden="false" outlineLevel="0" max="39" min="39" style="16" width="11.19"/>
    <col collapsed="false" customWidth="true" hidden="false" outlineLevel="0" max="40" min="40" style="16" width="11"/>
    <col collapsed="false" customWidth="true" hidden="true" outlineLevel="0" max="41" min="41" style="16" width="11.4"/>
    <col collapsed="false" customWidth="true" hidden="true" outlineLevel="0" max="42" min="42" style="16" width="10.29"/>
    <col collapsed="false" customWidth="true" hidden="true" outlineLevel="0" max="43" min="43" style="16" width="10.5"/>
    <col collapsed="false" customWidth="true" hidden="true" outlineLevel="0" max="45" min="44" style="16" width="11"/>
    <col collapsed="false" customWidth="true" hidden="true" outlineLevel="0" max="46" min="46" style="16" width="9.9"/>
    <col collapsed="false" customWidth="true" hidden="true" outlineLevel="0" max="47" min="47" style="16" width="10.79"/>
    <col collapsed="false" customWidth="true" hidden="true" outlineLevel="0" max="48" min="48" style="16" width="10.6"/>
    <col collapsed="false" customWidth="true" hidden="true" outlineLevel="0" max="49" min="49" style="16" width="10.2"/>
    <col collapsed="false" customWidth="true" hidden="true" outlineLevel="0" max="50" min="50" style="16" width="10"/>
    <col collapsed="false" customWidth="true" hidden="true" outlineLevel="0" max="51" min="51" style="16" width="10.29"/>
    <col collapsed="false" customWidth="true" hidden="true" outlineLevel="0" max="52" min="52" style="16" width="11.3"/>
    <col collapsed="false" customWidth="true" hidden="true" outlineLevel="0" max="53" min="53" style="16" width="10.29"/>
    <col collapsed="false" customWidth="true" hidden="true" outlineLevel="0" max="54" min="54" style="16" width="10.6"/>
    <col collapsed="false" customWidth="true" hidden="true" outlineLevel="0" max="55" min="55" style="16" width="11.5"/>
    <col collapsed="false" customWidth="true" hidden="true" outlineLevel="0" max="56" min="56" style="16" width="12.1"/>
    <col collapsed="false" customWidth="true" hidden="true" outlineLevel="0" max="57" min="57" style="16" width="10.79"/>
    <col collapsed="false" customWidth="true" hidden="true" outlineLevel="0" max="58" min="58" style="16" width="11.6"/>
    <col collapsed="false" customWidth="true" hidden="true" outlineLevel="0" max="59" min="59" style="16" width="10.79"/>
    <col collapsed="false" customWidth="true" hidden="true" outlineLevel="0" max="60" min="60" style="16" width="10.7"/>
    <col collapsed="false" customWidth="true" hidden="true" outlineLevel="0" max="62" min="61" style="16" width="11"/>
    <col collapsed="false" customWidth="true" hidden="true" outlineLevel="0" max="63" min="63" style="16" width="11.9"/>
    <col collapsed="false" customWidth="true" hidden="true" outlineLevel="0" max="64" min="64" style="16" width="10.6"/>
    <col collapsed="false" customWidth="true" hidden="false" outlineLevel="0" max="65" min="65" style="95" width="11.5"/>
    <col collapsed="false" customWidth="true" hidden="false" outlineLevel="0" max="85" min="66" style="1" width="7.6"/>
    <col collapsed="false" customWidth="false" hidden="false" outlineLevel="0" max="16384" min="86" style="1" width="12.6"/>
  </cols>
  <sheetData>
    <row r="1" customFormat="false" ht="15" hidden="false" customHeight="false" outlineLevel="0" collapsed="false">
      <c r="A1" s="96"/>
      <c r="B1" s="97"/>
      <c r="C1" s="97"/>
      <c r="D1" s="97"/>
      <c r="E1" s="97"/>
      <c r="F1" s="97"/>
      <c r="G1" s="97"/>
      <c r="H1" s="97"/>
      <c r="I1" s="97"/>
      <c r="J1" s="97"/>
      <c r="K1" s="97"/>
      <c r="L1" s="97"/>
      <c r="M1" s="97"/>
      <c r="N1" s="97"/>
      <c r="O1" s="97"/>
      <c r="P1" s="97"/>
      <c r="Q1" s="97"/>
      <c r="R1" s="97"/>
      <c r="S1" s="97"/>
      <c r="T1" s="97"/>
      <c r="U1" s="97"/>
      <c r="V1" s="97"/>
      <c r="W1" s="97"/>
      <c r="X1" s="97"/>
      <c r="Y1" s="97"/>
      <c r="Z1" s="97"/>
      <c r="AA1" s="97"/>
      <c r="AB1" s="97"/>
      <c r="AC1" s="97"/>
      <c r="AD1" s="97"/>
      <c r="AE1" s="97"/>
      <c r="AF1" s="97"/>
      <c r="AG1" s="97"/>
      <c r="AH1" s="97"/>
      <c r="AI1" s="97"/>
      <c r="AJ1" s="97"/>
      <c r="AK1" s="97"/>
      <c r="AL1" s="97"/>
      <c r="AM1" s="97"/>
      <c r="AN1" s="97"/>
      <c r="AO1" s="97"/>
      <c r="AP1" s="97"/>
      <c r="AQ1" s="97"/>
      <c r="AR1" s="97"/>
      <c r="AS1" s="97"/>
      <c r="AT1" s="97"/>
      <c r="AU1" s="97"/>
      <c r="AV1" s="97"/>
      <c r="AW1" s="97"/>
      <c r="AX1" s="97"/>
      <c r="AY1" s="97"/>
      <c r="AZ1" s="97"/>
      <c r="BA1" s="97"/>
      <c r="BB1" s="97"/>
      <c r="BC1" s="97"/>
      <c r="BD1" s="97"/>
      <c r="BE1" s="97"/>
      <c r="BF1" s="97"/>
      <c r="BG1" s="97"/>
      <c r="BH1" s="97"/>
      <c r="BI1" s="97"/>
      <c r="BJ1" s="97"/>
      <c r="BK1" s="97"/>
      <c r="BL1" s="97"/>
      <c r="BM1" s="98"/>
      <c r="BN1" s="96"/>
      <c r="BO1" s="96"/>
      <c r="BP1" s="96"/>
      <c r="BQ1" s="96"/>
      <c r="BR1" s="96"/>
      <c r="BS1" s="96"/>
      <c r="BT1" s="96"/>
      <c r="BU1" s="96"/>
      <c r="BV1" s="96"/>
      <c r="BW1" s="96"/>
      <c r="BX1" s="96"/>
      <c r="BY1" s="96"/>
      <c r="BZ1" s="96"/>
      <c r="CA1" s="96"/>
      <c r="CB1" s="96"/>
      <c r="CC1" s="96"/>
      <c r="CD1" s="96"/>
      <c r="CE1" s="96"/>
      <c r="CF1" s="96"/>
      <c r="CG1" s="96"/>
    </row>
    <row r="2" customFormat="false" ht="30" hidden="false" customHeight="true" outlineLevel="0" collapsed="false">
      <c r="A2" s="99"/>
      <c r="B2" s="100" t="s">
        <v>187</v>
      </c>
      <c r="C2" s="100"/>
      <c r="D2" s="100"/>
      <c r="E2" s="101"/>
      <c r="F2" s="102"/>
      <c r="G2" s="102"/>
      <c r="H2" s="103"/>
      <c r="I2" s="102"/>
      <c r="J2" s="103"/>
      <c r="K2" s="103"/>
      <c r="L2" s="102"/>
      <c r="M2" s="102"/>
      <c r="N2" s="102"/>
      <c r="O2" s="102"/>
      <c r="P2" s="102"/>
      <c r="Q2" s="102"/>
      <c r="R2" s="102"/>
      <c r="S2" s="102"/>
      <c r="T2" s="102"/>
      <c r="U2" s="102"/>
      <c r="V2" s="102"/>
      <c r="W2" s="102"/>
      <c r="X2" s="102"/>
      <c r="Y2" s="102"/>
      <c r="Z2" s="102"/>
      <c r="AA2" s="102"/>
      <c r="AB2" s="102"/>
      <c r="AC2" s="102"/>
      <c r="AD2" s="102"/>
      <c r="AE2" s="102"/>
      <c r="AF2" s="102"/>
      <c r="AG2" s="102"/>
      <c r="AH2" s="102"/>
      <c r="AI2" s="102"/>
      <c r="AJ2" s="102"/>
      <c r="AK2" s="102"/>
      <c r="AL2" s="102"/>
      <c r="AM2" s="102"/>
      <c r="AN2" s="102"/>
      <c r="AO2" s="102"/>
      <c r="AP2" s="102"/>
      <c r="AQ2" s="102"/>
      <c r="AR2" s="102"/>
      <c r="AS2" s="102"/>
      <c r="AT2" s="102"/>
      <c r="AU2" s="102"/>
      <c r="AV2" s="102"/>
      <c r="AW2" s="102"/>
      <c r="AX2" s="102"/>
      <c r="AY2" s="102"/>
      <c r="AZ2" s="102"/>
      <c r="BA2" s="102"/>
      <c r="BB2" s="102"/>
      <c r="BC2" s="102"/>
      <c r="BD2" s="102"/>
      <c r="BE2" s="102"/>
      <c r="BF2" s="102"/>
      <c r="BG2" s="102"/>
      <c r="BH2" s="102"/>
      <c r="BI2" s="102"/>
      <c r="BJ2" s="102"/>
      <c r="BK2" s="102"/>
      <c r="BL2" s="102"/>
      <c r="BM2" s="104"/>
      <c r="BN2" s="99"/>
      <c r="BO2" s="99"/>
      <c r="BP2" s="99"/>
      <c r="BQ2" s="99"/>
      <c r="BR2" s="99"/>
      <c r="BS2" s="99"/>
      <c r="BT2" s="99"/>
      <c r="BU2" s="99"/>
      <c r="BV2" s="99"/>
      <c r="BW2" s="99"/>
      <c r="BX2" s="99"/>
      <c r="BY2" s="99"/>
      <c r="BZ2" s="99"/>
      <c r="CA2" s="99"/>
      <c r="CB2" s="99"/>
      <c r="CC2" s="99"/>
      <c r="CD2" s="99"/>
      <c r="CE2" s="99"/>
      <c r="CF2" s="99"/>
      <c r="CG2" s="99"/>
    </row>
    <row r="3" customFormat="false" ht="18" hidden="false" customHeight="true" outlineLevel="0" collapsed="false">
      <c r="A3" s="99"/>
      <c r="B3" s="105"/>
      <c r="C3" s="105"/>
      <c r="D3" s="105"/>
      <c r="F3" s="102"/>
      <c r="G3" s="102"/>
      <c r="H3" s="103"/>
      <c r="I3" s="103"/>
      <c r="J3" s="103"/>
      <c r="K3" s="103"/>
      <c r="L3" s="103"/>
      <c r="M3" s="103"/>
      <c r="N3" s="103"/>
      <c r="O3" s="103"/>
      <c r="P3" s="102"/>
      <c r="Q3" s="102"/>
      <c r="R3" s="102"/>
      <c r="S3" s="102"/>
      <c r="T3" s="102"/>
      <c r="U3" s="102"/>
      <c r="V3" s="102"/>
      <c r="W3" s="102"/>
      <c r="X3" s="102"/>
      <c r="Y3" s="102"/>
      <c r="Z3" s="102"/>
      <c r="AA3" s="102"/>
      <c r="AB3" s="102"/>
      <c r="AC3" s="102"/>
      <c r="AD3" s="102"/>
      <c r="AE3" s="102"/>
      <c r="AF3" s="102"/>
      <c r="AG3" s="102"/>
      <c r="AH3" s="102"/>
      <c r="AI3" s="102"/>
      <c r="AJ3" s="102"/>
      <c r="AK3" s="102"/>
      <c r="AL3" s="102"/>
      <c r="AM3" s="102"/>
      <c r="AN3" s="102"/>
      <c r="AO3" s="102"/>
      <c r="AP3" s="102"/>
      <c r="AQ3" s="102"/>
      <c r="AR3" s="102"/>
      <c r="AS3" s="102"/>
      <c r="AT3" s="102"/>
      <c r="AU3" s="102"/>
      <c r="AV3" s="102"/>
      <c r="AW3" s="102"/>
      <c r="AX3" s="102"/>
      <c r="AY3" s="102"/>
      <c r="AZ3" s="102"/>
      <c r="BA3" s="102"/>
      <c r="BB3" s="102"/>
      <c r="BC3" s="102"/>
      <c r="BD3" s="102"/>
      <c r="BE3" s="102"/>
      <c r="BF3" s="102"/>
      <c r="BG3" s="102"/>
      <c r="BH3" s="102"/>
      <c r="BI3" s="102"/>
      <c r="BJ3" s="102"/>
      <c r="BK3" s="102"/>
      <c r="BL3" s="102"/>
      <c r="BM3" s="104"/>
      <c r="BN3" s="99"/>
      <c r="BO3" s="99"/>
      <c r="BP3" s="99"/>
      <c r="BQ3" s="99"/>
      <c r="BR3" s="99"/>
      <c r="BS3" s="99"/>
      <c r="BT3" s="99"/>
      <c r="BU3" s="99"/>
      <c r="BV3" s="99"/>
      <c r="BW3" s="99"/>
      <c r="BX3" s="99"/>
      <c r="BY3" s="99"/>
      <c r="BZ3" s="99"/>
      <c r="CA3" s="99"/>
      <c r="CB3" s="99"/>
      <c r="CC3" s="99"/>
      <c r="CD3" s="99"/>
      <c r="CE3" s="99"/>
      <c r="CF3" s="99"/>
      <c r="CG3" s="99"/>
    </row>
    <row r="4" customFormat="false" ht="15.75" hidden="false" customHeight="true" outlineLevel="0" collapsed="false">
      <c r="A4" s="20" t="s">
        <v>68</v>
      </c>
      <c r="B4" s="32" t="s">
        <v>188</v>
      </c>
      <c r="C4" s="32"/>
      <c r="D4" s="41" t="s">
        <v>189</v>
      </c>
      <c r="E4" s="41"/>
      <c r="F4" s="41"/>
      <c r="G4" s="41"/>
      <c r="H4" s="41"/>
      <c r="I4" s="41"/>
      <c r="J4" s="106"/>
      <c r="K4" s="106"/>
      <c r="L4" s="106"/>
      <c r="M4" s="106"/>
      <c r="N4" s="103"/>
      <c r="O4" s="102"/>
      <c r="P4" s="102"/>
      <c r="Q4" s="102"/>
      <c r="R4" s="102"/>
      <c r="S4" s="102"/>
      <c r="T4" s="102"/>
      <c r="U4" s="102"/>
      <c r="V4" s="102"/>
      <c r="W4" s="102"/>
      <c r="X4" s="102"/>
      <c r="Y4" s="102"/>
      <c r="Z4" s="102"/>
      <c r="AA4" s="102"/>
      <c r="AB4" s="102"/>
      <c r="AC4" s="102"/>
      <c r="AD4" s="102"/>
      <c r="AE4" s="102"/>
      <c r="AF4" s="102"/>
      <c r="AG4" s="102"/>
      <c r="AH4" s="102"/>
      <c r="AI4" s="102"/>
      <c r="AJ4" s="102"/>
      <c r="AK4" s="102"/>
      <c r="AL4" s="102"/>
      <c r="AM4" s="102"/>
      <c r="AN4" s="102"/>
      <c r="AO4" s="102"/>
      <c r="AP4" s="102"/>
      <c r="AQ4" s="102"/>
      <c r="AR4" s="102"/>
      <c r="AS4" s="102"/>
      <c r="AT4" s="102"/>
      <c r="AU4" s="102"/>
      <c r="AV4" s="102"/>
      <c r="AW4" s="102"/>
      <c r="AX4" s="102"/>
      <c r="AY4" s="102"/>
      <c r="AZ4" s="102"/>
      <c r="BA4" s="102"/>
      <c r="BB4" s="102"/>
      <c r="BC4" s="102"/>
      <c r="BD4" s="102"/>
      <c r="BE4" s="102"/>
      <c r="BF4" s="102"/>
      <c r="BG4" s="102"/>
      <c r="BH4" s="102"/>
      <c r="BI4" s="102"/>
      <c r="BJ4" s="102"/>
      <c r="BK4" s="102"/>
      <c r="BL4" s="102"/>
      <c r="BM4" s="104"/>
      <c r="BN4" s="99"/>
      <c r="BO4" s="99"/>
      <c r="BP4" s="99"/>
      <c r="BQ4" s="99"/>
      <c r="BR4" s="99"/>
      <c r="BS4" s="99"/>
      <c r="BT4" s="99"/>
      <c r="BU4" s="99"/>
      <c r="BV4" s="99"/>
      <c r="BW4" s="99"/>
      <c r="BX4" s="99"/>
      <c r="BY4" s="99"/>
      <c r="BZ4" s="99"/>
      <c r="CA4" s="99"/>
      <c r="CB4" s="99"/>
      <c r="CC4" s="99"/>
      <c r="CD4" s="99"/>
      <c r="CE4" s="99"/>
      <c r="CF4" s="99"/>
      <c r="CG4" s="99"/>
    </row>
    <row r="5" customFormat="false" ht="15" hidden="false" customHeight="true" outlineLevel="0" collapsed="false">
      <c r="A5" s="99"/>
      <c r="B5" s="105"/>
      <c r="C5" s="105"/>
      <c r="D5" s="105"/>
      <c r="E5" s="101"/>
      <c r="F5" s="102"/>
      <c r="G5" s="102"/>
      <c r="H5" s="103"/>
      <c r="I5" s="103"/>
      <c r="J5" s="103"/>
      <c r="K5" s="103"/>
      <c r="L5" s="103"/>
      <c r="M5" s="103"/>
      <c r="N5" s="103"/>
      <c r="O5" s="102"/>
      <c r="P5" s="102"/>
      <c r="Q5" s="102"/>
      <c r="R5" s="102"/>
      <c r="S5" s="102"/>
      <c r="T5" s="102"/>
      <c r="U5" s="102"/>
      <c r="V5" s="102"/>
      <c r="W5" s="102"/>
      <c r="X5" s="102"/>
      <c r="Y5" s="102"/>
      <c r="Z5" s="102"/>
      <c r="AA5" s="102"/>
      <c r="AB5" s="102"/>
      <c r="AC5" s="102"/>
      <c r="AD5" s="102"/>
      <c r="AE5" s="102"/>
      <c r="AF5" s="102"/>
      <c r="AG5" s="102"/>
      <c r="AH5" s="102"/>
      <c r="AI5" s="102"/>
      <c r="AJ5" s="102"/>
      <c r="AK5" s="102"/>
      <c r="AL5" s="102"/>
      <c r="AM5" s="102"/>
      <c r="AN5" s="102"/>
      <c r="AO5" s="102"/>
      <c r="AP5" s="102"/>
      <c r="AQ5" s="102"/>
      <c r="AR5" s="102"/>
      <c r="AS5" s="102"/>
      <c r="AT5" s="102"/>
      <c r="AU5" s="102"/>
      <c r="AV5" s="102"/>
      <c r="AW5" s="102"/>
      <c r="AX5" s="102"/>
      <c r="AY5" s="102"/>
      <c r="AZ5" s="102"/>
      <c r="BA5" s="102"/>
      <c r="BB5" s="102"/>
      <c r="BC5" s="102"/>
      <c r="BD5" s="102"/>
      <c r="BE5" s="102"/>
      <c r="BF5" s="102"/>
      <c r="BG5" s="102"/>
      <c r="BH5" s="102"/>
      <c r="BI5" s="102"/>
      <c r="BJ5" s="102"/>
      <c r="BK5" s="102"/>
      <c r="BL5" s="102"/>
      <c r="BM5" s="104"/>
      <c r="BN5" s="99"/>
      <c r="BO5" s="99"/>
      <c r="BP5" s="99"/>
      <c r="BQ5" s="99"/>
      <c r="BR5" s="99"/>
      <c r="BS5" s="99"/>
      <c r="BT5" s="99"/>
      <c r="BU5" s="99"/>
      <c r="BV5" s="99"/>
      <c r="BW5" s="99"/>
      <c r="BX5" s="99"/>
      <c r="BY5" s="99"/>
      <c r="BZ5" s="99"/>
      <c r="CA5" s="99"/>
      <c r="CB5" s="99"/>
      <c r="CC5" s="99"/>
      <c r="CD5" s="99"/>
      <c r="CE5" s="99"/>
      <c r="CF5" s="99"/>
      <c r="CG5" s="99"/>
    </row>
    <row r="6" customFormat="false" ht="15" hidden="false" customHeight="true" outlineLevel="0" collapsed="false">
      <c r="A6" s="96"/>
      <c r="B6" s="32" t="s">
        <v>190</v>
      </c>
      <c r="C6" s="32"/>
      <c r="D6" s="32"/>
      <c r="E6" s="32"/>
      <c r="F6" s="32"/>
      <c r="G6" s="32"/>
      <c r="H6" s="32"/>
      <c r="I6" s="32"/>
      <c r="J6" s="32"/>
      <c r="K6" s="32"/>
      <c r="L6" s="32"/>
      <c r="M6" s="32"/>
      <c r="O6" s="102"/>
      <c r="P6" s="102"/>
      <c r="Q6" s="102"/>
      <c r="R6" s="102"/>
      <c r="S6" s="102"/>
      <c r="T6" s="102"/>
      <c r="U6" s="102"/>
      <c r="V6" s="102"/>
      <c r="BM6" s="107"/>
      <c r="BN6" s="108"/>
      <c r="BO6" s="96"/>
      <c r="BP6" s="99"/>
      <c r="BQ6" s="99"/>
      <c r="BR6" s="99"/>
      <c r="BS6" s="99"/>
      <c r="BT6" s="99"/>
      <c r="BU6" s="96"/>
      <c r="BV6" s="96"/>
      <c r="BW6" s="96"/>
      <c r="BX6" s="96"/>
      <c r="BY6" s="96"/>
      <c r="BZ6" s="96"/>
      <c r="CA6" s="96"/>
      <c r="CB6" s="96"/>
      <c r="CC6" s="96"/>
      <c r="CD6" s="96"/>
      <c r="CE6" s="96"/>
      <c r="CF6" s="96"/>
      <c r="CG6" s="96"/>
    </row>
    <row r="7" customFormat="false" ht="16.5" hidden="false" customHeight="true" outlineLevel="0" collapsed="false">
      <c r="A7" s="96"/>
      <c r="B7" s="32"/>
      <c r="C7" s="32"/>
      <c r="D7" s="32"/>
      <c r="E7" s="32"/>
      <c r="F7" s="32"/>
      <c r="G7" s="32"/>
      <c r="H7" s="32"/>
      <c r="I7" s="32"/>
      <c r="J7" s="32"/>
      <c r="K7" s="32"/>
      <c r="L7" s="32"/>
      <c r="M7" s="32"/>
      <c r="U7" s="109"/>
      <c r="V7" s="109"/>
      <c r="W7" s="109"/>
      <c r="X7" s="109"/>
      <c r="Y7" s="109"/>
      <c r="Z7" s="109"/>
      <c r="AA7" s="109"/>
      <c r="AB7" s="109"/>
      <c r="AC7" s="109"/>
      <c r="AD7" s="109"/>
      <c r="AE7" s="109"/>
      <c r="AF7" s="109"/>
      <c r="AG7" s="109"/>
      <c r="AH7" s="109"/>
      <c r="AI7" s="109"/>
      <c r="AJ7" s="109"/>
      <c r="AK7" s="109"/>
      <c r="AL7" s="109"/>
      <c r="AM7" s="109"/>
      <c r="AN7" s="109"/>
      <c r="AO7" s="109"/>
      <c r="AP7" s="109"/>
      <c r="AQ7" s="109"/>
      <c r="AR7" s="109"/>
      <c r="AS7" s="109"/>
      <c r="AT7" s="109"/>
      <c r="AU7" s="109"/>
      <c r="AV7" s="109"/>
      <c r="AW7" s="109"/>
      <c r="AX7" s="109"/>
      <c r="AY7" s="109"/>
      <c r="AZ7" s="109"/>
      <c r="BA7" s="109"/>
      <c r="BB7" s="109"/>
      <c r="BC7" s="109"/>
      <c r="BD7" s="109"/>
      <c r="BE7" s="109"/>
      <c r="BF7" s="109"/>
      <c r="BG7" s="109"/>
      <c r="BH7" s="109"/>
      <c r="BI7" s="109"/>
      <c r="BJ7" s="109"/>
      <c r="BK7" s="109"/>
      <c r="BL7" s="109"/>
      <c r="BM7" s="110"/>
      <c r="BN7" s="108"/>
      <c r="BO7" s="96"/>
      <c r="BP7" s="99"/>
      <c r="BQ7" s="99"/>
      <c r="BR7" s="99"/>
      <c r="BS7" s="99"/>
      <c r="BT7" s="99"/>
      <c r="BU7" s="96"/>
      <c r="BV7" s="96"/>
      <c r="BW7" s="96"/>
      <c r="BX7" s="96"/>
      <c r="BY7" s="96"/>
      <c r="BZ7" s="96"/>
      <c r="CA7" s="96"/>
      <c r="CB7" s="96"/>
      <c r="CC7" s="96"/>
      <c r="CD7" s="96"/>
      <c r="CE7" s="96"/>
      <c r="CF7" s="96"/>
      <c r="CG7" s="96"/>
    </row>
    <row r="8" customFormat="false" ht="18" hidden="false" customHeight="true" outlineLevel="0" collapsed="false">
      <c r="A8" s="96"/>
      <c r="B8" s="32"/>
      <c r="C8" s="32"/>
      <c r="D8" s="32"/>
      <c r="E8" s="32"/>
      <c r="F8" s="32"/>
      <c r="G8" s="32"/>
      <c r="H8" s="32"/>
      <c r="I8" s="32"/>
      <c r="J8" s="32"/>
      <c r="K8" s="32"/>
      <c r="L8" s="32"/>
      <c r="M8" s="32"/>
      <c r="AW8" s="111"/>
      <c r="AX8" s="111"/>
      <c r="AY8" s="111"/>
      <c r="AZ8" s="111"/>
      <c r="BA8" s="111"/>
      <c r="BB8" s="111"/>
      <c r="BC8" s="111"/>
      <c r="BD8" s="111"/>
      <c r="BE8" s="111"/>
      <c r="BF8" s="111"/>
      <c r="BG8" s="111"/>
      <c r="BH8" s="111"/>
      <c r="BI8" s="111"/>
      <c r="BJ8" s="111"/>
      <c r="BK8" s="111"/>
      <c r="BL8" s="111"/>
      <c r="BM8" s="110"/>
      <c r="BN8" s="108"/>
      <c r="BO8" s="96"/>
      <c r="BP8" s="99"/>
      <c r="BQ8" s="99"/>
      <c r="BR8" s="99"/>
      <c r="BS8" s="99"/>
      <c r="BT8" s="99"/>
      <c r="BU8" s="96"/>
      <c r="BV8" s="96"/>
      <c r="BW8" s="96"/>
      <c r="BX8" s="96"/>
      <c r="BY8" s="96"/>
      <c r="BZ8" s="96"/>
      <c r="CA8" s="96"/>
      <c r="CB8" s="96"/>
      <c r="CC8" s="96"/>
      <c r="CD8" s="96"/>
      <c r="CE8" s="96"/>
      <c r="CF8" s="96"/>
      <c r="CG8" s="96"/>
    </row>
    <row r="9" customFormat="false" ht="18.75" hidden="false" customHeight="true" outlineLevel="0" collapsed="false">
      <c r="A9" s="96"/>
      <c r="B9" s="101"/>
      <c r="C9" s="101"/>
      <c r="D9" s="102"/>
      <c r="E9" s="102"/>
      <c r="F9" s="102"/>
      <c r="H9" s="101"/>
      <c r="J9" s="102"/>
      <c r="K9" s="102"/>
      <c r="L9" s="102"/>
      <c r="M9" s="102"/>
      <c r="N9" s="112"/>
      <c r="O9" s="112"/>
      <c r="P9" s="112"/>
      <c r="Q9" s="112"/>
      <c r="R9" s="112"/>
      <c r="S9" s="112"/>
      <c r="T9" s="112"/>
      <c r="U9" s="112"/>
      <c r="V9" s="112"/>
      <c r="W9" s="112"/>
      <c r="X9" s="112"/>
      <c r="Y9" s="112"/>
      <c r="Z9" s="112"/>
      <c r="AA9" s="112"/>
      <c r="AB9" s="112"/>
      <c r="AC9" s="112"/>
      <c r="AD9" s="112"/>
      <c r="AE9" s="112"/>
      <c r="AF9" s="112"/>
      <c r="AG9" s="112"/>
      <c r="AH9" s="112"/>
      <c r="AI9" s="112"/>
      <c r="AJ9" s="112"/>
      <c r="AK9" s="112"/>
      <c r="AL9" s="112"/>
      <c r="AM9" s="112"/>
      <c r="AN9" s="112"/>
      <c r="AO9" s="112"/>
      <c r="AP9" s="112"/>
      <c r="AQ9" s="112"/>
      <c r="AR9" s="112"/>
      <c r="AS9" s="112"/>
      <c r="AT9" s="112"/>
      <c r="AU9" s="112"/>
      <c r="AV9" s="112"/>
      <c r="AW9" s="112"/>
      <c r="AX9" s="112"/>
      <c r="AY9" s="112"/>
      <c r="AZ9" s="112"/>
      <c r="BA9" s="112"/>
      <c r="BB9" s="112"/>
      <c r="BC9" s="112"/>
      <c r="BD9" s="112"/>
      <c r="BE9" s="112"/>
      <c r="BF9" s="112"/>
      <c r="BG9" s="112"/>
      <c r="BH9" s="112"/>
      <c r="BI9" s="112"/>
      <c r="BJ9" s="112"/>
      <c r="BK9" s="112"/>
      <c r="BL9" s="112"/>
      <c r="BM9" s="113"/>
      <c r="BN9" s="108"/>
      <c r="BO9" s="96"/>
      <c r="BP9" s="99"/>
      <c r="BQ9" s="99"/>
      <c r="BR9" s="99"/>
      <c r="BS9" s="99"/>
      <c r="BT9" s="99"/>
      <c r="BU9" s="96"/>
      <c r="BV9" s="96"/>
      <c r="BW9" s="96"/>
      <c r="BX9" s="96"/>
      <c r="BY9" s="96"/>
      <c r="BZ9" s="96"/>
      <c r="CA9" s="96"/>
      <c r="CB9" s="96"/>
      <c r="CC9" s="96"/>
      <c r="CD9" s="96"/>
      <c r="CE9" s="96"/>
      <c r="CF9" s="96"/>
      <c r="CG9" s="96"/>
    </row>
    <row r="10" customFormat="false" ht="14.25" hidden="false" customHeight="true" outlineLevel="0" collapsed="false">
      <c r="A10" s="96"/>
      <c r="B10" s="114" t="s">
        <v>191</v>
      </c>
      <c r="C10" s="115" t="n">
        <f aca="false">'Бізнес план'!$C$26</f>
        <v>1000000</v>
      </c>
      <c r="D10" s="102"/>
      <c r="E10" s="102"/>
      <c r="F10" s="102"/>
      <c r="G10" s="102"/>
      <c r="H10" s="102"/>
      <c r="I10" s="102"/>
      <c r="J10" s="102"/>
      <c r="K10" s="102"/>
      <c r="L10" s="102"/>
      <c r="M10" s="102"/>
      <c r="N10" s="102"/>
      <c r="O10" s="102"/>
      <c r="P10" s="102"/>
      <c r="Q10" s="102"/>
      <c r="R10" s="102"/>
      <c r="S10" s="102"/>
      <c r="T10" s="102"/>
      <c r="U10" s="102"/>
      <c r="V10" s="102"/>
      <c r="W10" s="102"/>
      <c r="X10" s="102"/>
      <c r="Y10" s="102"/>
      <c r="Z10" s="102"/>
      <c r="AA10" s="102"/>
      <c r="AB10" s="102"/>
      <c r="AC10" s="102"/>
      <c r="AD10" s="102"/>
      <c r="AE10" s="102"/>
      <c r="AF10" s="102"/>
      <c r="AG10" s="102"/>
      <c r="AH10" s="102"/>
      <c r="AI10" s="102"/>
      <c r="AJ10" s="102"/>
      <c r="AK10" s="102"/>
      <c r="AL10" s="102"/>
      <c r="AM10" s="102"/>
      <c r="AN10" s="102"/>
      <c r="AO10" s="102"/>
      <c r="AP10" s="102"/>
      <c r="AQ10" s="102"/>
      <c r="AR10" s="102"/>
      <c r="AS10" s="102"/>
      <c r="AT10" s="102"/>
      <c r="AU10" s="102"/>
      <c r="AV10" s="102"/>
      <c r="AW10" s="102"/>
      <c r="AX10" s="102"/>
      <c r="AY10" s="102"/>
      <c r="AZ10" s="102"/>
      <c r="BA10" s="102"/>
      <c r="BB10" s="102"/>
      <c r="BC10" s="102"/>
      <c r="BD10" s="102"/>
      <c r="BE10" s="102"/>
      <c r="BF10" s="102"/>
      <c r="BG10" s="102"/>
      <c r="BH10" s="102"/>
      <c r="BI10" s="102"/>
      <c r="BJ10" s="102"/>
      <c r="BK10" s="102"/>
      <c r="BL10" s="102"/>
      <c r="BM10" s="104"/>
      <c r="BN10" s="108"/>
      <c r="BO10" s="96"/>
      <c r="BP10" s="99"/>
      <c r="BQ10" s="99"/>
      <c r="BR10" s="99"/>
      <c r="BS10" s="99"/>
      <c r="BT10" s="99"/>
      <c r="BU10" s="96"/>
      <c r="BV10" s="96"/>
      <c r="BW10" s="96"/>
      <c r="BX10" s="96"/>
      <c r="BY10" s="96"/>
      <c r="BZ10" s="96"/>
      <c r="CA10" s="96"/>
      <c r="CB10" s="96"/>
      <c r="CC10" s="96"/>
      <c r="CD10" s="96"/>
      <c r="CE10" s="96"/>
      <c r="CF10" s="96"/>
      <c r="CG10" s="96"/>
    </row>
    <row r="11" customFormat="false" ht="15.75" hidden="false" customHeight="true" outlineLevel="0" collapsed="false">
      <c r="A11" s="96"/>
      <c r="B11" s="116" t="s">
        <v>192</v>
      </c>
      <c r="C11" s="117" t="str">
        <f aca="false">'Бізнес план'!B22</f>
        <v>36 місяців</v>
      </c>
      <c r="D11" s="102"/>
      <c r="E11" s="102"/>
      <c r="F11" s="102"/>
      <c r="G11" s="102"/>
      <c r="H11" s="102"/>
      <c r="I11" s="102"/>
      <c r="J11" s="102"/>
      <c r="K11" s="102"/>
      <c r="L11" s="102"/>
      <c r="M11" s="102"/>
      <c r="N11" s="102"/>
      <c r="O11" s="102"/>
      <c r="P11" s="102"/>
      <c r="Q11" s="102"/>
      <c r="R11" s="102"/>
      <c r="S11" s="102"/>
      <c r="T11" s="102"/>
      <c r="U11" s="102"/>
      <c r="V11" s="102"/>
      <c r="W11" s="102"/>
      <c r="X11" s="102"/>
      <c r="Y11" s="102"/>
      <c r="Z11" s="102"/>
      <c r="AA11" s="102"/>
      <c r="AB11" s="102"/>
      <c r="AC11" s="102"/>
      <c r="AD11" s="102"/>
      <c r="AE11" s="102"/>
      <c r="AF11" s="102"/>
      <c r="AG11" s="102"/>
      <c r="AH11" s="102"/>
      <c r="AI11" s="102"/>
      <c r="AJ11" s="102"/>
      <c r="AK11" s="102"/>
      <c r="AL11" s="102"/>
      <c r="AM11" s="102"/>
      <c r="AN11" s="102"/>
      <c r="AO11" s="102"/>
      <c r="AP11" s="102"/>
      <c r="AQ11" s="102"/>
      <c r="AR11" s="102"/>
      <c r="AS11" s="102"/>
      <c r="AT11" s="102"/>
      <c r="AU11" s="102"/>
      <c r="AV11" s="102"/>
      <c r="AW11" s="102"/>
      <c r="AX11" s="102"/>
      <c r="AY11" s="102"/>
      <c r="AZ11" s="102"/>
      <c r="BA11" s="102"/>
      <c r="BB11" s="102"/>
      <c r="BC11" s="102"/>
      <c r="BD11" s="102"/>
      <c r="BE11" s="102"/>
      <c r="BF11" s="102"/>
      <c r="BG11" s="102"/>
      <c r="BH11" s="102"/>
      <c r="BI11" s="102"/>
      <c r="BJ11" s="102"/>
      <c r="BK11" s="102"/>
      <c r="BL11" s="102"/>
      <c r="BM11" s="104"/>
      <c r="BN11" s="108"/>
      <c r="BO11" s="96"/>
      <c r="BP11" s="99"/>
      <c r="BQ11" s="99"/>
      <c r="BR11" s="99"/>
      <c r="BS11" s="99"/>
      <c r="BT11" s="99"/>
      <c r="BU11" s="96"/>
      <c r="BV11" s="96"/>
      <c r="BW11" s="96"/>
      <c r="BX11" s="96"/>
      <c r="BY11" s="96"/>
      <c r="BZ11" s="96"/>
      <c r="CA11" s="96"/>
      <c r="CB11" s="96"/>
      <c r="CC11" s="96"/>
      <c r="CD11" s="96"/>
      <c r="CE11" s="96"/>
      <c r="CF11" s="96"/>
      <c r="CG11" s="96"/>
    </row>
    <row r="12" customFormat="false" ht="46.5" hidden="false" customHeight="true" outlineLevel="0" collapsed="false">
      <c r="A12" s="96"/>
      <c r="B12" s="118" t="s">
        <v>193</v>
      </c>
      <c r="C12" s="118"/>
      <c r="D12" s="118"/>
      <c r="E12" s="119" t="s">
        <v>194</v>
      </c>
      <c r="F12" s="119"/>
      <c r="G12" s="119"/>
      <c r="H12" s="119"/>
      <c r="I12" s="119"/>
      <c r="J12" s="119"/>
      <c r="K12" s="119"/>
      <c r="L12" s="119"/>
      <c r="M12" s="119"/>
      <c r="N12" s="119"/>
      <c r="O12" s="119"/>
      <c r="P12" s="119"/>
      <c r="Q12" s="119"/>
      <c r="R12" s="119"/>
      <c r="S12" s="119"/>
      <c r="T12" s="119"/>
      <c r="U12" s="119"/>
      <c r="V12" s="119"/>
      <c r="W12" s="119"/>
      <c r="X12" s="119"/>
      <c r="Y12" s="119"/>
      <c r="Z12" s="119"/>
      <c r="AA12" s="119"/>
      <c r="AB12" s="119"/>
      <c r="AC12" s="119"/>
      <c r="AD12" s="119"/>
      <c r="AE12" s="119"/>
      <c r="AF12" s="119"/>
      <c r="AG12" s="119"/>
      <c r="AH12" s="119"/>
      <c r="AI12" s="119"/>
      <c r="AJ12" s="119"/>
      <c r="AK12" s="119"/>
      <c r="AL12" s="119"/>
      <c r="AM12" s="119"/>
      <c r="AN12" s="119"/>
      <c r="AO12" s="119"/>
      <c r="AP12" s="119"/>
      <c r="AQ12" s="119"/>
      <c r="AR12" s="119"/>
      <c r="AS12" s="119"/>
      <c r="AT12" s="119"/>
      <c r="AU12" s="119"/>
      <c r="AV12" s="119"/>
      <c r="AW12" s="119"/>
      <c r="AX12" s="119"/>
      <c r="AY12" s="119"/>
      <c r="AZ12" s="119"/>
      <c r="BA12" s="119"/>
      <c r="BB12" s="119"/>
      <c r="BC12" s="119"/>
      <c r="BD12" s="119"/>
      <c r="BE12" s="119"/>
      <c r="BF12" s="119"/>
      <c r="BG12" s="119"/>
      <c r="BH12" s="119"/>
      <c r="BI12" s="119"/>
      <c r="BJ12" s="119"/>
      <c r="BK12" s="119"/>
      <c r="BL12" s="119"/>
      <c r="BM12" s="119"/>
      <c r="BN12" s="108"/>
      <c r="BO12" s="96"/>
      <c r="BP12" s="99"/>
      <c r="BQ12" s="99"/>
      <c r="BR12" s="99"/>
      <c r="BS12" s="99"/>
      <c r="BT12" s="99"/>
      <c r="BU12" s="96"/>
      <c r="BV12" s="96"/>
      <c r="BW12" s="96"/>
      <c r="BX12" s="96"/>
      <c r="BY12" s="96"/>
      <c r="BZ12" s="96"/>
      <c r="CA12" s="96"/>
      <c r="CB12" s="96"/>
      <c r="CC12" s="96"/>
      <c r="CD12" s="96"/>
      <c r="CE12" s="96"/>
      <c r="CF12" s="96"/>
      <c r="CG12" s="96"/>
    </row>
    <row r="13" customFormat="false" ht="57.75" hidden="false" customHeight="true" outlineLevel="0" collapsed="false">
      <c r="A13" s="96"/>
      <c r="B13" s="120" t="s">
        <v>195</v>
      </c>
      <c r="C13" s="121" t="s">
        <v>196</v>
      </c>
      <c r="D13" s="122" t="s">
        <v>197</v>
      </c>
      <c r="E13" s="123" t="n">
        <v>1</v>
      </c>
      <c r="F13" s="123" t="n">
        <v>2</v>
      </c>
      <c r="G13" s="123" t="n">
        <v>3</v>
      </c>
      <c r="H13" s="123" t="n">
        <v>4</v>
      </c>
      <c r="I13" s="123" t="n">
        <v>5</v>
      </c>
      <c r="J13" s="123" t="n">
        <v>6</v>
      </c>
      <c r="K13" s="123" t="n">
        <v>7</v>
      </c>
      <c r="L13" s="123" t="n">
        <v>8</v>
      </c>
      <c r="M13" s="123" t="n">
        <v>9</v>
      </c>
      <c r="N13" s="123" t="n">
        <v>10</v>
      </c>
      <c r="O13" s="123" t="n">
        <v>11</v>
      </c>
      <c r="P13" s="123" t="n">
        <v>12</v>
      </c>
      <c r="Q13" s="123" t="n">
        <v>13</v>
      </c>
      <c r="R13" s="123" t="n">
        <v>14</v>
      </c>
      <c r="S13" s="123" t="n">
        <v>15</v>
      </c>
      <c r="T13" s="123" t="n">
        <v>16</v>
      </c>
      <c r="U13" s="123" t="n">
        <v>17</v>
      </c>
      <c r="V13" s="123" t="n">
        <v>18</v>
      </c>
      <c r="W13" s="123" t="n">
        <v>19</v>
      </c>
      <c r="X13" s="123" t="n">
        <v>20</v>
      </c>
      <c r="Y13" s="123" t="n">
        <v>21</v>
      </c>
      <c r="Z13" s="123" t="n">
        <v>22</v>
      </c>
      <c r="AA13" s="123" t="n">
        <v>23</v>
      </c>
      <c r="AB13" s="123" t="n">
        <v>24</v>
      </c>
      <c r="AC13" s="123" t="n">
        <v>25</v>
      </c>
      <c r="AD13" s="123" t="n">
        <v>26</v>
      </c>
      <c r="AE13" s="123" t="n">
        <v>27</v>
      </c>
      <c r="AF13" s="123" t="n">
        <v>28</v>
      </c>
      <c r="AG13" s="123" t="n">
        <v>29</v>
      </c>
      <c r="AH13" s="123" t="n">
        <v>30</v>
      </c>
      <c r="AI13" s="123" t="n">
        <v>31</v>
      </c>
      <c r="AJ13" s="123" t="n">
        <v>32</v>
      </c>
      <c r="AK13" s="123" t="n">
        <v>33</v>
      </c>
      <c r="AL13" s="123" t="n">
        <v>34</v>
      </c>
      <c r="AM13" s="123" t="n">
        <v>35</v>
      </c>
      <c r="AN13" s="123" t="n">
        <v>36</v>
      </c>
      <c r="AO13" s="123" t="n">
        <v>37</v>
      </c>
      <c r="AP13" s="123" t="n">
        <v>38</v>
      </c>
      <c r="AQ13" s="123" t="n">
        <v>39</v>
      </c>
      <c r="AR13" s="123" t="n">
        <v>40</v>
      </c>
      <c r="AS13" s="123" t="n">
        <v>41</v>
      </c>
      <c r="AT13" s="123" t="n">
        <v>42</v>
      </c>
      <c r="AU13" s="123" t="n">
        <v>43</v>
      </c>
      <c r="AV13" s="123" t="n">
        <v>44</v>
      </c>
      <c r="AW13" s="123" t="n">
        <v>45</v>
      </c>
      <c r="AX13" s="123" t="n">
        <v>46</v>
      </c>
      <c r="AY13" s="123" t="n">
        <v>47</v>
      </c>
      <c r="AZ13" s="123" t="n">
        <v>48</v>
      </c>
      <c r="BA13" s="123" t="n">
        <v>49</v>
      </c>
      <c r="BB13" s="123" t="n">
        <v>50</v>
      </c>
      <c r="BC13" s="123" t="n">
        <v>51</v>
      </c>
      <c r="BD13" s="123" t="n">
        <v>52</v>
      </c>
      <c r="BE13" s="123" t="n">
        <v>53</v>
      </c>
      <c r="BF13" s="123" t="n">
        <v>54</v>
      </c>
      <c r="BG13" s="123" t="n">
        <v>55</v>
      </c>
      <c r="BH13" s="123" t="n">
        <v>56</v>
      </c>
      <c r="BI13" s="123" t="n">
        <v>57</v>
      </c>
      <c r="BJ13" s="123" t="n">
        <v>58</v>
      </c>
      <c r="BK13" s="123" t="n">
        <v>59</v>
      </c>
      <c r="BL13" s="123" t="n">
        <v>60</v>
      </c>
      <c r="BM13" s="124" t="s">
        <v>198</v>
      </c>
      <c r="BN13" s="108"/>
      <c r="BO13" s="96"/>
      <c r="BP13" s="99"/>
      <c r="BQ13" s="99"/>
      <c r="BR13" s="99"/>
      <c r="BS13" s="99"/>
      <c r="BT13" s="99"/>
      <c r="BU13" s="96"/>
      <c r="BV13" s="96"/>
      <c r="BW13" s="96"/>
      <c r="BX13" s="96"/>
      <c r="BY13" s="96"/>
      <c r="BZ13" s="96"/>
      <c r="CA13" s="96"/>
      <c r="CB13" s="96"/>
      <c r="CC13" s="96"/>
      <c r="CD13" s="96"/>
      <c r="CE13" s="96"/>
      <c r="CF13" s="96"/>
      <c r="CG13" s="96"/>
    </row>
    <row r="14" customFormat="false" ht="22.5" hidden="false" customHeight="true" outlineLevel="0" collapsed="false">
      <c r="A14" s="96"/>
      <c r="B14" s="125" t="s">
        <v>199</v>
      </c>
      <c r="C14" s="126"/>
      <c r="D14" s="127" t="n">
        <v>0</v>
      </c>
      <c r="E14" s="128" t="n">
        <f aca="false">$C$10</f>
        <v>1000000</v>
      </c>
      <c r="F14" s="129" t="s">
        <v>200</v>
      </c>
      <c r="G14" s="129" t="s">
        <v>200</v>
      </c>
      <c r="H14" s="129" t="s">
        <v>200</v>
      </c>
      <c r="I14" s="129" t="s">
        <v>200</v>
      </c>
      <c r="J14" s="129" t="s">
        <v>200</v>
      </c>
      <c r="K14" s="129" t="s">
        <v>200</v>
      </c>
      <c r="L14" s="129" t="s">
        <v>200</v>
      </c>
      <c r="M14" s="129" t="s">
        <v>200</v>
      </c>
      <c r="N14" s="129" t="s">
        <v>200</v>
      </c>
      <c r="O14" s="129" t="s">
        <v>200</v>
      </c>
      <c r="P14" s="129" t="s">
        <v>200</v>
      </c>
      <c r="Q14" s="129" t="s">
        <v>200</v>
      </c>
      <c r="R14" s="129" t="s">
        <v>200</v>
      </c>
      <c r="S14" s="129" t="s">
        <v>200</v>
      </c>
      <c r="T14" s="129" t="s">
        <v>200</v>
      </c>
      <c r="U14" s="129" t="s">
        <v>200</v>
      </c>
      <c r="V14" s="129" t="s">
        <v>200</v>
      </c>
      <c r="W14" s="129" t="s">
        <v>200</v>
      </c>
      <c r="X14" s="129" t="s">
        <v>200</v>
      </c>
      <c r="Y14" s="129" t="s">
        <v>200</v>
      </c>
      <c r="Z14" s="129" t="s">
        <v>200</v>
      </c>
      <c r="AA14" s="129" t="s">
        <v>200</v>
      </c>
      <c r="AB14" s="129" t="s">
        <v>200</v>
      </c>
      <c r="AC14" s="129" t="s">
        <v>200</v>
      </c>
      <c r="AD14" s="129" t="s">
        <v>200</v>
      </c>
      <c r="AE14" s="129" t="s">
        <v>200</v>
      </c>
      <c r="AF14" s="129" t="s">
        <v>200</v>
      </c>
      <c r="AG14" s="129" t="s">
        <v>200</v>
      </c>
      <c r="AH14" s="129" t="s">
        <v>200</v>
      </c>
      <c r="AI14" s="129" t="s">
        <v>200</v>
      </c>
      <c r="AJ14" s="129" t="s">
        <v>200</v>
      </c>
      <c r="AK14" s="129" t="s">
        <v>200</v>
      </c>
      <c r="AL14" s="129" t="s">
        <v>200</v>
      </c>
      <c r="AM14" s="129" t="s">
        <v>200</v>
      </c>
      <c r="AN14" s="129" t="s">
        <v>200</v>
      </c>
      <c r="AO14" s="129" t="s">
        <v>200</v>
      </c>
      <c r="AP14" s="129" t="s">
        <v>200</v>
      </c>
      <c r="AQ14" s="129" t="s">
        <v>200</v>
      </c>
      <c r="AR14" s="129" t="s">
        <v>200</v>
      </c>
      <c r="AS14" s="129" t="s">
        <v>200</v>
      </c>
      <c r="AT14" s="129" t="s">
        <v>200</v>
      </c>
      <c r="AU14" s="129" t="s">
        <v>200</v>
      </c>
      <c r="AV14" s="129" t="s">
        <v>200</v>
      </c>
      <c r="AW14" s="129" t="s">
        <v>200</v>
      </c>
      <c r="AX14" s="129" t="s">
        <v>200</v>
      </c>
      <c r="AY14" s="129" t="s">
        <v>200</v>
      </c>
      <c r="AZ14" s="129" t="s">
        <v>200</v>
      </c>
      <c r="BA14" s="129" t="s">
        <v>200</v>
      </c>
      <c r="BB14" s="129" t="s">
        <v>200</v>
      </c>
      <c r="BC14" s="129" t="s">
        <v>200</v>
      </c>
      <c r="BD14" s="129" t="s">
        <v>200</v>
      </c>
      <c r="BE14" s="129" t="s">
        <v>200</v>
      </c>
      <c r="BF14" s="129" t="s">
        <v>200</v>
      </c>
      <c r="BG14" s="129" t="s">
        <v>200</v>
      </c>
      <c r="BH14" s="129" t="s">
        <v>200</v>
      </c>
      <c r="BI14" s="129" t="s">
        <v>200</v>
      </c>
      <c r="BJ14" s="129" t="s">
        <v>200</v>
      </c>
      <c r="BK14" s="129" t="s">
        <v>200</v>
      </c>
      <c r="BL14" s="130" t="s">
        <v>200</v>
      </c>
      <c r="BM14" s="131" t="n">
        <f aca="false">IF($C$11="24 місяці",SUM(E14:AB14),IF($C$11="36 місяців",SUM(E14:AN14),SUM(E14:BL14)))</f>
        <v>1000000</v>
      </c>
      <c r="BN14" s="108"/>
      <c r="BO14" s="96"/>
      <c r="BP14" s="99"/>
      <c r="BQ14" s="99"/>
      <c r="BR14" s="99"/>
      <c r="BS14" s="99"/>
      <c r="BT14" s="99"/>
      <c r="BU14" s="96"/>
      <c r="BV14" s="96"/>
      <c r="BW14" s="96"/>
      <c r="BX14" s="96"/>
      <c r="BY14" s="96"/>
      <c r="BZ14" s="96"/>
      <c r="CA14" s="96"/>
      <c r="CB14" s="96"/>
      <c r="CC14" s="96"/>
      <c r="CD14" s="96"/>
      <c r="CE14" s="96"/>
      <c r="CF14" s="96"/>
      <c r="CG14" s="96"/>
    </row>
    <row r="15" customFormat="false" ht="78" hidden="false" customHeight="true" outlineLevel="0" collapsed="false">
      <c r="A15" s="96"/>
      <c r="B15" s="132" t="s">
        <v>201</v>
      </c>
      <c r="C15" s="133" t="s">
        <v>202</v>
      </c>
      <c r="D15" s="134" t="n">
        <v>0</v>
      </c>
      <c r="E15" s="131" t="n">
        <v>210000</v>
      </c>
      <c r="F15" s="131" t="n">
        <v>0</v>
      </c>
      <c r="G15" s="131" t="n">
        <v>0</v>
      </c>
      <c r="H15" s="131" t="n">
        <v>0</v>
      </c>
      <c r="I15" s="131" t="n">
        <v>0</v>
      </c>
      <c r="J15" s="131" t="n">
        <v>0</v>
      </c>
      <c r="K15" s="131" t="n">
        <v>0</v>
      </c>
      <c r="L15" s="131" t="n">
        <v>0</v>
      </c>
      <c r="M15" s="131" t="n">
        <v>0</v>
      </c>
      <c r="N15" s="131" t="n">
        <v>0</v>
      </c>
      <c r="O15" s="131" t="n">
        <v>0</v>
      </c>
      <c r="P15" s="131" t="n">
        <v>0</v>
      </c>
      <c r="Q15" s="131" t="n">
        <v>275860</v>
      </c>
      <c r="R15" s="131" t="n">
        <v>0</v>
      </c>
      <c r="S15" s="131" t="n">
        <v>0</v>
      </c>
      <c r="T15" s="131" t="n">
        <v>0</v>
      </c>
      <c r="U15" s="131" t="n">
        <v>0</v>
      </c>
      <c r="V15" s="131" t="n">
        <v>0</v>
      </c>
      <c r="W15" s="131" t="n">
        <v>0</v>
      </c>
      <c r="X15" s="131" t="n">
        <v>0</v>
      </c>
      <c r="Y15" s="131" t="n">
        <v>0</v>
      </c>
      <c r="Z15" s="131" t="n">
        <v>0</v>
      </c>
      <c r="AA15" s="131" t="n">
        <v>0</v>
      </c>
      <c r="AB15" s="131" t="n">
        <v>0</v>
      </c>
      <c r="AC15" s="131" t="n">
        <v>0</v>
      </c>
      <c r="AD15" s="131" t="n">
        <v>0</v>
      </c>
      <c r="AE15" s="131" t="n">
        <v>0</v>
      </c>
      <c r="AF15" s="131" t="n">
        <v>0</v>
      </c>
      <c r="AG15" s="131" t="n">
        <v>0</v>
      </c>
      <c r="AH15" s="131" t="n">
        <v>0</v>
      </c>
      <c r="AI15" s="131" t="n">
        <v>0</v>
      </c>
      <c r="AJ15" s="131" t="n">
        <v>0</v>
      </c>
      <c r="AK15" s="131" t="n">
        <v>0</v>
      </c>
      <c r="AL15" s="131" t="n">
        <v>0</v>
      </c>
      <c r="AM15" s="131" t="n">
        <v>0</v>
      </c>
      <c r="AN15" s="131" t="n">
        <v>0</v>
      </c>
      <c r="AO15" s="131" t="n">
        <v>0</v>
      </c>
      <c r="AP15" s="131" t="n">
        <v>0</v>
      </c>
      <c r="AQ15" s="131" t="n">
        <v>0</v>
      </c>
      <c r="AR15" s="131" t="n">
        <v>0</v>
      </c>
      <c r="AS15" s="131" t="n">
        <v>0</v>
      </c>
      <c r="AT15" s="131" t="n">
        <v>0</v>
      </c>
      <c r="AU15" s="131" t="n">
        <v>0</v>
      </c>
      <c r="AV15" s="131" t="n">
        <v>0</v>
      </c>
      <c r="AW15" s="131" t="n">
        <v>0</v>
      </c>
      <c r="AX15" s="131" t="n">
        <v>0</v>
      </c>
      <c r="AY15" s="131" t="n">
        <v>0</v>
      </c>
      <c r="AZ15" s="131" t="n">
        <v>0</v>
      </c>
      <c r="BA15" s="131" t="n">
        <v>0</v>
      </c>
      <c r="BB15" s="131" t="n">
        <v>0</v>
      </c>
      <c r="BC15" s="131" t="n">
        <v>0</v>
      </c>
      <c r="BD15" s="131" t="n">
        <v>0</v>
      </c>
      <c r="BE15" s="131" t="n">
        <v>0</v>
      </c>
      <c r="BF15" s="131" t="n">
        <v>0</v>
      </c>
      <c r="BG15" s="131" t="n">
        <v>0</v>
      </c>
      <c r="BH15" s="131" t="n">
        <v>0</v>
      </c>
      <c r="BI15" s="131" t="n">
        <v>0</v>
      </c>
      <c r="BJ15" s="131" t="n">
        <v>0</v>
      </c>
      <c r="BK15" s="131" t="n">
        <v>0</v>
      </c>
      <c r="BL15" s="135" t="n">
        <v>0</v>
      </c>
      <c r="BM15" s="136" t="n">
        <f aca="false">IF($C$11="24 місяці",SUM(E15:AB15),IF($C$11="36 місяців",SUM(E15:AN15),SUM(E15:BL15)))</f>
        <v>485860</v>
      </c>
      <c r="BN15" s="108"/>
      <c r="BO15" s="96"/>
      <c r="BP15" s="99"/>
      <c r="BQ15" s="99"/>
      <c r="BR15" s="99"/>
      <c r="BS15" s="99"/>
      <c r="BT15" s="99"/>
      <c r="BU15" s="96"/>
      <c r="BV15" s="96"/>
      <c r="BW15" s="96"/>
      <c r="BX15" s="96"/>
      <c r="BY15" s="96"/>
      <c r="BZ15" s="96"/>
      <c r="CA15" s="96"/>
      <c r="CB15" s="96"/>
      <c r="CC15" s="96"/>
      <c r="CD15" s="96"/>
      <c r="CE15" s="96"/>
      <c r="CF15" s="96"/>
      <c r="CG15" s="96"/>
    </row>
    <row r="16" customFormat="false" ht="78" hidden="false" customHeight="true" outlineLevel="0" collapsed="false">
      <c r="A16" s="96"/>
      <c r="B16" s="137" t="s">
        <v>203</v>
      </c>
      <c r="C16" s="138" t="s">
        <v>204</v>
      </c>
      <c r="D16" s="45"/>
      <c r="E16" s="139" t="n">
        <v>40000</v>
      </c>
      <c r="F16" s="139" t="n">
        <v>40000</v>
      </c>
      <c r="G16" s="139" t="n">
        <v>55000</v>
      </c>
      <c r="H16" s="139" t="n">
        <v>55000</v>
      </c>
      <c r="I16" s="139" t="n">
        <v>55000</v>
      </c>
      <c r="J16" s="139" t="n">
        <v>115000</v>
      </c>
      <c r="K16" s="139" t="n">
        <v>115000</v>
      </c>
      <c r="L16" s="139" t="n">
        <v>115000</v>
      </c>
      <c r="M16" s="139" t="n">
        <v>130000</v>
      </c>
      <c r="N16" s="139" t="n">
        <v>130000</v>
      </c>
      <c r="O16" s="139" t="n">
        <v>130000</v>
      </c>
      <c r="P16" s="139" t="n">
        <v>130000</v>
      </c>
      <c r="Q16" s="139" t="n">
        <v>155000</v>
      </c>
      <c r="R16" s="139" t="n">
        <v>155000</v>
      </c>
      <c r="S16" s="139" t="n">
        <v>155000</v>
      </c>
      <c r="T16" s="139" t="n">
        <v>155000</v>
      </c>
      <c r="U16" s="139" t="n">
        <v>155000</v>
      </c>
      <c r="V16" s="139" t="n">
        <v>155000</v>
      </c>
      <c r="W16" s="139" t="n">
        <v>170000</v>
      </c>
      <c r="X16" s="139" t="n">
        <v>170000</v>
      </c>
      <c r="Y16" s="139" t="n">
        <v>170000</v>
      </c>
      <c r="Z16" s="139" t="n">
        <v>170000</v>
      </c>
      <c r="AA16" s="139" t="n">
        <v>170000</v>
      </c>
      <c r="AB16" s="139" t="n">
        <v>170000</v>
      </c>
      <c r="AC16" s="139" t="n">
        <v>185000</v>
      </c>
      <c r="AD16" s="139" t="n">
        <v>185000</v>
      </c>
      <c r="AE16" s="139" t="n">
        <v>185000</v>
      </c>
      <c r="AF16" s="139" t="n">
        <v>185000</v>
      </c>
      <c r="AG16" s="139" t="n">
        <v>185000</v>
      </c>
      <c r="AH16" s="139" t="n">
        <v>185000</v>
      </c>
      <c r="AI16" s="139" t="n">
        <v>185000</v>
      </c>
      <c r="AJ16" s="139" t="n">
        <v>185000</v>
      </c>
      <c r="AK16" s="139" t="n">
        <v>185000</v>
      </c>
      <c r="AL16" s="139" t="n">
        <v>185000</v>
      </c>
      <c r="AM16" s="139" t="n">
        <v>185000</v>
      </c>
      <c r="AN16" s="139" t="n">
        <v>185000</v>
      </c>
      <c r="AO16" s="139" t="n">
        <v>0</v>
      </c>
      <c r="AP16" s="139" t="n">
        <v>0</v>
      </c>
      <c r="AQ16" s="139" t="n">
        <v>0</v>
      </c>
      <c r="AR16" s="139" t="n">
        <v>0</v>
      </c>
      <c r="AS16" s="139" t="n">
        <v>0</v>
      </c>
      <c r="AT16" s="139" t="n">
        <v>0</v>
      </c>
      <c r="AU16" s="139" t="n">
        <v>0</v>
      </c>
      <c r="AV16" s="139" t="n">
        <v>0</v>
      </c>
      <c r="AW16" s="139" t="n">
        <v>0</v>
      </c>
      <c r="AX16" s="139" t="n">
        <v>0</v>
      </c>
      <c r="AY16" s="139" t="n">
        <v>0</v>
      </c>
      <c r="AZ16" s="139" t="n">
        <v>0</v>
      </c>
      <c r="BA16" s="139" t="n">
        <v>0</v>
      </c>
      <c r="BB16" s="139" t="n">
        <v>0</v>
      </c>
      <c r="BC16" s="139" t="n">
        <v>0</v>
      </c>
      <c r="BD16" s="139" t="n">
        <v>0</v>
      </c>
      <c r="BE16" s="139" t="n">
        <v>0</v>
      </c>
      <c r="BF16" s="139" t="n">
        <v>0</v>
      </c>
      <c r="BG16" s="139" t="n">
        <v>0</v>
      </c>
      <c r="BH16" s="139" t="n">
        <v>0</v>
      </c>
      <c r="BI16" s="139" t="n">
        <v>0</v>
      </c>
      <c r="BJ16" s="139" t="n">
        <v>0</v>
      </c>
      <c r="BK16" s="139" t="n">
        <v>0</v>
      </c>
      <c r="BL16" s="140" t="n">
        <v>0</v>
      </c>
      <c r="BM16" s="131" t="n">
        <f aca="false">IF($C$11="24 місяці",SUM(E16:AB16),IF($C$11="36 місяців",SUM(E16:AN16),SUM(E16:BL16)))</f>
        <v>5280000</v>
      </c>
      <c r="BN16" s="96"/>
      <c r="BO16" s="96"/>
      <c r="BP16" s="96"/>
      <c r="BQ16" s="96"/>
      <c r="BR16" s="96"/>
      <c r="BS16" s="96"/>
      <c r="BT16" s="96"/>
      <c r="BU16" s="96"/>
      <c r="BV16" s="96"/>
      <c r="BW16" s="96"/>
      <c r="BX16" s="96"/>
      <c r="BY16" s="96"/>
      <c r="BZ16" s="96"/>
      <c r="CA16" s="96"/>
      <c r="CB16" s="96"/>
      <c r="CC16" s="96"/>
      <c r="CD16" s="96"/>
      <c r="CE16" s="96"/>
      <c r="CF16" s="96"/>
      <c r="CG16" s="96"/>
    </row>
    <row r="17" customFormat="false" ht="63" hidden="false" customHeight="true" outlineLevel="0" collapsed="false">
      <c r="A17" s="96"/>
      <c r="B17" s="137" t="s">
        <v>205</v>
      </c>
      <c r="C17" s="138" t="s">
        <v>206</v>
      </c>
      <c r="D17" s="45"/>
      <c r="E17" s="45" t="n">
        <v>22000</v>
      </c>
      <c r="F17" s="45" t="n">
        <v>22000</v>
      </c>
      <c r="G17" s="45" t="n">
        <v>22000</v>
      </c>
      <c r="H17" s="45" t="n">
        <v>22000</v>
      </c>
      <c r="I17" s="45" t="n">
        <v>22000</v>
      </c>
      <c r="J17" s="45" t="n">
        <v>22000</v>
      </c>
      <c r="K17" s="45" t="n">
        <v>27000</v>
      </c>
      <c r="L17" s="45" t="n">
        <v>27000</v>
      </c>
      <c r="M17" s="45" t="n">
        <v>27000</v>
      </c>
      <c r="N17" s="45" t="n">
        <v>27000</v>
      </c>
      <c r="O17" s="45" t="n">
        <v>27000</v>
      </c>
      <c r="P17" s="45" t="n">
        <v>27000</v>
      </c>
      <c r="Q17" s="45" t="n">
        <v>32000</v>
      </c>
      <c r="R17" s="45" t="n">
        <v>32000</v>
      </c>
      <c r="S17" s="45" t="n">
        <v>32000</v>
      </c>
      <c r="T17" s="45" t="n">
        <v>32000</v>
      </c>
      <c r="U17" s="45" t="n">
        <v>32000</v>
      </c>
      <c r="V17" s="45" t="n">
        <v>32000</v>
      </c>
      <c r="W17" s="45" t="n">
        <v>32000</v>
      </c>
      <c r="X17" s="45" t="n">
        <v>32000</v>
      </c>
      <c r="Y17" s="45" t="n">
        <v>32000</v>
      </c>
      <c r="Z17" s="45" t="n">
        <v>32000</v>
      </c>
      <c r="AA17" s="45" t="n">
        <v>32000</v>
      </c>
      <c r="AB17" s="45" t="n">
        <v>32000</v>
      </c>
      <c r="AC17" s="45" t="n">
        <v>49000</v>
      </c>
      <c r="AD17" s="45" t="n">
        <v>49000</v>
      </c>
      <c r="AE17" s="45" t="n">
        <v>49000</v>
      </c>
      <c r="AF17" s="45" t="n">
        <v>49000</v>
      </c>
      <c r="AG17" s="45" t="n">
        <v>49000</v>
      </c>
      <c r="AH17" s="45" t="n">
        <v>49000</v>
      </c>
      <c r="AI17" s="45" t="n">
        <v>49000</v>
      </c>
      <c r="AJ17" s="45" t="n">
        <v>49000</v>
      </c>
      <c r="AK17" s="45" t="n">
        <v>49000</v>
      </c>
      <c r="AL17" s="45" t="n">
        <v>49000</v>
      </c>
      <c r="AM17" s="45" t="n">
        <v>49000</v>
      </c>
      <c r="AN17" s="45" t="n">
        <v>49000</v>
      </c>
      <c r="AO17" s="45" t="n">
        <v>0</v>
      </c>
      <c r="AP17" s="45" t="n">
        <v>0</v>
      </c>
      <c r="AQ17" s="45" t="n">
        <v>0</v>
      </c>
      <c r="AR17" s="45" t="n">
        <v>0</v>
      </c>
      <c r="AS17" s="45" t="n">
        <v>0</v>
      </c>
      <c r="AT17" s="45" t="n">
        <v>0</v>
      </c>
      <c r="AU17" s="45" t="n">
        <v>0</v>
      </c>
      <c r="AV17" s="45" t="n">
        <v>0</v>
      </c>
      <c r="AW17" s="45" t="n">
        <v>0</v>
      </c>
      <c r="AX17" s="45" t="n">
        <v>0</v>
      </c>
      <c r="AY17" s="45" t="n">
        <v>0</v>
      </c>
      <c r="AZ17" s="45" t="n">
        <v>0</v>
      </c>
      <c r="BA17" s="45" t="n">
        <v>0</v>
      </c>
      <c r="BB17" s="45" t="n">
        <v>0</v>
      </c>
      <c r="BC17" s="45" t="n">
        <v>0</v>
      </c>
      <c r="BD17" s="45" t="n">
        <v>0</v>
      </c>
      <c r="BE17" s="45" t="n">
        <v>0</v>
      </c>
      <c r="BF17" s="45" t="n">
        <v>0</v>
      </c>
      <c r="BG17" s="45" t="n">
        <v>0</v>
      </c>
      <c r="BH17" s="45" t="n">
        <v>0</v>
      </c>
      <c r="BI17" s="45" t="n">
        <v>0</v>
      </c>
      <c r="BJ17" s="45" t="n">
        <v>0</v>
      </c>
      <c r="BK17" s="45" t="n">
        <v>0</v>
      </c>
      <c r="BL17" s="141" t="n">
        <v>0</v>
      </c>
      <c r="BM17" s="131" t="n">
        <f aca="false">IF($C$11="24 місяці",SUM(E17:AB17),IF($C$11="36 місяців",SUM(E17:AN17),SUM(E17:BL17)))</f>
        <v>1266000</v>
      </c>
      <c r="BN17" s="96"/>
      <c r="BO17" s="96"/>
      <c r="BP17" s="96"/>
      <c r="BQ17" s="96"/>
      <c r="BR17" s="96"/>
      <c r="BS17" s="96"/>
      <c r="BT17" s="96"/>
      <c r="BU17" s="96"/>
      <c r="BV17" s="96"/>
      <c r="BW17" s="96"/>
      <c r="BX17" s="96"/>
      <c r="BY17" s="96"/>
      <c r="BZ17" s="96"/>
      <c r="CA17" s="96"/>
      <c r="CB17" s="96"/>
      <c r="CC17" s="96"/>
      <c r="CD17" s="96"/>
      <c r="CE17" s="96"/>
      <c r="CF17" s="96"/>
      <c r="CG17" s="96"/>
    </row>
    <row r="18" customFormat="false" ht="14.25" hidden="false" customHeight="true" outlineLevel="0" collapsed="false">
      <c r="A18" s="96"/>
      <c r="B18" s="125" t="s">
        <v>207</v>
      </c>
      <c r="C18" s="142"/>
      <c r="D18" s="60"/>
      <c r="E18" s="45" t="n">
        <v>0</v>
      </c>
      <c r="F18" s="45" t="n">
        <v>0</v>
      </c>
      <c r="G18" s="45" t="n">
        <v>0</v>
      </c>
      <c r="H18" s="45" t="n">
        <v>0</v>
      </c>
      <c r="I18" s="45" t="n">
        <v>0</v>
      </c>
      <c r="J18" s="45" t="n">
        <v>0</v>
      </c>
      <c r="K18" s="45" t="n">
        <v>0</v>
      </c>
      <c r="L18" s="45" t="n">
        <v>0</v>
      </c>
      <c r="M18" s="45" t="n">
        <v>0</v>
      </c>
      <c r="N18" s="45" t="n">
        <v>0</v>
      </c>
      <c r="O18" s="45" t="n">
        <v>0</v>
      </c>
      <c r="P18" s="45" t="n">
        <v>0</v>
      </c>
      <c r="Q18" s="45" t="n">
        <v>0</v>
      </c>
      <c r="R18" s="45" t="n">
        <v>0</v>
      </c>
      <c r="S18" s="45" t="n">
        <v>0</v>
      </c>
      <c r="T18" s="45" t="n">
        <v>0</v>
      </c>
      <c r="U18" s="45" t="n">
        <v>0</v>
      </c>
      <c r="V18" s="45" t="n">
        <v>0</v>
      </c>
      <c r="W18" s="45" t="n">
        <v>0</v>
      </c>
      <c r="X18" s="45" t="n">
        <v>0</v>
      </c>
      <c r="Y18" s="45" t="n">
        <v>0</v>
      </c>
      <c r="Z18" s="45" t="n">
        <v>0</v>
      </c>
      <c r="AA18" s="45" t="n">
        <v>0</v>
      </c>
      <c r="AB18" s="45" t="n">
        <v>0</v>
      </c>
      <c r="AC18" s="45" t="n">
        <v>0</v>
      </c>
      <c r="AD18" s="45" t="n">
        <v>0</v>
      </c>
      <c r="AE18" s="45" t="n">
        <v>0</v>
      </c>
      <c r="AF18" s="45" t="n">
        <v>0</v>
      </c>
      <c r="AG18" s="45" t="n">
        <v>0</v>
      </c>
      <c r="AH18" s="45" t="n">
        <v>0</v>
      </c>
      <c r="AI18" s="45" t="n">
        <v>0</v>
      </c>
      <c r="AJ18" s="45" t="n">
        <v>0</v>
      </c>
      <c r="AK18" s="45" t="n">
        <v>0</v>
      </c>
      <c r="AL18" s="45" t="n">
        <v>0</v>
      </c>
      <c r="AM18" s="45" t="n">
        <v>0</v>
      </c>
      <c r="AN18" s="45" t="n">
        <v>0</v>
      </c>
      <c r="AO18" s="45" t="n">
        <v>0</v>
      </c>
      <c r="AP18" s="45" t="n">
        <v>0</v>
      </c>
      <c r="AQ18" s="45" t="n">
        <v>0</v>
      </c>
      <c r="AR18" s="45" t="n">
        <v>0</v>
      </c>
      <c r="AS18" s="45" t="n">
        <v>0</v>
      </c>
      <c r="AT18" s="45" t="n">
        <v>0</v>
      </c>
      <c r="AU18" s="45" t="n">
        <v>0</v>
      </c>
      <c r="AV18" s="45" t="n">
        <v>0</v>
      </c>
      <c r="AW18" s="45" t="n">
        <v>0</v>
      </c>
      <c r="AX18" s="45" t="n">
        <v>0</v>
      </c>
      <c r="AY18" s="45" t="n">
        <v>0</v>
      </c>
      <c r="AZ18" s="45" t="n">
        <v>0</v>
      </c>
      <c r="BA18" s="45" t="n">
        <v>0</v>
      </c>
      <c r="BB18" s="45" t="n">
        <v>0</v>
      </c>
      <c r="BC18" s="45" t="n">
        <v>0</v>
      </c>
      <c r="BD18" s="45" t="n">
        <v>0</v>
      </c>
      <c r="BE18" s="45" t="n">
        <v>0</v>
      </c>
      <c r="BF18" s="45" t="n">
        <v>0</v>
      </c>
      <c r="BG18" s="45" t="n">
        <v>0</v>
      </c>
      <c r="BH18" s="45" t="n">
        <v>0</v>
      </c>
      <c r="BI18" s="45" t="n">
        <v>0</v>
      </c>
      <c r="BJ18" s="45" t="n">
        <v>0</v>
      </c>
      <c r="BK18" s="45" t="n">
        <v>0</v>
      </c>
      <c r="BL18" s="45" t="n">
        <v>0</v>
      </c>
      <c r="BM18" s="143" t="n">
        <f aca="false">IF($C$11="24 місяці",SUM(E18:AB18),IF($C$11="36 місяців",SUM(E18:AN18),SUM(E18:BL18)))</f>
        <v>0</v>
      </c>
      <c r="BN18" s="96"/>
      <c r="BO18" s="96"/>
      <c r="BP18" s="96"/>
      <c r="BQ18" s="96"/>
      <c r="BR18" s="96"/>
      <c r="BS18" s="96"/>
      <c r="BT18" s="96"/>
      <c r="BU18" s="96"/>
      <c r="BV18" s="96"/>
      <c r="BW18" s="96"/>
      <c r="BX18" s="96"/>
      <c r="BY18" s="96"/>
      <c r="BZ18" s="96"/>
      <c r="CA18" s="96"/>
      <c r="CB18" s="96"/>
      <c r="CC18" s="96"/>
      <c r="CD18" s="96"/>
      <c r="CE18" s="96"/>
      <c r="CF18" s="96"/>
      <c r="CG18" s="96"/>
    </row>
    <row r="19" customFormat="false" ht="17.25" hidden="false" customHeight="true" outlineLevel="0" collapsed="false">
      <c r="A19" s="96"/>
      <c r="B19" s="125" t="s">
        <v>208</v>
      </c>
      <c r="C19" s="144"/>
      <c r="D19" s="45"/>
      <c r="E19" s="145" t="n">
        <v>0</v>
      </c>
      <c r="F19" s="45" t="n">
        <v>0</v>
      </c>
      <c r="G19" s="45" t="n">
        <v>0</v>
      </c>
      <c r="H19" s="45" t="n">
        <v>0</v>
      </c>
      <c r="I19" s="45" t="n">
        <v>0</v>
      </c>
      <c r="J19" s="45" t="n">
        <v>0</v>
      </c>
      <c r="K19" s="45" t="n">
        <v>0</v>
      </c>
      <c r="L19" s="45" t="n">
        <v>0</v>
      </c>
      <c r="M19" s="45" t="n">
        <v>0</v>
      </c>
      <c r="N19" s="45" t="n">
        <v>0</v>
      </c>
      <c r="O19" s="45" t="n">
        <v>0</v>
      </c>
      <c r="P19" s="45" t="n">
        <v>0</v>
      </c>
      <c r="Q19" s="45" t="n">
        <v>0</v>
      </c>
      <c r="R19" s="45" t="n">
        <v>0</v>
      </c>
      <c r="S19" s="45" t="n">
        <v>0</v>
      </c>
      <c r="T19" s="45" t="n">
        <v>0</v>
      </c>
      <c r="U19" s="45" t="n">
        <v>0</v>
      </c>
      <c r="V19" s="45" t="n">
        <v>0</v>
      </c>
      <c r="W19" s="45" t="n">
        <v>0</v>
      </c>
      <c r="X19" s="45" t="n">
        <v>0</v>
      </c>
      <c r="Y19" s="45" t="n">
        <v>0</v>
      </c>
      <c r="Z19" s="45" t="n">
        <v>0</v>
      </c>
      <c r="AA19" s="45" t="n">
        <v>0</v>
      </c>
      <c r="AB19" s="45" t="n">
        <v>0</v>
      </c>
      <c r="AC19" s="45" t="n">
        <v>0</v>
      </c>
      <c r="AD19" s="45" t="n">
        <v>0</v>
      </c>
      <c r="AE19" s="45" t="n">
        <v>0</v>
      </c>
      <c r="AF19" s="45" t="n">
        <v>0</v>
      </c>
      <c r="AG19" s="45" t="n">
        <v>0</v>
      </c>
      <c r="AH19" s="45" t="n">
        <v>0</v>
      </c>
      <c r="AI19" s="45" t="n">
        <v>0</v>
      </c>
      <c r="AJ19" s="45" t="n">
        <v>0</v>
      </c>
      <c r="AK19" s="45" t="n">
        <v>0</v>
      </c>
      <c r="AL19" s="45" t="n">
        <v>0</v>
      </c>
      <c r="AM19" s="45" t="n">
        <v>0</v>
      </c>
      <c r="AN19" s="45" t="n">
        <v>0</v>
      </c>
      <c r="AO19" s="45" t="n">
        <v>0</v>
      </c>
      <c r="AP19" s="45" t="n">
        <v>0</v>
      </c>
      <c r="AQ19" s="45" t="n">
        <v>0</v>
      </c>
      <c r="AR19" s="45" t="n">
        <v>0</v>
      </c>
      <c r="AS19" s="45" t="n">
        <v>0</v>
      </c>
      <c r="AT19" s="45" t="n">
        <v>0</v>
      </c>
      <c r="AU19" s="45" t="n">
        <v>0</v>
      </c>
      <c r="AV19" s="45" t="n">
        <v>0</v>
      </c>
      <c r="AW19" s="45" t="n">
        <v>0</v>
      </c>
      <c r="AX19" s="45" t="n">
        <v>0</v>
      </c>
      <c r="AY19" s="45" t="n">
        <v>0</v>
      </c>
      <c r="AZ19" s="45" t="n">
        <v>0</v>
      </c>
      <c r="BA19" s="45" t="n">
        <v>0</v>
      </c>
      <c r="BB19" s="45" t="n">
        <v>0</v>
      </c>
      <c r="BC19" s="45" t="n">
        <v>0</v>
      </c>
      <c r="BD19" s="45" t="n">
        <v>0</v>
      </c>
      <c r="BE19" s="45" t="n">
        <v>0</v>
      </c>
      <c r="BF19" s="45" t="n">
        <v>0</v>
      </c>
      <c r="BG19" s="45" t="n">
        <v>0</v>
      </c>
      <c r="BH19" s="45" t="n">
        <v>0</v>
      </c>
      <c r="BI19" s="45" t="n">
        <v>0</v>
      </c>
      <c r="BJ19" s="45" t="n">
        <v>0</v>
      </c>
      <c r="BK19" s="45" t="n">
        <v>0</v>
      </c>
      <c r="BL19" s="45" t="n">
        <v>0</v>
      </c>
      <c r="BM19" s="143" t="n">
        <f aca="false">IF($C$11="24 місяці",SUM(E19:AB19),IF($C$11="36 місяців",SUM(E19:AN19),SUM(E19:BL19)))</f>
        <v>0</v>
      </c>
      <c r="BN19" s="96"/>
      <c r="BO19" s="96"/>
      <c r="BP19" s="96"/>
      <c r="BQ19" s="96"/>
      <c r="BR19" s="96"/>
      <c r="BS19" s="96"/>
      <c r="BT19" s="96"/>
      <c r="BU19" s="96"/>
      <c r="BV19" s="96"/>
      <c r="BW19" s="96"/>
      <c r="BX19" s="96"/>
      <c r="BY19" s="96"/>
      <c r="BZ19" s="96"/>
      <c r="CA19" s="96"/>
      <c r="CB19" s="96"/>
      <c r="CC19" s="96"/>
      <c r="CD19" s="96"/>
      <c r="CE19" s="96"/>
      <c r="CF19" s="96"/>
      <c r="CG19" s="96"/>
    </row>
    <row r="20" customFormat="false" ht="8.25" hidden="false" customHeight="true" outlineLevel="0" collapsed="false">
      <c r="A20" s="96"/>
      <c r="B20" s="146"/>
      <c r="C20" s="147"/>
      <c r="D20" s="45"/>
      <c r="E20" s="145"/>
      <c r="F20" s="45"/>
      <c r="G20" s="45"/>
      <c r="H20" s="45"/>
      <c r="I20" s="45"/>
      <c r="J20" s="45"/>
      <c r="K20" s="45"/>
      <c r="L20" s="45"/>
      <c r="M20" s="45"/>
      <c r="N20" s="45"/>
      <c r="O20" s="45"/>
      <c r="P20" s="45"/>
      <c r="Q20" s="45"/>
      <c r="R20" s="45"/>
      <c r="S20" s="45"/>
      <c r="T20" s="45"/>
      <c r="U20" s="45"/>
      <c r="V20" s="45"/>
      <c r="W20" s="45"/>
      <c r="X20" s="45"/>
      <c r="Y20" s="45"/>
      <c r="Z20" s="45"/>
      <c r="AA20" s="45"/>
      <c r="AB20" s="45"/>
      <c r="AC20" s="45"/>
      <c r="AD20" s="45"/>
      <c r="AE20" s="45"/>
      <c r="AF20" s="45"/>
      <c r="AG20" s="45"/>
      <c r="AH20" s="45"/>
      <c r="AI20" s="45"/>
      <c r="AJ20" s="45"/>
      <c r="AK20" s="45"/>
      <c r="AL20" s="45"/>
      <c r="AM20" s="45"/>
      <c r="AN20" s="45"/>
      <c r="AO20" s="45"/>
      <c r="AP20" s="45"/>
      <c r="AQ20" s="45"/>
      <c r="AR20" s="45"/>
      <c r="AS20" s="45"/>
      <c r="AT20" s="45"/>
      <c r="AU20" s="45"/>
      <c r="AV20" s="45"/>
      <c r="AW20" s="45"/>
      <c r="AX20" s="45"/>
      <c r="AY20" s="45"/>
      <c r="AZ20" s="45"/>
      <c r="BA20" s="45"/>
      <c r="BB20" s="45"/>
      <c r="BC20" s="45"/>
      <c r="BD20" s="45"/>
      <c r="BE20" s="45"/>
      <c r="BF20" s="45"/>
      <c r="BG20" s="45"/>
      <c r="BH20" s="45"/>
      <c r="BI20" s="45"/>
      <c r="BJ20" s="45"/>
      <c r="BK20" s="45"/>
      <c r="BL20" s="45"/>
      <c r="BM20" s="143" t="n">
        <f aca="false">IF($C$11="24 місяці",SUM(E20:AB20),IF($C$11="36 місяців",SUM(E20:AN20),SUM(E20:BL20)))</f>
        <v>0</v>
      </c>
      <c r="BN20" s="96"/>
      <c r="BO20" s="96"/>
      <c r="BP20" s="96"/>
      <c r="BQ20" s="96"/>
      <c r="BR20" s="96"/>
      <c r="BS20" s="96"/>
      <c r="BT20" s="96"/>
      <c r="BU20" s="96"/>
      <c r="BV20" s="96"/>
      <c r="BW20" s="96"/>
      <c r="BX20" s="96"/>
      <c r="BY20" s="96"/>
      <c r="BZ20" s="96"/>
      <c r="CA20" s="96"/>
      <c r="CB20" s="96"/>
      <c r="CC20" s="96"/>
      <c r="CD20" s="96"/>
      <c r="CE20" s="96"/>
      <c r="CF20" s="96"/>
      <c r="CG20" s="96"/>
    </row>
    <row r="21" customFormat="false" ht="8.25" hidden="false" customHeight="true" outlineLevel="0" collapsed="false">
      <c r="A21" s="96"/>
      <c r="B21" s="146"/>
      <c r="C21" s="147"/>
      <c r="D21" s="45"/>
      <c r="E21" s="145"/>
      <c r="F21" s="45"/>
      <c r="G21" s="45"/>
      <c r="H21" s="45"/>
      <c r="I21" s="45"/>
      <c r="J21" s="45"/>
      <c r="K21" s="45"/>
      <c r="L21" s="45"/>
      <c r="M21" s="45"/>
      <c r="N21" s="45"/>
      <c r="O21" s="45"/>
      <c r="P21" s="45"/>
      <c r="Q21" s="45"/>
      <c r="R21" s="45"/>
      <c r="S21" s="45"/>
      <c r="T21" s="45"/>
      <c r="U21" s="45"/>
      <c r="V21" s="45"/>
      <c r="W21" s="45"/>
      <c r="X21" s="45"/>
      <c r="Y21" s="45"/>
      <c r="Z21" s="45"/>
      <c r="AA21" s="45"/>
      <c r="AB21" s="45"/>
      <c r="AC21" s="45"/>
      <c r="AD21" s="45"/>
      <c r="AE21" s="45"/>
      <c r="AF21" s="45"/>
      <c r="AG21" s="45"/>
      <c r="AH21" s="45"/>
      <c r="AI21" s="45"/>
      <c r="AJ21" s="45"/>
      <c r="AK21" s="45"/>
      <c r="AL21" s="45"/>
      <c r="AM21" s="45"/>
      <c r="AN21" s="45"/>
      <c r="AO21" s="45"/>
      <c r="AP21" s="45"/>
      <c r="AQ21" s="45"/>
      <c r="AR21" s="45"/>
      <c r="AS21" s="45"/>
      <c r="AT21" s="45"/>
      <c r="AU21" s="45"/>
      <c r="AV21" s="45"/>
      <c r="AW21" s="45"/>
      <c r="AX21" s="45"/>
      <c r="AY21" s="45"/>
      <c r="AZ21" s="45"/>
      <c r="BA21" s="45"/>
      <c r="BB21" s="45"/>
      <c r="BC21" s="45"/>
      <c r="BD21" s="45"/>
      <c r="BE21" s="45"/>
      <c r="BF21" s="45"/>
      <c r="BG21" s="45"/>
      <c r="BH21" s="45"/>
      <c r="BI21" s="45"/>
      <c r="BJ21" s="45"/>
      <c r="BK21" s="45"/>
      <c r="BL21" s="45"/>
      <c r="BM21" s="143" t="n">
        <f aca="false">IF($C$11="24 місяці",SUM(E21:AB21),IF($C$11="36 місяців",SUM(E21:AN21),SUM(E21:BL21)))</f>
        <v>0</v>
      </c>
      <c r="BN21" s="96"/>
      <c r="BO21" s="96"/>
      <c r="BP21" s="96"/>
      <c r="BQ21" s="96"/>
      <c r="BR21" s="96"/>
      <c r="BS21" s="96"/>
      <c r="BT21" s="96"/>
      <c r="BU21" s="96"/>
      <c r="BV21" s="96"/>
      <c r="BW21" s="96"/>
      <c r="BX21" s="96"/>
      <c r="BY21" s="96"/>
      <c r="BZ21" s="96"/>
      <c r="CA21" s="96"/>
      <c r="CB21" s="96"/>
      <c r="CC21" s="96"/>
      <c r="CD21" s="96"/>
      <c r="CE21" s="96"/>
      <c r="CF21" s="96"/>
      <c r="CG21" s="96"/>
    </row>
    <row r="22" customFormat="false" ht="8.25" hidden="false" customHeight="true" outlineLevel="0" collapsed="false">
      <c r="A22" s="96"/>
      <c r="B22" s="146"/>
      <c r="C22" s="147"/>
      <c r="D22" s="45"/>
      <c r="E22" s="145"/>
      <c r="F22" s="45"/>
      <c r="G22" s="45"/>
      <c r="H22" s="45"/>
      <c r="I22" s="45"/>
      <c r="J22" s="45"/>
      <c r="K22" s="45"/>
      <c r="L22" s="45"/>
      <c r="M22" s="45"/>
      <c r="N22" s="45"/>
      <c r="O22" s="45"/>
      <c r="P22" s="45"/>
      <c r="Q22" s="45"/>
      <c r="R22" s="45"/>
      <c r="S22" s="45"/>
      <c r="T22" s="45"/>
      <c r="U22" s="45"/>
      <c r="V22" s="45"/>
      <c r="W22" s="45"/>
      <c r="X22" s="45"/>
      <c r="Y22" s="45"/>
      <c r="Z22" s="45"/>
      <c r="AA22" s="45"/>
      <c r="AB22" s="45"/>
      <c r="AC22" s="45"/>
      <c r="AD22" s="45"/>
      <c r="AE22" s="45"/>
      <c r="AF22" s="45"/>
      <c r="AG22" s="45"/>
      <c r="AH22" s="45"/>
      <c r="AI22" s="45"/>
      <c r="AJ22" s="45"/>
      <c r="AK22" s="45"/>
      <c r="AL22" s="45"/>
      <c r="AM22" s="45"/>
      <c r="AN22" s="45"/>
      <c r="AO22" s="45"/>
      <c r="AP22" s="45"/>
      <c r="AQ22" s="45"/>
      <c r="AR22" s="45"/>
      <c r="AS22" s="45"/>
      <c r="AT22" s="45"/>
      <c r="AU22" s="45"/>
      <c r="AV22" s="45"/>
      <c r="AW22" s="45"/>
      <c r="AX22" s="45"/>
      <c r="AY22" s="45"/>
      <c r="AZ22" s="45"/>
      <c r="BA22" s="45"/>
      <c r="BB22" s="45"/>
      <c r="BC22" s="45"/>
      <c r="BD22" s="45"/>
      <c r="BE22" s="45"/>
      <c r="BF22" s="45"/>
      <c r="BG22" s="45"/>
      <c r="BH22" s="45"/>
      <c r="BI22" s="45"/>
      <c r="BJ22" s="45"/>
      <c r="BK22" s="45"/>
      <c r="BL22" s="45"/>
      <c r="BM22" s="143" t="n">
        <f aca="false">IF($C$11="24 місяці",SUM(E22:AB22),IF($C$11="36 місяців",SUM(E22:AN22),SUM(E22:BL22)))</f>
        <v>0</v>
      </c>
      <c r="BN22" s="96"/>
      <c r="BO22" s="96"/>
      <c r="BP22" s="96"/>
      <c r="BQ22" s="96"/>
      <c r="BR22" s="96"/>
      <c r="BS22" s="96"/>
      <c r="BT22" s="96"/>
      <c r="BU22" s="96"/>
      <c r="BV22" s="96"/>
      <c r="BW22" s="96"/>
      <c r="BX22" s="96"/>
      <c r="BY22" s="96"/>
      <c r="BZ22" s="96"/>
      <c r="CA22" s="96"/>
      <c r="CB22" s="96"/>
      <c r="CC22" s="96"/>
      <c r="CD22" s="96"/>
      <c r="CE22" s="96"/>
      <c r="CF22" s="96"/>
      <c r="CG22" s="96"/>
    </row>
    <row r="23" customFormat="false" ht="8.25" hidden="false" customHeight="true" outlineLevel="0" collapsed="false">
      <c r="A23" s="96"/>
      <c r="B23" s="146"/>
      <c r="C23" s="147"/>
      <c r="D23" s="45"/>
      <c r="E23" s="145"/>
      <c r="F23" s="45"/>
      <c r="G23" s="45"/>
      <c r="H23" s="45"/>
      <c r="I23" s="45"/>
      <c r="J23" s="45"/>
      <c r="K23" s="45"/>
      <c r="L23" s="45"/>
      <c r="M23" s="45"/>
      <c r="N23" s="45"/>
      <c r="O23" s="45"/>
      <c r="P23" s="45"/>
      <c r="Q23" s="45"/>
      <c r="R23" s="45"/>
      <c r="S23" s="45"/>
      <c r="T23" s="45"/>
      <c r="U23" s="45"/>
      <c r="V23" s="45"/>
      <c r="W23" s="45"/>
      <c r="X23" s="45"/>
      <c r="Y23" s="45"/>
      <c r="Z23" s="45"/>
      <c r="AA23" s="45"/>
      <c r="AB23" s="45"/>
      <c r="AC23" s="45"/>
      <c r="AD23" s="45"/>
      <c r="AE23" s="45"/>
      <c r="AF23" s="45"/>
      <c r="AG23" s="45"/>
      <c r="AH23" s="45"/>
      <c r="AI23" s="45"/>
      <c r="AJ23" s="45"/>
      <c r="AK23" s="45"/>
      <c r="AL23" s="45"/>
      <c r="AM23" s="45"/>
      <c r="AN23" s="45"/>
      <c r="AO23" s="45"/>
      <c r="AP23" s="45"/>
      <c r="AQ23" s="45"/>
      <c r="AR23" s="45"/>
      <c r="AS23" s="45"/>
      <c r="AT23" s="45"/>
      <c r="AU23" s="45"/>
      <c r="AV23" s="45"/>
      <c r="AW23" s="45"/>
      <c r="AX23" s="45"/>
      <c r="AY23" s="45"/>
      <c r="AZ23" s="45"/>
      <c r="BA23" s="45"/>
      <c r="BB23" s="45"/>
      <c r="BC23" s="45"/>
      <c r="BD23" s="45"/>
      <c r="BE23" s="45"/>
      <c r="BF23" s="45"/>
      <c r="BG23" s="45"/>
      <c r="BH23" s="45"/>
      <c r="BI23" s="45"/>
      <c r="BJ23" s="45"/>
      <c r="BK23" s="45"/>
      <c r="BL23" s="45"/>
      <c r="BM23" s="143" t="n">
        <f aca="false">IF($C$11="24 місяці",SUM(E23:AB23),IF($C$11="36 місяців",SUM(E23:AN23),SUM(E23:BL23)))</f>
        <v>0</v>
      </c>
      <c r="BN23" s="96"/>
      <c r="BO23" s="96"/>
      <c r="BP23" s="96"/>
      <c r="BQ23" s="96"/>
      <c r="BR23" s="96"/>
      <c r="BS23" s="96"/>
      <c r="BT23" s="96"/>
      <c r="BU23" s="96"/>
      <c r="BV23" s="96"/>
      <c r="BW23" s="96"/>
      <c r="BX23" s="96"/>
      <c r="BY23" s="96"/>
      <c r="BZ23" s="96"/>
      <c r="CA23" s="96"/>
      <c r="CB23" s="96"/>
      <c r="CC23" s="96"/>
      <c r="CD23" s="96"/>
      <c r="CE23" s="96"/>
      <c r="CF23" s="96"/>
      <c r="CG23" s="96"/>
    </row>
    <row r="24" customFormat="false" ht="8.25" hidden="false" customHeight="true" outlineLevel="0" collapsed="false">
      <c r="A24" s="96"/>
      <c r="B24" s="146"/>
      <c r="C24" s="147"/>
      <c r="D24" s="45"/>
      <c r="E24" s="145"/>
      <c r="F24" s="45"/>
      <c r="G24" s="45"/>
      <c r="H24" s="45"/>
      <c r="I24" s="45"/>
      <c r="J24" s="45"/>
      <c r="K24" s="45"/>
      <c r="L24" s="45"/>
      <c r="M24" s="45"/>
      <c r="N24" s="45"/>
      <c r="O24" s="45"/>
      <c r="P24" s="45"/>
      <c r="Q24" s="45"/>
      <c r="R24" s="45"/>
      <c r="S24" s="45"/>
      <c r="T24" s="45"/>
      <c r="U24" s="45"/>
      <c r="V24" s="45"/>
      <c r="W24" s="45"/>
      <c r="X24" s="45"/>
      <c r="Y24" s="45"/>
      <c r="Z24" s="45"/>
      <c r="AA24" s="45"/>
      <c r="AB24" s="45"/>
      <c r="AC24" s="45"/>
      <c r="AD24" s="45"/>
      <c r="AE24" s="45"/>
      <c r="AF24" s="45"/>
      <c r="AG24" s="45"/>
      <c r="AH24" s="45"/>
      <c r="AI24" s="45"/>
      <c r="AJ24" s="45"/>
      <c r="AK24" s="45"/>
      <c r="AL24" s="45"/>
      <c r="AM24" s="45"/>
      <c r="AN24" s="45"/>
      <c r="AO24" s="45"/>
      <c r="AP24" s="45"/>
      <c r="AQ24" s="45"/>
      <c r="AR24" s="45"/>
      <c r="AS24" s="45"/>
      <c r="AT24" s="45"/>
      <c r="AU24" s="45"/>
      <c r="AV24" s="45"/>
      <c r="AW24" s="45"/>
      <c r="AX24" s="45"/>
      <c r="AY24" s="45"/>
      <c r="AZ24" s="45"/>
      <c r="BA24" s="45"/>
      <c r="BB24" s="45"/>
      <c r="BC24" s="45"/>
      <c r="BD24" s="45"/>
      <c r="BE24" s="45"/>
      <c r="BF24" s="45"/>
      <c r="BG24" s="45"/>
      <c r="BH24" s="45"/>
      <c r="BI24" s="45"/>
      <c r="BJ24" s="45"/>
      <c r="BK24" s="45"/>
      <c r="BL24" s="45"/>
      <c r="BM24" s="143" t="n">
        <f aca="false">IF($C$11="24 місяці",SUM(E24:AB24),IF($C$11="36 місяців",SUM(E24:AN24),SUM(E24:BL24)))</f>
        <v>0</v>
      </c>
      <c r="BN24" s="96"/>
      <c r="BO24" s="96"/>
      <c r="BP24" s="96"/>
      <c r="BQ24" s="96"/>
      <c r="BR24" s="96"/>
      <c r="BS24" s="96"/>
      <c r="BT24" s="96"/>
      <c r="BU24" s="96"/>
      <c r="BV24" s="96"/>
      <c r="BW24" s="96"/>
      <c r="BX24" s="96"/>
      <c r="BY24" s="96"/>
      <c r="BZ24" s="96"/>
      <c r="CA24" s="96"/>
      <c r="CB24" s="96"/>
      <c r="CC24" s="96"/>
      <c r="CD24" s="96"/>
      <c r="CE24" s="96"/>
      <c r="CF24" s="96"/>
      <c r="CG24" s="96"/>
    </row>
    <row r="25" customFormat="false" ht="8.25" hidden="false" customHeight="true" outlineLevel="0" collapsed="false">
      <c r="A25" s="96"/>
      <c r="B25" s="146"/>
      <c r="C25" s="147"/>
      <c r="D25" s="45"/>
      <c r="E25" s="145"/>
      <c r="F25" s="45"/>
      <c r="G25" s="45"/>
      <c r="H25" s="45"/>
      <c r="I25" s="45"/>
      <c r="J25" s="45"/>
      <c r="K25" s="45"/>
      <c r="L25" s="45"/>
      <c r="M25" s="45"/>
      <c r="N25" s="45"/>
      <c r="O25" s="45"/>
      <c r="P25" s="45"/>
      <c r="Q25" s="45"/>
      <c r="R25" s="45"/>
      <c r="S25" s="45"/>
      <c r="T25" s="45"/>
      <c r="U25" s="45"/>
      <c r="V25" s="45"/>
      <c r="W25" s="45"/>
      <c r="X25" s="45"/>
      <c r="Y25" s="45"/>
      <c r="Z25" s="45"/>
      <c r="AA25" s="45"/>
      <c r="AB25" s="45"/>
      <c r="AC25" s="45"/>
      <c r="AD25" s="45"/>
      <c r="AE25" s="45"/>
      <c r="AF25" s="45"/>
      <c r="AG25" s="45"/>
      <c r="AH25" s="45"/>
      <c r="AI25" s="45"/>
      <c r="AJ25" s="45"/>
      <c r="AK25" s="45"/>
      <c r="AL25" s="45"/>
      <c r="AM25" s="45"/>
      <c r="AN25" s="45"/>
      <c r="AO25" s="45"/>
      <c r="AP25" s="45"/>
      <c r="AQ25" s="45"/>
      <c r="AR25" s="45"/>
      <c r="AS25" s="45"/>
      <c r="AT25" s="45"/>
      <c r="AU25" s="45"/>
      <c r="AV25" s="45"/>
      <c r="AW25" s="45"/>
      <c r="AX25" s="45"/>
      <c r="AY25" s="45"/>
      <c r="AZ25" s="45"/>
      <c r="BA25" s="45"/>
      <c r="BB25" s="45"/>
      <c r="BC25" s="45"/>
      <c r="BD25" s="45"/>
      <c r="BE25" s="45"/>
      <c r="BF25" s="45"/>
      <c r="BG25" s="45"/>
      <c r="BH25" s="45"/>
      <c r="BI25" s="45"/>
      <c r="BJ25" s="45"/>
      <c r="BK25" s="45"/>
      <c r="BL25" s="45"/>
      <c r="BM25" s="143" t="n">
        <f aca="false">IF($C$11="24 місяці",SUM(E25:AB25),IF($C$11="36 місяців",SUM(E25:AN25),SUM(E25:BL25)))</f>
        <v>0</v>
      </c>
      <c r="BN25" s="96"/>
      <c r="BO25" s="96"/>
      <c r="BP25" s="96"/>
      <c r="BQ25" s="96"/>
      <c r="BR25" s="96"/>
      <c r="BS25" s="96"/>
      <c r="BT25" s="96"/>
      <c r="BU25" s="96"/>
      <c r="BV25" s="96"/>
      <c r="BW25" s="96"/>
      <c r="BX25" s="96"/>
      <c r="BY25" s="96"/>
      <c r="BZ25" s="96"/>
      <c r="CA25" s="96"/>
      <c r="CB25" s="96"/>
      <c r="CC25" s="96"/>
      <c r="CD25" s="96"/>
      <c r="CE25" s="96"/>
      <c r="CF25" s="96"/>
      <c r="CG25" s="96"/>
    </row>
    <row r="26" customFormat="false" ht="8.25" hidden="false" customHeight="true" outlineLevel="0" collapsed="false">
      <c r="A26" s="96"/>
      <c r="B26" s="148"/>
      <c r="C26" s="147"/>
      <c r="D26" s="45"/>
      <c r="E26" s="145"/>
      <c r="F26" s="45"/>
      <c r="G26" s="45"/>
      <c r="H26" s="45"/>
      <c r="I26" s="45"/>
      <c r="J26" s="45"/>
      <c r="K26" s="45"/>
      <c r="L26" s="45"/>
      <c r="M26" s="45"/>
      <c r="N26" s="45"/>
      <c r="O26" s="45"/>
      <c r="P26" s="45"/>
      <c r="Q26" s="45"/>
      <c r="R26" s="45"/>
      <c r="S26" s="45"/>
      <c r="T26" s="45"/>
      <c r="U26" s="45"/>
      <c r="V26" s="45"/>
      <c r="W26" s="45"/>
      <c r="X26" s="45"/>
      <c r="Y26" s="45"/>
      <c r="Z26" s="45"/>
      <c r="AA26" s="45"/>
      <c r="AB26" s="45"/>
      <c r="AC26" s="45"/>
      <c r="AD26" s="45"/>
      <c r="AE26" s="45"/>
      <c r="AF26" s="45"/>
      <c r="AG26" s="45"/>
      <c r="AH26" s="45"/>
      <c r="AI26" s="45"/>
      <c r="AJ26" s="45"/>
      <c r="AK26" s="45"/>
      <c r="AL26" s="45"/>
      <c r="AM26" s="45"/>
      <c r="AN26" s="45"/>
      <c r="AO26" s="45"/>
      <c r="AP26" s="45"/>
      <c r="AQ26" s="45"/>
      <c r="AR26" s="45"/>
      <c r="AS26" s="45"/>
      <c r="AT26" s="45"/>
      <c r="AU26" s="45"/>
      <c r="AV26" s="45"/>
      <c r="AW26" s="45"/>
      <c r="AX26" s="45"/>
      <c r="AY26" s="45"/>
      <c r="AZ26" s="45"/>
      <c r="BA26" s="45"/>
      <c r="BB26" s="45"/>
      <c r="BC26" s="45"/>
      <c r="BD26" s="45"/>
      <c r="BE26" s="45"/>
      <c r="BF26" s="45"/>
      <c r="BG26" s="45"/>
      <c r="BH26" s="45"/>
      <c r="BI26" s="45"/>
      <c r="BJ26" s="45"/>
      <c r="BK26" s="45"/>
      <c r="BL26" s="45"/>
      <c r="BM26" s="143" t="n">
        <f aca="false">IF($C$11="24 місяці",SUM(E26:AB26),IF($C$11="36 місяців",SUM(E26:AN26),SUM(E26:BL26)))</f>
        <v>0</v>
      </c>
      <c r="BN26" s="96"/>
      <c r="BO26" s="96"/>
      <c r="BP26" s="96"/>
      <c r="BQ26" s="96"/>
      <c r="BR26" s="96"/>
      <c r="BS26" s="96"/>
      <c r="BT26" s="96"/>
      <c r="BU26" s="96"/>
      <c r="BV26" s="96"/>
      <c r="BW26" s="96"/>
      <c r="BX26" s="96"/>
      <c r="BY26" s="96"/>
      <c r="BZ26" s="96"/>
      <c r="CA26" s="96"/>
      <c r="CB26" s="96"/>
      <c r="CC26" s="96"/>
      <c r="CD26" s="96"/>
      <c r="CE26" s="96"/>
      <c r="CF26" s="96"/>
      <c r="CG26" s="96"/>
    </row>
    <row r="27" customFormat="false" ht="8.25" hidden="false" customHeight="true" outlineLevel="0" collapsed="false">
      <c r="A27" s="99"/>
      <c r="B27" s="149" t="s">
        <v>209</v>
      </c>
      <c r="C27" s="150"/>
      <c r="D27" s="151" t="n">
        <f aca="false">SUM(D14:D26)</f>
        <v>0</v>
      </c>
      <c r="E27" s="152" t="n">
        <f aca="false">IF(E$13&gt;IF($C$11="24 місяці",24,IF($C$11="36 місяців",36,60)),0,SUM(E14:E26))</f>
        <v>1272000</v>
      </c>
      <c r="F27" s="152" t="n">
        <f aca="false">IF(F$13&gt;IF($C$11="24 місяці",24,IF($C$11="36 місяців",36,60)),0,SUM(F14:F26))</f>
        <v>62000</v>
      </c>
      <c r="G27" s="152" t="n">
        <f aca="false">IF(G$13&gt;IF($C$11="24 місяці",24,IF($C$11="36 місяців",36,60)),0,SUM(G14:G26))</f>
        <v>77000</v>
      </c>
      <c r="H27" s="152" t="n">
        <f aca="false">IF(H$13&gt;IF($C$11="24 місяці",24,IF($C$11="36 місяців",36,60)),0,SUM(H14:H26))</f>
        <v>77000</v>
      </c>
      <c r="I27" s="152" t="n">
        <f aca="false">IF(I$13&gt;IF($C$11="24 місяці",24,IF($C$11="36 місяців",36,60)),0,SUM(I14:I26))</f>
        <v>77000</v>
      </c>
      <c r="J27" s="152" t="n">
        <f aca="false">IF(J$13&gt;IF($C$11="24 місяці",24,IF($C$11="36 місяців",36,60)),0,SUM(J14:J26))</f>
        <v>137000</v>
      </c>
      <c r="K27" s="152" t="n">
        <f aca="false">IF(K$13&gt;IF($C$11="24 місяці",24,IF($C$11="36 місяців",36,60)),0,SUM(K14:K26))</f>
        <v>142000</v>
      </c>
      <c r="L27" s="152" t="n">
        <f aca="false">IF(L$13&gt;IF($C$11="24 місяці",24,IF($C$11="36 місяців",36,60)),0,SUM(L14:L26))</f>
        <v>142000</v>
      </c>
      <c r="M27" s="152" t="n">
        <f aca="false">IF(M$13&gt;IF($C$11="24 місяці",24,IF($C$11="36 місяців",36,60)),0,SUM(M14:M26))</f>
        <v>157000</v>
      </c>
      <c r="N27" s="152" t="n">
        <f aca="false">IF(N$13&gt;IF($C$11="24 місяці",24,IF($C$11="36 місяців",36,60)),0,SUM(N14:N26))</f>
        <v>157000</v>
      </c>
      <c r="O27" s="152" t="n">
        <f aca="false">IF(O$13&gt;IF($C$11="24 місяці",24,IF($C$11="36 місяців",36,60)),0,SUM(O14:O26))</f>
        <v>157000</v>
      </c>
      <c r="P27" s="152" t="n">
        <f aca="false">IF(P$13&gt;IF($C$11="24 місяці",24,IF($C$11="36 місяців",36,60)),0,SUM(P14:P26))</f>
        <v>157000</v>
      </c>
      <c r="Q27" s="152" t="n">
        <f aca="false">IF(Q$13&gt;IF($C$11="24 місяці",24,IF($C$11="36 місяців",36,60)),0,SUM(Q14:Q26))</f>
        <v>462860</v>
      </c>
      <c r="R27" s="152" t="n">
        <f aca="false">IF(R$13&gt;IF($C$11="24 місяці",24,IF($C$11="36 місяців",36,60)),0,SUM(R14:R26))</f>
        <v>187000</v>
      </c>
      <c r="S27" s="152" t="n">
        <f aca="false">IF(S$13&gt;IF($C$11="24 місяці",24,IF($C$11="36 місяців",36,60)),0,SUM(S14:S26))</f>
        <v>187000</v>
      </c>
      <c r="T27" s="152" t="n">
        <f aca="false">IF(T$13&gt;IF($C$11="24 місяці",24,IF($C$11="36 місяців",36,60)),0,SUM(T14:T26))</f>
        <v>187000</v>
      </c>
      <c r="U27" s="152" t="n">
        <f aca="false">IF(U$13&gt;IF($C$11="24 місяці",24,IF($C$11="36 місяців",36,60)),0,SUM(U14:U26))</f>
        <v>187000</v>
      </c>
      <c r="V27" s="152" t="n">
        <f aca="false">IF(V$13&gt;IF($C$11="24 місяці",24,IF($C$11="36 місяців",36,60)),0,SUM(V14:V26))</f>
        <v>187000</v>
      </c>
      <c r="W27" s="152" t="n">
        <f aca="false">IF(W$13&gt;IF($C$11="24 місяці",24,IF($C$11="36 місяців",36,60)),0,SUM(W14:W26))</f>
        <v>202000</v>
      </c>
      <c r="X27" s="152" t="n">
        <f aca="false">IF(X$13&gt;IF($C$11="24 місяці",24,IF($C$11="36 місяців",36,60)),0,SUM(X14:X26))</f>
        <v>202000</v>
      </c>
      <c r="Y27" s="152" t="n">
        <f aca="false">IF(Y$13&gt;IF($C$11="24 місяці",24,IF($C$11="36 місяців",36,60)),0,SUM(Y14:Y26))</f>
        <v>202000</v>
      </c>
      <c r="Z27" s="152" t="n">
        <f aca="false">IF(Z$13&gt;IF($C$11="24 місяці",24,IF($C$11="36 місяців",36,60)),0,SUM(Z14:Z26))</f>
        <v>202000</v>
      </c>
      <c r="AA27" s="152" t="n">
        <f aca="false">IF(AA$13&gt;IF($C$11="24 місяці",24,IF($C$11="36 місяців",36,60)),0,SUM(AA14:AA26))</f>
        <v>202000</v>
      </c>
      <c r="AB27" s="152" t="n">
        <f aca="false">IF(AB$13&gt;IF($C$11="24 місяці",24,IF($C$11="36 місяців",36,60)),0,SUM(AB14:AB26))</f>
        <v>202000</v>
      </c>
      <c r="AC27" s="152" t="n">
        <f aca="false">IF(AC$13&gt;IF($C$11="24 місяці",24,IF($C$11="36 місяців",36,60)),0,SUM(AC14:AC26))</f>
        <v>234000</v>
      </c>
      <c r="AD27" s="152" t="n">
        <f aca="false">IF(AD$13&gt;IF($C$11="24 місяці",24,IF($C$11="36 місяців",36,60)),0,SUM(AD14:AD26))</f>
        <v>234000</v>
      </c>
      <c r="AE27" s="152" t="n">
        <f aca="false">IF(AE$13&gt;IF($C$11="24 місяці",24,IF($C$11="36 місяців",36,60)),0,SUM(AE14:AE26))</f>
        <v>234000</v>
      </c>
      <c r="AF27" s="152" t="n">
        <f aca="false">IF(AF$13&gt;IF($C$11="24 місяці",24,IF($C$11="36 місяців",36,60)),0,SUM(AF14:AF26))</f>
        <v>234000</v>
      </c>
      <c r="AG27" s="152" t="n">
        <f aca="false">IF(AG$13&gt;IF($C$11="24 місяці",24,IF($C$11="36 місяців",36,60)),0,SUM(AG14:AG26))</f>
        <v>234000</v>
      </c>
      <c r="AH27" s="152" t="n">
        <f aca="false">IF(AH$13&gt;IF($C$11="24 місяці",24,IF($C$11="36 місяців",36,60)),0,SUM(AH14:AH26))</f>
        <v>234000</v>
      </c>
      <c r="AI27" s="152" t="n">
        <f aca="false">IF(AI$13&gt;IF($C$11="24 місяці",24,IF($C$11="36 місяців",36,60)),0,SUM(AI14:AI26))</f>
        <v>234000</v>
      </c>
      <c r="AJ27" s="152" t="n">
        <f aca="false">IF(AJ$13&gt;IF($C$11="24 місяці",24,IF($C$11="36 місяців",36,60)),0,SUM(AJ14:AJ26))</f>
        <v>234000</v>
      </c>
      <c r="AK27" s="152" t="n">
        <f aca="false">IF(AK$13&gt;IF($C$11="24 місяці",24,IF($C$11="36 місяців",36,60)),0,SUM(AK14:AK26))</f>
        <v>234000</v>
      </c>
      <c r="AL27" s="152" t="n">
        <f aca="false">IF(AL$13&gt;IF($C$11="24 місяці",24,IF($C$11="36 місяців",36,60)),0,SUM(AL14:AL26))</f>
        <v>234000</v>
      </c>
      <c r="AM27" s="152" t="n">
        <f aca="false">IF(AM$13&gt;IF($C$11="24 місяці",24,IF($C$11="36 місяців",36,60)),0,SUM(AM14:AM26))</f>
        <v>234000</v>
      </c>
      <c r="AN27" s="152" t="n">
        <f aca="false">IF(AN$13&gt;IF($C$11="24 місяці",24,IF($C$11="36 місяців",36,60)),0,SUM(AN14:AN26))</f>
        <v>234000</v>
      </c>
      <c r="AO27" s="152" t="n">
        <f aca="false">IF(AO$13&gt;IF($C$11="24 місяці",24,IF($C$11="36 місяців",36,60)),0,SUM(AO14:AO26))</f>
        <v>0</v>
      </c>
      <c r="AP27" s="152" t="n">
        <f aca="false">IF(AP$13&gt;IF($C$11="24 місяці",24,IF($C$11="36 місяців",36,60)),0,SUM(AP14:AP26))</f>
        <v>0</v>
      </c>
      <c r="AQ27" s="152" t="n">
        <f aca="false">IF(AQ$13&gt;IF($C$11="24 місяці",24,IF($C$11="36 місяців",36,60)),0,SUM(AQ14:AQ26))</f>
        <v>0</v>
      </c>
      <c r="AR27" s="152" t="n">
        <f aca="false">IF(AR$13&gt;IF($C$11="24 місяці",24,IF($C$11="36 місяців",36,60)),0,SUM(AR14:AR26))</f>
        <v>0</v>
      </c>
      <c r="AS27" s="152" t="n">
        <f aca="false">IF(AS$13&gt;IF($C$11="24 місяці",24,IF($C$11="36 місяців",36,60)),0,SUM(AS14:AS26))</f>
        <v>0</v>
      </c>
      <c r="AT27" s="152" t="n">
        <f aca="false">IF(AT$13&gt;IF($C$11="24 місяці",24,IF($C$11="36 місяців",36,60)),0,SUM(AT14:AT26))</f>
        <v>0</v>
      </c>
      <c r="AU27" s="152" t="n">
        <f aca="false">IF(AU$13&gt;IF($C$11="24 місяці",24,IF($C$11="36 місяців",36,60)),0,SUM(AU14:AU26))</f>
        <v>0</v>
      </c>
      <c r="AV27" s="152" t="n">
        <f aca="false">IF(AV$13&gt;IF($C$11="24 місяці",24,IF($C$11="36 місяців",36,60)),0,SUM(AV14:AV26))</f>
        <v>0</v>
      </c>
      <c r="AW27" s="152" t="n">
        <f aca="false">IF(AW$13&gt;IF($C$11="24 місяці",24,IF($C$11="36 місяців",36,60)),0,SUM(AW14:AW26))</f>
        <v>0</v>
      </c>
      <c r="AX27" s="152" t="n">
        <f aca="false">IF(AX$13&gt;IF($C$11="24 місяці",24,IF($C$11="36 місяців",36,60)),0,SUM(AX14:AX26))</f>
        <v>0</v>
      </c>
      <c r="AY27" s="152" t="n">
        <f aca="false">IF(AY$13&gt;IF($C$11="24 місяці",24,IF($C$11="36 місяців",36,60)),0,SUM(AY14:AY26))</f>
        <v>0</v>
      </c>
      <c r="AZ27" s="152" t="n">
        <f aca="false">IF(AZ$13&gt;IF($C$11="24 місяці",24,IF($C$11="36 місяців",36,60)),0,SUM(AZ14:AZ26))</f>
        <v>0</v>
      </c>
      <c r="BA27" s="152" t="n">
        <f aca="false">IF(BA$13&gt;IF($C$11="24 місяці",24,IF($C$11="36 місяців",36,60)),0,SUM(BA14:BA26))</f>
        <v>0</v>
      </c>
      <c r="BB27" s="152" t="n">
        <f aca="false">IF(BB$13&gt;IF($C$11="24 місяці",24,IF($C$11="36 місяців",36,60)),0,SUM(BB14:BB26))</f>
        <v>0</v>
      </c>
      <c r="BC27" s="152" t="n">
        <f aca="false">IF(BC$13&gt;IF($C$11="24 місяці",24,IF($C$11="36 місяців",36,60)),0,SUM(BC14:BC26))</f>
        <v>0</v>
      </c>
      <c r="BD27" s="152" t="n">
        <f aca="false">IF(BD$13&gt;IF($C$11="24 місяці",24,IF($C$11="36 місяців",36,60)),0,SUM(BD14:BD26))</f>
        <v>0</v>
      </c>
      <c r="BE27" s="152" t="n">
        <f aca="false">IF(BE$13&gt;IF($C$11="24 місяці",24,IF($C$11="36 місяців",36,60)),0,SUM(BE14:BE26))</f>
        <v>0</v>
      </c>
      <c r="BF27" s="152" t="n">
        <f aca="false">IF(BF$13&gt;IF($C$11="24 місяці",24,IF($C$11="36 місяців",36,60)),0,SUM(BF14:BF26))</f>
        <v>0</v>
      </c>
      <c r="BG27" s="152" t="n">
        <f aca="false">IF(BG$13&gt;IF($C$11="24 місяці",24,IF($C$11="36 місяців",36,60)),0,SUM(BG14:BG26))</f>
        <v>0</v>
      </c>
      <c r="BH27" s="152" t="n">
        <f aca="false">IF(BH$13&gt;IF($C$11="24 місяці",24,IF($C$11="36 місяців",36,60)),0,SUM(BH14:BH26))</f>
        <v>0</v>
      </c>
      <c r="BI27" s="152" t="n">
        <f aca="false">IF(BI$13&gt;IF($C$11="24 місяці",24,IF($C$11="36 місяців",36,60)),0,SUM(BI14:BI26))</f>
        <v>0</v>
      </c>
      <c r="BJ27" s="152" t="n">
        <f aca="false">IF(BJ$13&gt;IF($C$11="24 місяці",24,IF($C$11="36 місяців",36,60)),0,SUM(BJ14:BJ26))</f>
        <v>0</v>
      </c>
      <c r="BK27" s="152" t="n">
        <f aca="false">IF(BK$13&gt;IF($C$11="24 місяці",24,IF($C$11="36 місяців",36,60)),0,SUM(BK14:BK26))</f>
        <v>0</v>
      </c>
      <c r="BL27" s="152" t="n">
        <f aca="false">IF(BL$13&gt;IF($C$11="24 місяці",24,IF($C$11="36 місяців",36,60)),0,SUM(BL14:BL26))</f>
        <v>0</v>
      </c>
      <c r="BM27" s="152" t="n">
        <f aca="false">IF($C$11="24 місяці",SUM(E27:AB27),IF($C$11="36 місяців",SUM(E27:AN27),SUM(E27:BL27)))</f>
        <v>8031860</v>
      </c>
      <c r="BN27" s="99"/>
      <c r="BO27" s="99"/>
      <c r="BP27" s="99"/>
      <c r="BQ27" s="99"/>
      <c r="BR27" s="99"/>
      <c r="BS27" s="99"/>
      <c r="BT27" s="99"/>
      <c r="BU27" s="99"/>
      <c r="BV27" s="99"/>
      <c r="BW27" s="99"/>
      <c r="BX27" s="99"/>
      <c r="BY27" s="99"/>
      <c r="BZ27" s="99"/>
      <c r="CA27" s="99"/>
      <c r="CB27" s="99"/>
      <c r="CC27" s="99"/>
      <c r="CD27" s="99"/>
      <c r="CE27" s="99"/>
      <c r="CF27" s="99"/>
      <c r="CG27" s="99"/>
    </row>
    <row r="28" customFormat="false" ht="8.25" hidden="false" customHeight="true" outlineLevel="0" collapsed="false">
      <c r="A28" s="96"/>
      <c r="D28" s="153"/>
      <c r="E28" s="153"/>
      <c r="F28" s="153"/>
      <c r="G28" s="153"/>
      <c r="H28" s="153"/>
      <c r="I28" s="153"/>
      <c r="J28" s="153"/>
      <c r="K28" s="153"/>
      <c r="L28" s="153"/>
      <c r="M28" s="153"/>
      <c r="N28" s="153"/>
      <c r="O28" s="153"/>
      <c r="P28" s="153"/>
      <c r="Q28" s="153"/>
      <c r="R28" s="153"/>
      <c r="S28" s="153"/>
      <c r="T28" s="153"/>
      <c r="U28" s="153"/>
      <c r="V28" s="153"/>
      <c r="W28" s="153"/>
      <c r="X28" s="153"/>
      <c r="Y28" s="153"/>
      <c r="Z28" s="153"/>
      <c r="AA28" s="153"/>
      <c r="AB28" s="153"/>
      <c r="AC28" s="153"/>
      <c r="AD28" s="153"/>
      <c r="AE28" s="153"/>
      <c r="AF28" s="153"/>
      <c r="AG28" s="153"/>
      <c r="AH28" s="153"/>
      <c r="AI28" s="153"/>
      <c r="AJ28" s="153"/>
      <c r="AK28" s="153"/>
      <c r="AL28" s="153"/>
      <c r="AM28" s="153"/>
      <c r="AN28" s="153"/>
      <c r="AO28" s="153"/>
      <c r="AP28" s="153"/>
      <c r="AQ28" s="153"/>
      <c r="AR28" s="153"/>
      <c r="AS28" s="153"/>
      <c r="AT28" s="153"/>
      <c r="AU28" s="153"/>
      <c r="AV28" s="153"/>
      <c r="AW28" s="153"/>
      <c r="AX28" s="153"/>
      <c r="AY28" s="153"/>
      <c r="AZ28" s="153"/>
      <c r="BA28" s="153"/>
      <c r="BB28" s="153"/>
      <c r="BC28" s="153"/>
      <c r="BD28" s="153"/>
      <c r="BE28" s="153"/>
      <c r="BF28" s="153"/>
      <c r="BG28" s="153"/>
      <c r="BH28" s="153"/>
      <c r="BI28" s="153"/>
      <c r="BJ28" s="153"/>
      <c r="BK28" s="153"/>
      <c r="BL28" s="153"/>
      <c r="BM28" s="154"/>
      <c r="BN28" s="96"/>
      <c r="BO28" s="96"/>
      <c r="BP28" s="96"/>
      <c r="BQ28" s="96"/>
      <c r="BR28" s="96"/>
      <c r="BS28" s="96"/>
      <c r="BT28" s="96"/>
      <c r="BU28" s="96"/>
      <c r="BV28" s="96"/>
      <c r="BW28" s="96"/>
      <c r="BX28" s="96"/>
      <c r="BY28" s="96"/>
      <c r="BZ28" s="96"/>
      <c r="CA28" s="96"/>
      <c r="CB28" s="96"/>
      <c r="CC28" s="96"/>
      <c r="CD28" s="96"/>
      <c r="CE28" s="96"/>
      <c r="CF28" s="96"/>
      <c r="CG28" s="96"/>
    </row>
    <row r="29" customFormat="false" ht="8.25" hidden="false" customHeight="true" outlineLevel="0" collapsed="false">
      <c r="A29" s="96"/>
      <c r="D29" s="153"/>
      <c r="E29" s="153"/>
      <c r="F29" s="153"/>
      <c r="G29" s="153"/>
      <c r="H29" s="153"/>
      <c r="I29" s="153"/>
      <c r="J29" s="153"/>
      <c r="K29" s="153"/>
      <c r="L29" s="153"/>
      <c r="M29" s="153"/>
      <c r="N29" s="153"/>
      <c r="O29" s="153"/>
      <c r="P29" s="153"/>
      <c r="Q29" s="153"/>
      <c r="R29" s="153"/>
      <c r="S29" s="153"/>
      <c r="T29" s="153"/>
      <c r="U29" s="153"/>
      <c r="V29" s="153"/>
      <c r="W29" s="153"/>
      <c r="X29" s="153"/>
      <c r="Y29" s="153"/>
      <c r="Z29" s="153"/>
      <c r="AA29" s="153"/>
      <c r="AB29" s="153"/>
      <c r="AC29" s="153"/>
      <c r="AD29" s="153"/>
      <c r="AE29" s="153"/>
      <c r="AF29" s="153"/>
      <c r="AG29" s="153"/>
      <c r="AH29" s="153"/>
      <c r="AI29" s="153"/>
      <c r="AJ29" s="153"/>
      <c r="AK29" s="153"/>
      <c r="AL29" s="153"/>
      <c r="AM29" s="153"/>
      <c r="AN29" s="153"/>
      <c r="AO29" s="153"/>
      <c r="AP29" s="153"/>
      <c r="AQ29" s="153"/>
      <c r="AR29" s="153"/>
      <c r="AS29" s="153"/>
      <c r="AT29" s="153"/>
      <c r="AU29" s="153"/>
      <c r="AV29" s="153"/>
      <c r="AW29" s="153"/>
      <c r="AX29" s="153"/>
      <c r="AY29" s="153"/>
      <c r="AZ29" s="153"/>
      <c r="BA29" s="153"/>
      <c r="BB29" s="153"/>
      <c r="BC29" s="153"/>
      <c r="BD29" s="153"/>
      <c r="BE29" s="153"/>
      <c r="BF29" s="153"/>
      <c r="BG29" s="153"/>
      <c r="BH29" s="153"/>
      <c r="BI29" s="153"/>
      <c r="BJ29" s="153"/>
      <c r="BK29" s="153"/>
      <c r="BL29" s="153"/>
      <c r="BM29" s="154"/>
      <c r="BN29" s="96"/>
      <c r="BO29" s="96"/>
      <c r="BP29" s="96"/>
      <c r="BQ29" s="96"/>
      <c r="BR29" s="96"/>
      <c r="BS29" s="96"/>
      <c r="BT29" s="96"/>
      <c r="BU29" s="96"/>
      <c r="BV29" s="96"/>
      <c r="BW29" s="96"/>
      <c r="BX29" s="96"/>
      <c r="BY29" s="96"/>
      <c r="BZ29" s="96"/>
      <c r="CA29" s="96"/>
      <c r="CB29" s="96"/>
      <c r="CC29" s="96"/>
      <c r="CD29" s="96"/>
      <c r="CE29" s="96"/>
      <c r="CF29" s="96"/>
      <c r="CG29" s="96"/>
    </row>
    <row r="30" customFormat="false" ht="86.25" hidden="false" customHeight="true" outlineLevel="0" collapsed="false">
      <c r="A30" s="96"/>
      <c r="B30" s="155" t="s">
        <v>210</v>
      </c>
      <c r="C30" s="155"/>
      <c r="D30" s="155"/>
      <c r="E30" s="156" t="s">
        <v>211</v>
      </c>
      <c r="F30" s="156"/>
      <c r="G30" s="156"/>
      <c r="H30" s="156"/>
      <c r="I30" s="156"/>
      <c r="J30" s="156"/>
      <c r="K30" s="156"/>
      <c r="L30" s="156"/>
      <c r="M30" s="156"/>
      <c r="N30" s="156"/>
      <c r="O30" s="156"/>
      <c r="P30" s="156"/>
      <c r="Q30" s="156"/>
      <c r="R30" s="156"/>
      <c r="S30" s="156"/>
      <c r="T30" s="156"/>
      <c r="U30" s="156"/>
      <c r="V30" s="156"/>
      <c r="W30" s="156"/>
      <c r="X30" s="156"/>
      <c r="Y30" s="156"/>
      <c r="Z30" s="156"/>
      <c r="AA30" s="156"/>
      <c r="AB30" s="156"/>
      <c r="AC30" s="156"/>
      <c r="AD30" s="156"/>
      <c r="AE30" s="156"/>
      <c r="AF30" s="156"/>
      <c r="AG30" s="156"/>
      <c r="AH30" s="156"/>
      <c r="AI30" s="156"/>
      <c r="AJ30" s="156"/>
      <c r="AK30" s="156"/>
      <c r="AL30" s="156"/>
      <c r="AM30" s="156"/>
      <c r="AN30" s="156"/>
      <c r="AO30" s="156"/>
      <c r="AP30" s="156"/>
      <c r="AQ30" s="156"/>
      <c r="AR30" s="156"/>
      <c r="AS30" s="156"/>
      <c r="AT30" s="156"/>
      <c r="AU30" s="156"/>
      <c r="AV30" s="156"/>
      <c r="AW30" s="156"/>
      <c r="AX30" s="156"/>
      <c r="AY30" s="156"/>
      <c r="AZ30" s="156"/>
      <c r="BA30" s="156"/>
      <c r="BB30" s="156"/>
      <c r="BC30" s="156"/>
      <c r="BD30" s="156"/>
      <c r="BE30" s="156"/>
      <c r="BF30" s="156"/>
      <c r="BG30" s="156"/>
      <c r="BH30" s="156"/>
      <c r="BI30" s="156"/>
      <c r="BJ30" s="156"/>
      <c r="BK30" s="156"/>
      <c r="BL30" s="156"/>
      <c r="BM30" s="156"/>
      <c r="BN30" s="96"/>
      <c r="BO30" s="96"/>
      <c r="BP30" s="96"/>
      <c r="BQ30" s="96"/>
      <c r="BR30" s="96"/>
      <c r="BS30" s="96"/>
      <c r="BT30" s="96"/>
      <c r="BU30" s="96"/>
      <c r="BV30" s="96"/>
      <c r="BW30" s="96"/>
      <c r="BX30" s="96"/>
      <c r="BY30" s="96"/>
      <c r="BZ30" s="96"/>
      <c r="CA30" s="96"/>
      <c r="CB30" s="96"/>
      <c r="CC30" s="96"/>
      <c r="CD30" s="96"/>
      <c r="CE30" s="96"/>
      <c r="CF30" s="96"/>
      <c r="CG30" s="96"/>
    </row>
    <row r="31" customFormat="false" ht="52.5" hidden="false" customHeight="true" outlineLevel="0" collapsed="false">
      <c r="A31" s="96"/>
      <c r="B31" s="157" t="s">
        <v>212</v>
      </c>
      <c r="C31" s="158" t="s">
        <v>196</v>
      </c>
      <c r="D31" s="159" t="s">
        <v>213</v>
      </c>
      <c r="E31" s="160" t="n">
        <v>1</v>
      </c>
      <c r="F31" s="160" t="n">
        <v>2</v>
      </c>
      <c r="G31" s="160" t="n">
        <v>3</v>
      </c>
      <c r="H31" s="160" t="n">
        <v>4</v>
      </c>
      <c r="I31" s="160" t="n">
        <v>5</v>
      </c>
      <c r="J31" s="160" t="n">
        <v>6</v>
      </c>
      <c r="K31" s="160" t="n">
        <v>7</v>
      </c>
      <c r="L31" s="160" t="n">
        <v>8</v>
      </c>
      <c r="M31" s="160" t="n">
        <v>9</v>
      </c>
      <c r="N31" s="160" t="n">
        <v>10</v>
      </c>
      <c r="O31" s="160" t="n">
        <v>11</v>
      </c>
      <c r="P31" s="160" t="n">
        <v>12</v>
      </c>
      <c r="Q31" s="160" t="n">
        <v>13</v>
      </c>
      <c r="R31" s="160" t="n">
        <v>14</v>
      </c>
      <c r="S31" s="160" t="n">
        <v>15</v>
      </c>
      <c r="T31" s="160" t="n">
        <v>16</v>
      </c>
      <c r="U31" s="160" t="n">
        <v>17</v>
      </c>
      <c r="V31" s="160" t="n">
        <v>18</v>
      </c>
      <c r="W31" s="160" t="n">
        <v>19</v>
      </c>
      <c r="X31" s="160" t="n">
        <v>20</v>
      </c>
      <c r="Y31" s="160" t="n">
        <v>21</v>
      </c>
      <c r="Z31" s="160" t="n">
        <v>22</v>
      </c>
      <c r="AA31" s="160" t="n">
        <v>23</v>
      </c>
      <c r="AB31" s="160" t="n">
        <v>24</v>
      </c>
      <c r="AC31" s="160" t="n">
        <v>25</v>
      </c>
      <c r="AD31" s="160" t="n">
        <v>26</v>
      </c>
      <c r="AE31" s="160" t="n">
        <v>27</v>
      </c>
      <c r="AF31" s="160" t="n">
        <v>28</v>
      </c>
      <c r="AG31" s="160" t="n">
        <v>29</v>
      </c>
      <c r="AH31" s="160" t="n">
        <v>30</v>
      </c>
      <c r="AI31" s="160" t="n">
        <v>31</v>
      </c>
      <c r="AJ31" s="160" t="n">
        <v>32</v>
      </c>
      <c r="AK31" s="160" t="n">
        <v>33</v>
      </c>
      <c r="AL31" s="160" t="n">
        <v>34</v>
      </c>
      <c r="AM31" s="160" t="n">
        <v>35</v>
      </c>
      <c r="AN31" s="160" t="n">
        <v>36</v>
      </c>
      <c r="AO31" s="160" t="n">
        <v>37</v>
      </c>
      <c r="AP31" s="160" t="n">
        <v>38</v>
      </c>
      <c r="AQ31" s="160" t="n">
        <v>39</v>
      </c>
      <c r="AR31" s="160" t="n">
        <v>40</v>
      </c>
      <c r="AS31" s="160" t="n">
        <v>41</v>
      </c>
      <c r="AT31" s="160" t="n">
        <v>42</v>
      </c>
      <c r="AU31" s="160" t="n">
        <v>43</v>
      </c>
      <c r="AV31" s="160" t="n">
        <v>44</v>
      </c>
      <c r="AW31" s="160" t="n">
        <v>45</v>
      </c>
      <c r="AX31" s="160" t="n">
        <v>46</v>
      </c>
      <c r="AY31" s="160" t="n">
        <v>47</v>
      </c>
      <c r="AZ31" s="160" t="n">
        <v>48</v>
      </c>
      <c r="BA31" s="160" t="n">
        <v>49</v>
      </c>
      <c r="BB31" s="160" t="n">
        <v>50</v>
      </c>
      <c r="BC31" s="160" t="n">
        <v>51</v>
      </c>
      <c r="BD31" s="160" t="n">
        <v>52</v>
      </c>
      <c r="BE31" s="160" t="n">
        <v>53</v>
      </c>
      <c r="BF31" s="160" t="n">
        <v>54</v>
      </c>
      <c r="BG31" s="160" t="n">
        <v>55</v>
      </c>
      <c r="BH31" s="160" t="n">
        <v>56</v>
      </c>
      <c r="BI31" s="160" t="n">
        <v>57</v>
      </c>
      <c r="BJ31" s="160" t="n">
        <v>58</v>
      </c>
      <c r="BK31" s="160" t="n">
        <v>59</v>
      </c>
      <c r="BL31" s="160" t="n">
        <v>60</v>
      </c>
      <c r="BM31" s="161" t="s">
        <v>198</v>
      </c>
      <c r="BN31" s="96"/>
      <c r="BO31" s="96"/>
      <c r="BP31" s="96"/>
      <c r="BQ31" s="96"/>
      <c r="BR31" s="96"/>
      <c r="BS31" s="96"/>
      <c r="BT31" s="96"/>
      <c r="BU31" s="96"/>
      <c r="BV31" s="96"/>
      <c r="BW31" s="96"/>
      <c r="BX31" s="96"/>
      <c r="BY31" s="96"/>
      <c r="BZ31" s="96"/>
      <c r="CA31" s="96"/>
      <c r="CB31" s="96"/>
      <c r="CC31" s="96"/>
      <c r="CD31" s="96"/>
      <c r="CE31" s="96"/>
      <c r="CF31" s="96"/>
      <c r="CG31" s="96"/>
    </row>
    <row r="32" s="96" customFormat="true" ht="30.75" hidden="false" customHeight="true" outlineLevel="0" collapsed="false">
      <c r="A32" s="162" t="s">
        <v>214</v>
      </c>
      <c r="B32" s="163" t="s">
        <v>215</v>
      </c>
      <c r="C32" s="147"/>
      <c r="D32" s="131" t="s">
        <v>68</v>
      </c>
      <c r="E32" s="131" t="n">
        <f aca="false">IF(E$13&gt;IF($C$11="24 місяці",24,IF($C$11="36 місяців",36,60)),0,SUM(E33:E44))</f>
        <v>1120000</v>
      </c>
      <c r="F32" s="131" t="n">
        <f aca="false">IF(F$13&gt;IF($C$11="24 місяці",24,IF($C$11="36 місяців",36,60)),0,SUM(F33:F44))</f>
        <v>13000</v>
      </c>
      <c r="G32" s="131" t="n">
        <f aca="false">IF(G$13&gt;IF($C$11="24 місяці",24,IF($C$11="36 місяців",36,60)),0,SUM(G33:G44))</f>
        <v>13000</v>
      </c>
      <c r="H32" s="131" t="n">
        <f aca="false">IF(H$13&gt;IF($C$11="24 місяці",24,IF($C$11="36 місяців",36,60)),0,SUM(H33:H44))</f>
        <v>13000</v>
      </c>
      <c r="I32" s="131" t="n">
        <f aca="false">IF(I$13&gt;IF($C$11="24 місяці",24,IF($C$11="36 місяців",36,60)),0,SUM(I33:I44))</f>
        <v>13000</v>
      </c>
      <c r="J32" s="131" t="n">
        <f aca="false">IF(J$13&gt;IF($C$11="24 місяці",24,IF($C$11="36 місяців",36,60)),0,SUM(J33:J44))</f>
        <v>13000</v>
      </c>
      <c r="K32" s="131" t="n">
        <f aca="false">IF(K$13&gt;IF($C$11="24 місяці",24,IF($C$11="36 місяців",36,60)),0,SUM(K33:K44))</f>
        <v>15000</v>
      </c>
      <c r="L32" s="131" t="n">
        <f aca="false">IF(L$13&gt;IF($C$11="24 місяці",24,IF($C$11="36 місяців",36,60)),0,SUM(L33:L44))</f>
        <v>15000</v>
      </c>
      <c r="M32" s="131" t="n">
        <f aca="false">IF(M$13&gt;IF($C$11="24 місяці",24,IF($C$11="36 місяців",36,60)),0,SUM(M33:M44))</f>
        <v>15000</v>
      </c>
      <c r="N32" s="131" t="n">
        <f aca="false">IF(N$13&gt;IF($C$11="24 місяці",24,IF($C$11="36 місяців",36,60)),0,SUM(N33:N44))</f>
        <v>15000</v>
      </c>
      <c r="O32" s="131" t="n">
        <f aca="false">IF(O$13&gt;IF($C$11="24 місяці",24,IF($C$11="36 місяців",36,60)),0,SUM(O33:O44))</f>
        <v>15000</v>
      </c>
      <c r="P32" s="131" t="n">
        <f aca="false">IF(P$13&gt;IF($C$11="24 місяці",24,IF($C$11="36 місяців",36,60)),0,SUM(P33:P44))</f>
        <v>13000</v>
      </c>
      <c r="Q32" s="131" t="n">
        <f aca="false">IF(Q$13&gt;IF($C$11="24 місяці",24,IF($C$11="36 місяців",36,60)),0,SUM(Q33:Q44))</f>
        <v>320860</v>
      </c>
      <c r="R32" s="131" t="n">
        <f aca="false">IF(R$13&gt;IF($C$11="24 місяці",24,IF($C$11="36 місяців",36,60)),0,SUM(R33:R44))</f>
        <v>45000</v>
      </c>
      <c r="S32" s="131" t="n">
        <f aca="false">IF(S$13&gt;IF($C$11="24 місяці",24,IF($C$11="36 місяців",36,60)),0,SUM(S33:S44))</f>
        <v>45000</v>
      </c>
      <c r="T32" s="131" t="n">
        <f aca="false">IF(T$13&gt;IF($C$11="24 місяці",24,IF($C$11="36 місяців",36,60)),0,SUM(T33:T44))</f>
        <v>45000</v>
      </c>
      <c r="U32" s="131" t="n">
        <f aca="false">IF(U$13&gt;IF($C$11="24 місяці",24,IF($C$11="36 місяців",36,60)),0,SUM(U33:U44))</f>
        <v>45000</v>
      </c>
      <c r="V32" s="131" t="n">
        <f aca="false">IF(V$13&gt;IF($C$11="24 місяці",24,IF($C$11="36 місяців",36,60)),0,SUM(V33:V44))</f>
        <v>45000</v>
      </c>
      <c r="W32" s="131" t="n">
        <f aca="false">IF(W$13&gt;IF($C$11="24 місяці",24,IF($C$11="36 місяців",36,60)),0,SUM(W33:W44))</f>
        <v>47000</v>
      </c>
      <c r="X32" s="131" t="n">
        <f aca="false">IF(X$13&gt;IF($C$11="24 місяці",24,IF($C$11="36 місяців",36,60)),0,SUM(X33:X44))</f>
        <v>47000</v>
      </c>
      <c r="Y32" s="131" t="n">
        <f aca="false">IF(Y$13&gt;IF($C$11="24 місяці",24,IF($C$11="36 місяців",36,60)),0,SUM(Y33:Y44))</f>
        <v>47000</v>
      </c>
      <c r="Z32" s="131" t="n">
        <f aca="false">IF(Z$13&gt;IF($C$11="24 місяці",24,IF($C$11="36 місяців",36,60)),0,SUM(Z33:Z44))</f>
        <v>47000</v>
      </c>
      <c r="AA32" s="131" t="n">
        <f aca="false">IF(AA$13&gt;IF($C$11="24 місяці",24,IF($C$11="36 місяців",36,60)),0,SUM(AA33:AA44))</f>
        <v>47000</v>
      </c>
      <c r="AB32" s="131" t="n">
        <f aca="false">IF(AB$13&gt;IF($C$11="24 місяці",24,IF($C$11="36 місяців",36,60)),0,SUM(AB33:AB44))</f>
        <v>45000</v>
      </c>
      <c r="AC32" s="131" t="n">
        <f aca="false">IF(AC$13&gt;IF($C$11="24 місяці",24,IF($C$11="36 місяців",36,60)),0,SUM(AC33:AC44))</f>
        <v>45000</v>
      </c>
      <c r="AD32" s="131" t="n">
        <f aca="false">IF(AD$13&gt;IF($C$11="24 місяці",24,IF($C$11="36 місяців",36,60)),0,SUM(AD33:AD44))</f>
        <v>45000</v>
      </c>
      <c r="AE32" s="131" t="n">
        <f aca="false">IF(AE$13&gt;IF($C$11="24 місяці",24,IF($C$11="36 місяців",36,60)),0,SUM(AE33:AE44))</f>
        <v>45000</v>
      </c>
      <c r="AF32" s="131" t="n">
        <f aca="false">IF(AF$13&gt;IF($C$11="24 місяці",24,IF($C$11="36 місяців",36,60)),0,SUM(AF33:AF44))</f>
        <v>45000</v>
      </c>
      <c r="AG32" s="131" t="n">
        <f aca="false">IF(AG$13&gt;IF($C$11="24 місяці",24,IF($C$11="36 місяців",36,60)),0,SUM(AG33:AG44))</f>
        <v>45000</v>
      </c>
      <c r="AH32" s="131" t="n">
        <f aca="false">IF(AH$13&gt;IF($C$11="24 місяці",24,IF($C$11="36 місяців",36,60)),0,SUM(AH33:AH44))</f>
        <v>45000</v>
      </c>
      <c r="AI32" s="131" t="n">
        <f aca="false">IF(AI$13&gt;IF($C$11="24 місяці",24,IF($C$11="36 місяців",36,60)),0,SUM(AI33:AI44))</f>
        <v>47000</v>
      </c>
      <c r="AJ32" s="131" t="n">
        <f aca="false">IF(AJ$13&gt;IF($C$11="24 місяці",24,IF($C$11="36 місяців",36,60)),0,SUM(AJ33:AJ44))</f>
        <v>47000</v>
      </c>
      <c r="AK32" s="131" t="n">
        <f aca="false">IF(AK$13&gt;IF($C$11="24 місяці",24,IF($C$11="36 місяців",36,60)),0,SUM(AK33:AK44))</f>
        <v>47000</v>
      </c>
      <c r="AL32" s="131" t="n">
        <f aca="false">IF(AL$13&gt;IF($C$11="24 місяці",24,IF($C$11="36 місяців",36,60)),0,SUM(AL33:AL44))</f>
        <v>47000</v>
      </c>
      <c r="AM32" s="131" t="n">
        <f aca="false">IF(AM$13&gt;IF($C$11="24 місяці",24,IF($C$11="36 місяців",36,60)),0,SUM(AM33:AM44))</f>
        <v>47000</v>
      </c>
      <c r="AN32" s="131" t="n">
        <f aca="false">IF(AN$13&gt;IF($C$11="24 місяці",24,IF($C$11="36 місяців",36,60)),0,SUM(AN33:AN44))</f>
        <v>45000</v>
      </c>
      <c r="AO32" s="131" t="n">
        <f aca="false">IF(AO$13&gt;IF($C$11="24 місяці",24,IF($C$11="36 місяців",36,60)),0,SUM(AO33:AO44))</f>
        <v>0</v>
      </c>
      <c r="AP32" s="131" t="n">
        <f aca="false">IF(AP$13&gt;IF($C$11="24 місяці",24,IF($C$11="36 місяців",36,60)),0,SUM(AP33:AP44))</f>
        <v>0</v>
      </c>
      <c r="AQ32" s="131" t="n">
        <f aca="false">IF(AQ$13&gt;IF($C$11="24 місяці",24,IF($C$11="36 місяців",36,60)),0,SUM(AQ33:AQ44))</f>
        <v>0</v>
      </c>
      <c r="AR32" s="131" t="n">
        <f aca="false">IF(AR$13&gt;IF($C$11="24 місяці",24,IF($C$11="36 місяців",36,60)),0,SUM(AR33:AR44))</f>
        <v>0</v>
      </c>
      <c r="AS32" s="131" t="n">
        <f aca="false">IF(AS$13&gt;IF($C$11="24 місяці",24,IF($C$11="36 місяців",36,60)),0,SUM(AS33:AS44))</f>
        <v>0</v>
      </c>
      <c r="AT32" s="131" t="n">
        <f aca="false">IF(AT$13&gt;IF($C$11="24 місяці",24,IF($C$11="36 місяців",36,60)),0,SUM(AT33:AT44))</f>
        <v>0</v>
      </c>
      <c r="AU32" s="131" t="n">
        <f aca="false">IF(AU$13&gt;IF($C$11="24 місяці",24,IF($C$11="36 місяців",36,60)),0,SUM(AU33:AU44))</f>
        <v>0</v>
      </c>
      <c r="AV32" s="131" t="n">
        <f aca="false">IF(AV$13&gt;IF($C$11="24 місяці",24,IF($C$11="36 місяців",36,60)),0,SUM(AV33:AV44))</f>
        <v>0</v>
      </c>
      <c r="AW32" s="131" t="n">
        <f aca="false">IF(AW$13&gt;IF($C$11="24 місяці",24,IF($C$11="36 місяців",36,60)),0,SUM(AW33:AW44))</f>
        <v>0</v>
      </c>
      <c r="AX32" s="131" t="n">
        <f aca="false">IF(AX$13&gt;IF($C$11="24 місяці",24,IF($C$11="36 місяців",36,60)),0,SUM(AX33:AX44))</f>
        <v>0</v>
      </c>
      <c r="AY32" s="131" t="n">
        <f aca="false">IF(AY$13&gt;IF($C$11="24 місяці",24,IF($C$11="36 місяців",36,60)),0,SUM(AY33:AY44))</f>
        <v>0</v>
      </c>
      <c r="AZ32" s="131" t="n">
        <f aca="false">IF(AZ$13&gt;IF($C$11="24 місяці",24,IF($C$11="36 місяців",36,60)),0,SUM(AZ33:AZ44))</f>
        <v>0</v>
      </c>
      <c r="BA32" s="131" t="n">
        <f aca="false">IF(BA$13&gt;IF($C$11="24 місяці",24,IF($C$11="36 місяців",36,60)),0,SUM(BA33:BA44))</f>
        <v>0</v>
      </c>
      <c r="BB32" s="131" t="n">
        <f aca="false">IF(BB$13&gt;IF($C$11="24 місяці",24,IF($C$11="36 місяців",36,60)),0,SUM(BB33:BB44))</f>
        <v>0</v>
      </c>
      <c r="BC32" s="131" t="n">
        <f aca="false">IF(BC$13&gt;IF($C$11="24 місяці",24,IF($C$11="36 місяців",36,60)),0,SUM(BC33:BC44))</f>
        <v>0</v>
      </c>
      <c r="BD32" s="131" t="n">
        <f aca="false">IF(BD$13&gt;IF($C$11="24 місяці",24,IF($C$11="36 місяців",36,60)),0,SUM(BD33:BD44))</f>
        <v>0</v>
      </c>
      <c r="BE32" s="131" t="n">
        <f aca="false">IF(BE$13&gt;IF($C$11="24 місяці",24,IF($C$11="36 місяців",36,60)),0,SUM(BE33:BE44))</f>
        <v>0</v>
      </c>
      <c r="BF32" s="131" t="n">
        <f aca="false">IF(BF$13&gt;IF($C$11="24 місяці",24,IF($C$11="36 місяців",36,60)),0,SUM(BF33:BF44))</f>
        <v>0</v>
      </c>
      <c r="BG32" s="131" t="n">
        <f aca="false">IF(BG$13&gt;IF($C$11="24 місяці",24,IF($C$11="36 місяців",36,60)),0,SUM(BG33:BG44))</f>
        <v>0</v>
      </c>
      <c r="BH32" s="131" t="n">
        <f aca="false">IF(BH$13&gt;IF($C$11="24 місяці",24,IF($C$11="36 місяців",36,60)),0,SUM(BH33:BH44))</f>
        <v>0</v>
      </c>
      <c r="BI32" s="131" t="n">
        <f aca="false">IF(BI$13&gt;IF($C$11="24 місяці",24,IF($C$11="36 місяців",36,60)),0,SUM(BI33:BI44))</f>
        <v>0</v>
      </c>
      <c r="BJ32" s="131" t="n">
        <f aca="false">IF(BJ$13&gt;IF($C$11="24 місяці",24,IF($C$11="36 місяців",36,60)),0,SUM(BJ33:BJ44))</f>
        <v>0</v>
      </c>
      <c r="BK32" s="131" t="n">
        <f aca="false">IF(BK$13&gt;IF($C$11="24 місяці",24,IF($C$11="36 місяців",36,60)),0,SUM(BK33:BK44))</f>
        <v>0</v>
      </c>
      <c r="BL32" s="131" t="n">
        <f aca="false">IF(BL$13&gt;IF($C$11="24 місяці",24,IF($C$11="36 місяців",36,60)),0,SUM(BL33:BL44))</f>
        <v>0</v>
      </c>
      <c r="BM32" s="131" t="n">
        <f aca="false">IF($C$11="24 місяці",SUM(E32:AB32),IF($C$11="36 місяців",SUM(E32:AN32),SUM(E32:BL32)))</f>
        <v>2648860</v>
      </c>
    </row>
    <row r="33" s="96" customFormat="true" ht="48.75" hidden="false" customHeight="true" outlineLevel="0" collapsed="false">
      <c r="A33" s="162"/>
      <c r="B33" s="163" t="s">
        <v>216</v>
      </c>
      <c r="C33" s="78" t="s">
        <v>217</v>
      </c>
      <c r="D33" s="131" t="s">
        <v>68</v>
      </c>
      <c r="E33" s="45" t="n">
        <v>1500</v>
      </c>
      <c r="F33" s="45" t="n">
        <v>1500</v>
      </c>
      <c r="G33" s="45" t="n">
        <v>1500</v>
      </c>
      <c r="H33" s="45" t="n">
        <v>1500</v>
      </c>
      <c r="I33" s="45" t="n">
        <v>1500</v>
      </c>
      <c r="J33" s="45" t="n">
        <v>1500</v>
      </c>
      <c r="K33" s="45" t="n">
        <v>1500</v>
      </c>
      <c r="L33" s="45" t="n">
        <v>1500</v>
      </c>
      <c r="M33" s="45" t="n">
        <v>1500</v>
      </c>
      <c r="N33" s="45" t="n">
        <v>1500</v>
      </c>
      <c r="O33" s="45" t="n">
        <v>1500</v>
      </c>
      <c r="P33" s="45" t="n">
        <v>1500</v>
      </c>
      <c r="Q33" s="45" t="n">
        <v>1500</v>
      </c>
      <c r="R33" s="45" t="n">
        <v>1500</v>
      </c>
      <c r="S33" s="45" t="n">
        <v>1500</v>
      </c>
      <c r="T33" s="45" t="n">
        <v>1500</v>
      </c>
      <c r="U33" s="45" t="n">
        <v>1500</v>
      </c>
      <c r="V33" s="45" t="n">
        <v>1500</v>
      </c>
      <c r="W33" s="45" t="n">
        <v>1500</v>
      </c>
      <c r="X33" s="45" t="n">
        <v>1500</v>
      </c>
      <c r="Y33" s="45" t="n">
        <v>1500</v>
      </c>
      <c r="Z33" s="45" t="n">
        <v>1500</v>
      </c>
      <c r="AA33" s="45" t="n">
        <v>1500</v>
      </c>
      <c r="AB33" s="45" t="n">
        <v>1500</v>
      </c>
      <c r="AC33" s="45" t="n">
        <v>1500</v>
      </c>
      <c r="AD33" s="45" t="n">
        <v>1500</v>
      </c>
      <c r="AE33" s="45" t="n">
        <v>1500</v>
      </c>
      <c r="AF33" s="45" t="n">
        <v>1500</v>
      </c>
      <c r="AG33" s="45" t="n">
        <v>1500</v>
      </c>
      <c r="AH33" s="45" t="n">
        <v>1500</v>
      </c>
      <c r="AI33" s="45" t="n">
        <v>1500</v>
      </c>
      <c r="AJ33" s="45" t="n">
        <v>1500</v>
      </c>
      <c r="AK33" s="45" t="n">
        <v>1500</v>
      </c>
      <c r="AL33" s="45" t="n">
        <v>1500</v>
      </c>
      <c r="AM33" s="45" t="n">
        <v>1500</v>
      </c>
      <c r="AN33" s="45" t="n">
        <v>1500</v>
      </c>
      <c r="AO33" s="45" t="n">
        <v>0</v>
      </c>
      <c r="AP33" s="45" t="n">
        <v>0</v>
      </c>
      <c r="AQ33" s="45" t="n">
        <v>0</v>
      </c>
      <c r="AR33" s="45" t="n">
        <v>0</v>
      </c>
      <c r="AS33" s="45" t="n">
        <v>0</v>
      </c>
      <c r="AT33" s="45" t="n">
        <v>0</v>
      </c>
      <c r="AU33" s="45" t="n">
        <v>0</v>
      </c>
      <c r="AV33" s="45" t="n">
        <v>0</v>
      </c>
      <c r="AW33" s="45" t="n">
        <v>0</v>
      </c>
      <c r="AX33" s="45" t="n">
        <v>0</v>
      </c>
      <c r="AY33" s="45" t="n">
        <v>0</v>
      </c>
      <c r="AZ33" s="45" t="n">
        <v>0</v>
      </c>
      <c r="BA33" s="45" t="n">
        <v>0</v>
      </c>
      <c r="BB33" s="45" t="n">
        <v>0</v>
      </c>
      <c r="BC33" s="45" t="n">
        <v>0</v>
      </c>
      <c r="BD33" s="45" t="n">
        <v>0</v>
      </c>
      <c r="BE33" s="45" t="n">
        <v>0</v>
      </c>
      <c r="BF33" s="45" t="n">
        <v>0</v>
      </c>
      <c r="BG33" s="45" t="n">
        <v>0</v>
      </c>
      <c r="BH33" s="45" t="n">
        <v>0</v>
      </c>
      <c r="BI33" s="45" t="n">
        <v>0</v>
      </c>
      <c r="BJ33" s="45" t="n">
        <v>0</v>
      </c>
      <c r="BK33" s="45" t="n">
        <v>0</v>
      </c>
      <c r="BL33" s="45" t="n">
        <v>0</v>
      </c>
      <c r="BM33" s="164" t="n">
        <f aca="false">IF($C$11="24 місяці",SUM(E33:AB33),IF($C$11="36 місяців",SUM(E33:AN33),SUM(E33:BL33)))</f>
        <v>54000</v>
      </c>
    </row>
    <row r="34" s="96" customFormat="true" ht="92.25" hidden="false" customHeight="true" outlineLevel="0" collapsed="false">
      <c r="A34" s="162"/>
      <c r="B34" s="163" t="s">
        <v>218</v>
      </c>
      <c r="C34" s="78" t="s">
        <v>219</v>
      </c>
      <c r="D34" s="131" t="s">
        <v>68</v>
      </c>
      <c r="E34" s="45" t="n">
        <v>180000</v>
      </c>
      <c r="F34" s="45" t="n">
        <v>0</v>
      </c>
      <c r="G34" s="45" t="n">
        <v>0</v>
      </c>
      <c r="H34" s="45" t="n">
        <v>0</v>
      </c>
      <c r="I34" s="45" t="n">
        <v>0</v>
      </c>
      <c r="J34" s="45" t="n">
        <v>0</v>
      </c>
      <c r="K34" s="45" t="n">
        <v>0</v>
      </c>
      <c r="L34" s="45" t="n">
        <v>0</v>
      </c>
      <c r="M34" s="45" t="n">
        <v>0</v>
      </c>
      <c r="N34" s="45" t="n">
        <v>0</v>
      </c>
      <c r="O34" s="45" t="n">
        <v>0</v>
      </c>
      <c r="P34" s="45" t="n">
        <v>0</v>
      </c>
      <c r="Q34" s="45" t="n">
        <v>15000</v>
      </c>
      <c r="R34" s="45" t="n">
        <v>15000</v>
      </c>
      <c r="S34" s="45" t="n">
        <v>15000</v>
      </c>
      <c r="T34" s="45" t="n">
        <v>15000</v>
      </c>
      <c r="U34" s="45" t="n">
        <v>15000</v>
      </c>
      <c r="V34" s="45" t="n">
        <v>15000</v>
      </c>
      <c r="W34" s="45" t="n">
        <v>15000</v>
      </c>
      <c r="X34" s="45" t="n">
        <v>15000</v>
      </c>
      <c r="Y34" s="45" t="n">
        <v>15000</v>
      </c>
      <c r="Z34" s="45" t="n">
        <v>15000</v>
      </c>
      <c r="AA34" s="45" t="n">
        <v>15000</v>
      </c>
      <c r="AB34" s="45" t="n">
        <v>15000</v>
      </c>
      <c r="AC34" s="45" t="n">
        <v>15000</v>
      </c>
      <c r="AD34" s="45" t="n">
        <v>15000</v>
      </c>
      <c r="AE34" s="45" t="n">
        <v>15000</v>
      </c>
      <c r="AF34" s="45" t="n">
        <v>15000</v>
      </c>
      <c r="AG34" s="45" t="n">
        <v>15000</v>
      </c>
      <c r="AH34" s="45" t="n">
        <v>15000</v>
      </c>
      <c r="AI34" s="45" t="n">
        <v>15000</v>
      </c>
      <c r="AJ34" s="45" t="n">
        <v>15000</v>
      </c>
      <c r="AK34" s="45" t="n">
        <v>15000</v>
      </c>
      <c r="AL34" s="45" t="n">
        <v>15000</v>
      </c>
      <c r="AM34" s="45" t="n">
        <v>15000</v>
      </c>
      <c r="AN34" s="45" t="n">
        <v>15000</v>
      </c>
      <c r="AO34" s="45" t="n">
        <v>0</v>
      </c>
      <c r="AP34" s="45" t="n">
        <v>0</v>
      </c>
      <c r="AQ34" s="45" t="n">
        <v>0</v>
      </c>
      <c r="AR34" s="45" t="n">
        <v>0</v>
      </c>
      <c r="AS34" s="45" t="n">
        <v>0</v>
      </c>
      <c r="AT34" s="45" t="n">
        <v>0</v>
      </c>
      <c r="AU34" s="45" t="n">
        <v>0</v>
      </c>
      <c r="AV34" s="45" t="n">
        <v>0</v>
      </c>
      <c r="AW34" s="45" t="n">
        <v>0</v>
      </c>
      <c r="AX34" s="45" t="n">
        <v>0</v>
      </c>
      <c r="AY34" s="45" t="n">
        <v>0</v>
      </c>
      <c r="AZ34" s="45" t="n">
        <v>0</v>
      </c>
      <c r="BA34" s="45" t="n">
        <v>0</v>
      </c>
      <c r="BB34" s="45" t="n">
        <v>0</v>
      </c>
      <c r="BC34" s="45" t="n">
        <v>0</v>
      </c>
      <c r="BD34" s="45" t="n">
        <v>0</v>
      </c>
      <c r="BE34" s="45" t="n">
        <v>0</v>
      </c>
      <c r="BF34" s="45" t="n">
        <v>0</v>
      </c>
      <c r="BG34" s="45" t="n">
        <v>0</v>
      </c>
      <c r="BH34" s="45" t="n">
        <v>0</v>
      </c>
      <c r="BI34" s="45" t="n">
        <v>0</v>
      </c>
      <c r="BJ34" s="45" t="n">
        <v>0</v>
      </c>
      <c r="BK34" s="45" t="n">
        <v>0</v>
      </c>
      <c r="BL34" s="45" t="n">
        <v>0</v>
      </c>
      <c r="BM34" s="164" t="n">
        <f aca="false">IF($C$11="24 місяці",SUM(E34:AB34),IF($C$11="36 місяців",SUM(E34:AN34),SUM(E34:BL34)))</f>
        <v>540000</v>
      </c>
    </row>
    <row r="35" s="96" customFormat="true" ht="17.25" hidden="false" customHeight="true" outlineLevel="0" collapsed="false">
      <c r="A35" s="162"/>
      <c r="B35" s="165" t="s">
        <v>220</v>
      </c>
      <c r="C35" s="147"/>
      <c r="D35" s="131" t="s">
        <v>68</v>
      </c>
      <c r="E35" s="45" t="n">
        <v>0</v>
      </c>
      <c r="F35" s="45" t="n">
        <v>0</v>
      </c>
      <c r="G35" s="45" t="n">
        <v>0</v>
      </c>
      <c r="H35" s="45" t="n">
        <v>0</v>
      </c>
      <c r="I35" s="45" t="n">
        <v>0</v>
      </c>
      <c r="J35" s="45" t="n">
        <v>0</v>
      </c>
      <c r="K35" s="45" t="n">
        <v>0</v>
      </c>
      <c r="L35" s="45" t="n">
        <v>0</v>
      </c>
      <c r="M35" s="45" t="n">
        <v>0</v>
      </c>
      <c r="N35" s="45" t="n">
        <v>0</v>
      </c>
      <c r="O35" s="45" t="n">
        <v>0</v>
      </c>
      <c r="P35" s="45" t="n">
        <v>0</v>
      </c>
      <c r="Q35" s="45" t="n">
        <v>0</v>
      </c>
      <c r="R35" s="45" t="n">
        <v>0</v>
      </c>
      <c r="S35" s="45" t="n">
        <v>0</v>
      </c>
      <c r="T35" s="45" t="n">
        <v>0</v>
      </c>
      <c r="U35" s="45" t="n">
        <v>0</v>
      </c>
      <c r="V35" s="45" t="n">
        <v>0</v>
      </c>
      <c r="W35" s="45" t="n">
        <v>0</v>
      </c>
      <c r="X35" s="45" t="n">
        <v>0</v>
      </c>
      <c r="Y35" s="45" t="n">
        <v>0</v>
      </c>
      <c r="Z35" s="45" t="n">
        <v>0</v>
      </c>
      <c r="AA35" s="45" t="n">
        <v>0</v>
      </c>
      <c r="AB35" s="45" t="n">
        <v>0</v>
      </c>
      <c r="AC35" s="45" t="n">
        <v>0</v>
      </c>
      <c r="AD35" s="45" t="n">
        <v>0</v>
      </c>
      <c r="AE35" s="45" t="n">
        <v>0</v>
      </c>
      <c r="AF35" s="45" t="n">
        <v>0</v>
      </c>
      <c r="AG35" s="45" t="n">
        <v>0</v>
      </c>
      <c r="AH35" s="45" t="n">
        <v>0</v>
      </c>
      <c r="AI35" s="45" t="n">
        <v>0</v>
      </c>
      <c r="AJ35" s="45" t="n">
        <v>0</v>
      </c>
      <c r="AK35" s="45" t="n">
        <v>0</v>
      </c>
      <c r="AL35" s="45" t="n">
        <v>0</v>
      </c>
      <c r="AM35" s="45" t="n">
        <v>0</v>
      </c>
      <c r="AN35" s="45" t="n">
        <v>0</v>
      </c>
      <c r="AO35" s="45" t="n">
        <v>0</v>
      </c>
      <c r="AP35" s="45" t="n">
        <v>0</v>
      </c>
      <c r="AQ35" s="45" t="n">
        <v>0</v>
      </c>
      <c r="AR35" s="45" t="n">
        <v>0</v>
      </c>
      <c r="AS35" s="45" t="n">
        <v>0</v>
      </c>
      <c r="AT35" s="45" t="n">
        <v>0</v>
      </c>
      <c r="AU35" s="45" t="n">
        <v>0</v>
      </c>
      <c r="AV35" s="45" t="n">
        <v>0</v>
      </c>
      <c r="AW35" s="45" t="n">
        <v>0</v>
      </c>
      <c r="AX35" s="45" t="n">
        <v>0</v>
      </c>
      <c r="AY35" s="45" t="n">
        <v>0</v>
      </c>
      <c r="AZ35" s="45" t="n">
        <v>0</v>
      </c>
      <c r="BA35" s="45" t="n">
        <v>0</v>
      </c>
      <c r="BB35" s="45" t="n">
        <v>0</v>
      </c>
      <c r="BC35" s="45" t="n">
        <v>0</v>
      </c>
      <c r="BD35" s="45" t="n">
        <v>0</v>
      </c>
      <c r="BE35" s="45" t="n">
        <v>0</v>
      </c>
      <c r="BF35" s="45" t="n">
        <v>0</v>
      </c>
      <c r="BG35" s="45" t="n">
        <v>0</v>
      </c>
      <c r="BH35" s="45" t="n">
        <v>0</v>
      </c>
      <c r="BI35" s="45" t="n">
        <v>0</v>
      </c>
      <c r="BJ35" s="45" t="n">
        <v>0</v>
      </c>
      <c r="BK35" s="45" t="n">
        <v>0</v>
      </c>
      <c r="BL35" s="45" t="n">
        <v>0</v>
      </c>
      <c r="BM35" s="164" t="n">
        <f aca="false">IF($C$11="24 місяці",SUM(E35:AB35),IF($C$11="36 місяців",SUM(E35:AN35),SUM(E35:BL35)))</f>
        <v>0</v>
      </c>
    </row>
    <row r="36" s="96" customFormat="true" ht="78" hidden="false" customHeight="true" outlineLevel="0" collapsed="false">
      <c r="A36" s="162"/>
      <c r="B36" s="163" t="s">
        <v>221</v>
      </c>
      <c r="C36" s="78" t="s">
        <v>222</v>
      </c>
      <c r="D36" s="131" t="s">
        <v>68</v>
      </c>
      <c r="E36" s="45" t="n">
        <v>110300</v>
      </c>
      <c r="F36" s="45" t="n">
        <v>300</v>
      </c>
      <c r="G36" s="45" t="n">
        <v>300</v>
      </c>
      <c r="H36" s="45" t="n">
        <v>300</v>
      </c>
      <c r="I36" s="45" t="n">
        <v>300</v>
      </c>
      <c r="J36" s="45" t="n">
        <v>300</v>
      </c>
      <c r="K36" s="45" t="n">
        <v>300</v>
      </c>
      <c r="L36" s="45" t="n">
        <v>300</v>
      </c>
      <c r="M36" s="45" t="n">
        <v>300</v>
      </c>
      <c r="N36" s="45" t="n">
        <v>300</v>
      </c>
      <c r="O36" s="45" t="n">
        <v>300</v>
      </c>
      <c r="P36" s="45" t="n">
        <v>300</v>
      </c>
      <c r="Q36" s="45" t="n">
        <v>276160</v>
      </c>
      <c r="R36" s="45" t="n">
        <v>300</v>
      </c>
      <c r="S36" s="45" t="n">
        <v>300</v>
      </c>
      <c r="T36" s="45" t="n">
        <v>300</v>
      </c>
      <c r="U36" s="45" t="n">
        <v>300</v>
      </c>
      <c r="V36" s="45" t="n">
        <v>300</v>
      </c>
      <c r="W36" s="45" t="n">
        <v>300</v>
      </c>
      <c r="X36" s="45" t="n">
        <v>300</v>
      </c>
      <c r="Y36" s="45" t="n">
        <v>300</v>
      </c>
      <c r="Z36" s="45" t="n">
        <v>300</v>
      </c>
      <c r="AA36" s="45" t="n">
        <v>300</v>
      </c>
      <c r="AB36" s="45" t="n">
        <v>300</v>
      </c>
      <c r="AC36" s="45" t="n">
        <v>300</v>
      </c>
      <c r="AD36" s="45" t="n">
        <v>300</v>
      </c>
      <c r="AE36" s="45" t="n">
        <v>300</v>
      </c>
      <c r="AF36" s="45" t="n">
        <v>300</v>
      </c>
      <c r="AG36" s="45" t="n">
        <v>300</v>
      </c>
      <c r="AH36" s="45" t="n">
        <v>300</v>
      </c>
      <c r="AI36" s="45" t="n">
        <v>300</v>
      </c>
      <c r="AJ36" s="45" t="n">
        <v>300</v>
      </c>
      <c r="AK36" s="45" t="n">
        <v>300</v>
      </c>
      <c r="AL36" s="45" t="n">
        <v>300</v>
      </c>
      <c r="AM36" s="45" t="n">
        <v>300</v>
      </c>
      <c r="AN36" s="45" t="n">
        <v>300</v>
      </c>
      <c r="AO36" s="45" t="n">
        <v>0</v>
      </c>
      <c r="AP36" s="45" t="n">
        <v>0</v>
      </c>
      <c r="AQ36" s="45" t="n">
        <v>0</v>
      </c>
      <c r="AR36" s="45" t="n">
        <v>0</v>
      </c>
      <c r="AS36" s="45" t="n">
        <v>0</v>
      </c>
      <c r="AT36" s="45" t="n">
        <v>0</v>
      </c>
      <c r="AU36" s="45" t="n">
        <v>0</v>
      </c>
      <c r="AV36" s="45" t="n">
        <v>0</v>
      </c>
      <c r="AW36" s="45" t="n">
        <v>0</v>
      </c>
      <c r="AX36" s="45" t="n">
        <v>0</v>
      </c>
      <c r="AY36" s="45" t="n">
        <v>0</v>
      </c>
      <c r="AZ36" s="45" t="n">
        <v>0</v>
      </c>
      <c r="BA36" s="45" t="n">
        <v>0</v>
      </c>
      <c r="BB36" s="45" t="n">
        <v>0</v>
      </c>
      <c r="BC36" s="45" t="n">
        <v>0</v>
      </c>
      <c r="BD36" s="45" t="n">
        <v>0</v>
      </c>
      <c r="BE36" s="45" t="n">
        <v>0</v>
      </c>
      <c r="BF36" s="45" t="n">
        <v>0</v>
      </c>
      <c r="BG36" s="45" t="n">
        <v>0</v>
      </c>
      <c r="BH36" s="45" t="n">
        <v>0</v>
      </c>
      <c r="BI36" s="45" t="n">
        <v>0</v>
      </c>
      <c r="BJ36" s="45" t="n">
        <v>0</v>
      </c>
      <c r="BK36" s="45" t="n">
        <v>0</v>
      </c>
      <c r="BL36" s="45" t="n">
        <v>0</v>
      </c>
      <c r="BM36" s="164" t="n">
        <f aca="false">IF($C$11="24 місяці",SUM(E36:AB36),IF($C$11="36 місяців",SUM(E36:AN36),SUM(E36:BL36)))</f>
        <v>396660</v>
      </c>
    </row>
    <row r="37" s="96" customFormat="true" ht="34.5" hidden="false" customHeight="true" outlineLevel="0" collapsed="false">
      <c r="A37" s="162"/>
      <c r="B37" s="163" t="s">
        <v>223</v>
      </c>
      <c r="C37" s="78" t="s">
        <v>224</v>
      </c>
      <c r="D37" s="131" t="s">
        <v>68</v>
      </c>
      <c r="E37" s="45" t="n">
        <v>2000</v>
      </c>
      <c r="F37" s="45" t="n">
        <v>2000</v>
      </c>
      <c r="G37" s="45" t="n">
        <v>2000</v>
      </c>
      <c r="H37" s="45" t="n">
        <v>2000</v>
      </c>
      <c r="I37" s="45" t="n">
        <v>2000</v>
      </c>
      <c r="J37" s="45" t="n">
        <v>2000</v>
      </c>
      <c r="K37" s="45" t="n">
        <v>4000</v>
      </c>
      <c r="L37" s="45" t="n">
        <v>4000</v>
      </c>
      <c r="M37" s="45" t="n">
        <v>4000</v>
      </c>
      <c r="N37" s="45" t="n">
        <v>4000</v>
      </c>
      <c r="O37" s="45" t="n">
        <v>4000</v>
      </c>
      <c r="P37" s="45" t="n">
        <v>2000</v>
      </c>
      <c r="Q37" s="45" t="n">
        <v>2000</v>
      </c>
      <c r="R37" s="45" t="n">
        <v>2000</v>
      </c>
      <c r="S37" s="45" t="n">
        <v>2000</v>
      </c>
      <c r="T37" s="45" t="n">
        <v>2000</v>
      </c>
      <c r="U37" s="45" t="n">
        <v>2000</v>
      </c>
      <c r="V37" s="45" t="n">
        <v>2000</v>
      </c>
      <c r="W37" s="45" t="n">
        <v>4000</v>
      </c>
      <c r="X37" s="45" t="n">
        <v>4000</v>
      </c>
      <c r="Y37" s="45" t="n">
        <v>4000</v>
      </c>
      <c r="Z37" s="45" t="n">
        <v>4000</v>
      </c>
      <c r="AA37" s="45" t="n">
        <v>4000</v>
      </c>
      <c r="AB37" s="45" t="n">
        <v>2000</v>
      </c>
      <c r="AC37" s="45" t="n">
        <v>2000</v>
      </c>
      <c r="AD37" s="45" t="n">
        <v>2000</v>
      </c>
      <c r="AE37" s="45" t="n">
        <v>2000</v>
      </c>
      <c r="AF37" s="45" t="n">
        <v>2000</v>
      </c>
      <c r="AG37" s="45" t="n">
        <v>2000</v>
      </c>
      <c r="AH37" s="45" t="n">
        <v>2000</v>
      </c>
      <c r="AI37" s="45" t="n">
        <v>4000</v>
      </c>
      <c r="AJ37" s="45" t="n">
        <v>4000</v>
      </c>
      <c r="AK37" s="45" t="n">
        <v>4000</v>
      </c>
      <c r="AL37" s="45" t="n">
        <v>4000</v>
      </c>
      <c r="AM37" s="45" t="n">
        <v>4000</v>
      </c>
      <c r="AN37" s="45" t="n">
        <v>2000</v>
      </c>
      <c r="AO37" s="45" t="n">
        <v>0</v>
      </c>
      <c r="AP37" s="45" t="n">
        <v>0</v>
      </c>
      <c r="AQ37" s="45" t="n">
        <v>0</v>
      </c>
      <c r="AR37" s="45" t="n">
        <v>0</v>
      </c>
      <c r="AS37" s="45" t="n">
        <v>0</v>
      </c>
      <c r="AT37" s="45" t="n">
        <v>0</v>
      </c>
      <c r="AU37" s="45" t="n">
        <v>0</v>
      </c>
      <c r="AV37" s="45" t="n">
        <v>0</v>
      </c>
      <c r="AW37" s="45" t="n">
        <v>0</v>
      </c>
      <c r="AX37" s="45" t="n">
        <v>0</v>
      </c>
      <c r="AY37" s="45" t="n">
        <v>0</v>
      </c>
      <c r="AZ37" s="45" t="n">
        <v>0</v>
      </c>
      <c r="BA37" s="45" t="n">
        <v>0</v>
      </c>
      <c r="BB37" s="45" t="n">
        <v>0</v>
      </c>
      <c r="BC37" s="45" t="n">
        <v>0</v>
      </c>
      <c r="BD37" s="45" t="n">
        <v>0</v>
      </c>
      <c r="BE37" s="45" t="n">
        <v>0</v>
      </c>
      <c r="BF37" s="45" t="n">
        <v>0</v>
      </c>
      <c r="BG37" s="45" t="n">
        <v>0</v>
      </c>
      <c r="BH37" s="45" t="n">
        <v>0</v>
      </c>
      <c r="BI37" s="45" t="n">
        <v>0</v>
      </c>
      <c r="BJ37" s="45" t="n">
        <v>0</v>
      </c>
      <c r="BK37" s="45" t="n">
        <v>0</v>
      </c>
      <c r="BL37" s="45" t="n">
        <v>0</v>
      </c>
      <c r="BM37" s="164" t="n">
        <f aca="false">IF($C$11="24 місяці",SUM(E37:AB37),IF($C$11="36 місяців",SUM(E37:AN37),SUM(E37:BL37)))</f>
        <v>102000</v>
      </c>
    </row>
    <row r="38" s="96" customFormat="true" ht="15" hidden="false" customHeight="false" outlineLevel="0" collapsed="false">
      <c r="A38" s="162"/>
      <c r="B38" s="163" t="s">
        <v>225</v>
      </c>
      <c r="C38" s="147"/>
      <c r="D38" s="131" t="s">
        <v>68</v>
      </c>
      <c r="E38" s="45" t="n">
        <v>0</v>
      </c>
      <c r="F38" s="45" t="n">
        <v>0</v>
      </c>
      <c r="G38" s="45" t="n">
        <v>0</v>
      </c>
      <c r="H38" s="45" t="n">
        <v>0</v>
      </c>
      <c r="I38" s="45" t="n">
        <v>0</v>
      </c>
      <c r="J38" s="45" t="n">
        <v>0</v>
      </c>
      <c r="K38" s="45" t="n">
        <v>0</v>
      </c>
      <c r="L38" s="45" t="n">
        <v>0</v>
      </c>
      <c r="M38" s="45" t="n">
        <v>0</v>
      </c>
      <c r="N38" s="45" t="n">
        <v>0</v>
      </c>
      <c r="O38" s="45" t="n">
        <v>0</v>
      </c>
      <c r="P38" s="45" t="n">
        <v>0</v>
      </c>
      <c r="Q38" s="45" t="n">
        <v>0</v>
      </c>
      <c r="R38" s="45" t="n">
        <v>0</v>
      </c>
      <c r="S38" s="45" t="n">
        <v>0</v>
      </c>
      <c r="T38" s="45" t="n">
        <v>0</v>
      </c>
      <c r="U38" s="45" t="n">
        <v>0</v>
      </c>
      <c r="V38" s="45" t="n">
        <v>0</v>
      </c>
      <c r="W38" s="45" t="n">
        <v>0</v>
      </c>
      <c r="X38" s="45" t="n">
        <v>0</v>
      </c>
      <c r="Y38" s="45" t="n">
        <v>0</v>
      </c>
      <c r="Z38" s="45" t="n">
        <v>0</v>
      </c>
      <c r="AA38" s="45" t="n">
        <v>0</v>
      </c>
      <c r="AB38" s="45" t="n">
        <v>0</v>
      </c>
      <c r="AC38" s="45" t="n">
        <v>0</v>
      </c>
      <c r="AD38" s="45" t="n">
        <v>0</v>
      </c>
      <c r="AE38" s="45" t="n">
        <v>0</v>
      </c>
      <c r="AF38" s="45" t="n">
        <v>0</v>
      </c>
      <c r="AG38" s="45" t="n">
        <v>0</v>
      </c>
      <c r="AH38" s="45" t="n">
        <v>0</v>
      </c>
      <c r="AI38" s="45" t="n">
        <v>0</v>
      </c>
      <c r="AJ38" s="45" t="n">
        <v>0</v>
      </c>
      <c r="AK38" s="45" t="n">
        <v>0</v>
      </c>
      <c r="AL38" s="45" t="n">
        <v>0</v>
      </c>
      <c r="AM38" s="45" t="n">
        <v>0</v>
      </c>
      <c r="AN38" s="45" t="n">
        <v>0</v>
      </c>
      <c r="AO38" s="45" t="n">
        <v>0</v>
      </c>
      <c r="AP38" s="45" t="n">
        <v>0</v>
      </c>
      <c r="AQ38" s="45" t="n">
        <v>0</v>
      </c>
      <c r="AR38" s="45" t="n">
        <v>0</v>
      </c>
      <c r="AS38" s="45" t="n">
        <v>0</v>
      </c>
      <c r="AT38" s="45" t="n">
        <v>0</v>
      </c>
      <c r="AU38" s="45" t="n">
        <v>0</v>
      </c>
      <c r="AV38" s="45" t="n">
        <v>0</v>
      </c>
      <c r="AW38" s="45" t="n">
        <v>0</v>
      </c>
      <c r="AX38" s="45" t="n">
        <v>0</v>
      </c>
      <c r="AY38" s="45" t="n">
        <v>0</v>
      </c>
      <c r="AZ38" s="45" t="n">
        <v>0</v>
      </c>
      <c r="BA38" s="45" t="n">
        <v>0</v>
      </c>
      <c r="BB38" s="45" t="n">
        <v>0</v>
      </c>
      <c r="BC38" s="45" t="n">
        <v>0</v>
      </c>
      <c r="BD38" s="45" t="n">
        <v>0</v>
      </c>
      <c r="BE38" s="45" t="n">
        <v>0</v>
      </c>
      <c r="BF38" s="45" t="n">
        <v>0</v>
      </c>
      <c r="BG38" s="45" t="n">
        <v>0</v>
      </c>
      <c r="BH38" s="45" t="n">
        <v>0</v>
      </c>
      <c r="BI38" s="45" t="n">
        <v>0</v>
      </c>
      <c r="BJ38" s="45" t="n">
        <v>0</v>
      </c>
      <c r="BK38" s="45" t="n">
        <v>0</v>
      </c>
      <c r="BL38" s="45" t="n">
        <v>0</v>
      </c>
      <c r="BM38" s="164" t="n">
        <f aca="false">IF($C$11="24 місяці",SUM(E38:AB38),IF($C$11="36 місяців",SUM(E38:AN38),SUM(E38:BL38)))</f>
        <v>0</v>
      </c>
    </row>
    <row r="39" s="96" customFormat="true" ht="78" hidden="false" customHeight="true" outlineLevel="0" collapsed="false">
      <c r="A39" s="162"/>
      <c r="B39" s="163" t="s">
        <v>226</v>
      </c>
      <c r="C39" s="78" t="s">
        <v>227</v>
      </c>
      <c r="D39" s="131" t="s">
        <v>68</v>
      </c>
      <c r="E39" s="45" t="n">
        <v>115000</v>
      </c>
      <c r="F39" s="45" t="n">
        <v>3000</v>
      </c>
      <c r="G39" s="45" t="n">
        <v>3000</v>
      </c>
      <c r="H39" s="45" t="n">
        <v>3000</v>
      </c>
      <c r="I39" s="45" t="n">
        <v>3000</v>
      </c>
      <c r="J39" s="45" t="n">
        <v>3000</v>
      </c>
      <c r="K39" s="45" t="n">
        <v>3000</v>
      </c>
      <c r="L39" s="45" t="n">
        <v>3000</v>
      </c>
      <c r="M39" s="45" t="n">
        <v>3000</v>
      </c>
      <c r="N39" s="45" t="n">
        <v>3000</v>
      </c>
      <c r="O39" s="45" t="n">
        <v>3000</v>
      </c>
      <c r="P39" s="45" t="n">
        <v>3000</v>
      </c>
      <c r="Q39" s="45" t="n">
        <v>5000</v>
      </c>
      <c r="R39" s="45" t="n">
        <v>5000</v>
      </c>
      <c r="S39" s="45" t="n">
        <v>5000</v>
      </c>
      <c r="T39" s="45" t="n">
        <v>5000</v>
      </c>
      <c r="U39" s="45" t="n">
        <v>5000</v>
      </c>
      <c r="V39" s="45" t="n">
        <v>5000</v>
      </c>
      <c r="W39" s="45" t="n">
        <v>5000</v>
      </c>
      <c r="X39" s="45" t="n">
        <v>5000</v>
      </c>
      <c r="Y39" s="45" t="n">
        <v>5000</v>
      </c>
      <c r="Z39" s="45" t="n">
        <v>5000</v>
      </c>
      <c r="AA39" s="45" t="n">
        <v>5000</v>
      </c>
      <c r="AB39" s="45" t="n">
        <v>5000</v>
      </c>
      <c r="AC39" s="45" t="n">
        <v>5000</v>
      </c>
      <c r="AD39" s="45" t="n">
        <v>5000</v>
      </c>
      <c r="AE39" s="45" t="n">
        <v>5000</v>
      </c>
      <c r="AF39" s="45" t="n">
        <v>5000</v>
      </c>
      <c r="AG39" s="45" t="n">
        <v>5000</v>
      </c>
      <c r="AH39" s="45" t="n">
        <v>5000</v>
      </c>
      <c r="AI39" s="45" t="n">
        <v>5000</v>
      </c>
      <c r="AJ39" s="45" t="n">
        <v>5000</v>
      </c>
      <c r="AK39" s="45" t="n">
        <v>5000</v>
      </c>
      <c r="AL39" s="45" t="n">
        <v>5000</v>
      </c>
      <c r="AM39" s="45" t="n">
        <v>5000</v>
      </c>
      <c r="AN39" s="45" t="n">
        <v>5000</v>
      </c>
      <c r="AO39" s="45" t="n">
        <v>0</v>
      </c>
      <c r="AP39" s="45" t="n">
        <v>0</v>
      </c>
      <c r="AQ39" s="45" t="n">
        <v>0</v>
      </c>
      <c r="AR39" s="45" t="n">
        <v>0</v>
      </c>
      <c r="AS39" s="45" t="n">
        <v>0</v>
      </c>
      <c r="AT39" s="45" t="n">
        <v>0</v>
      </c>
      <c r="AU39" s="45" t="n">
        <v>0</v>
      </c>
      <c r="AV39" s="45" t="n">
        <v>0</v>
      </c>
      <c r="AW39" s="45" t="n">
        <v>0</v>
      </c>
      <c r="AX39" s="45" t="n">
        <v>0</v>
      </c>
      <c r="AY39" s="45" t="n">
        <v>0</v>
      </c>
      <c r="AZ39" s="45" t="n">
        <v>0</v>
      </c>
      <c r="BA39" s="45" t="n">
        <v>0</v>
      </c>
      <c r="BB39" s="45" t="n">
        <v>0</v>
      </c>
      <c r="BC39" s="45" t="n">
        <v>0</v>
      </c>
      <c r="BD39" s="45" t="n">
        <v>0</v>
      </c>
      <c r="BE39" s="45" t="n">
        <v>0</v>
      </c>
      <c r="BF39" s="45" t="n">
        <v>0</v>
      </c>
      <c r="BG39" s="45" t="n">
        <v>0</v>
      </c>
      <c r="BH39" s="45" t="n">
        <v>0</v>
      </c>
      <c r="BI39" s="45" t="n">
        <v>0</v>
      </c>
      <c r="BJ39" s="45" t="n">
        <v>0</v>
      </c>
      <c r="BK39" s="45" t="n">
        <v>0</v>
      </c>
      <c r="BL39" s="45" t="n">
        <v>0</v>
      </c>
      <c r="BM39" s="164" t="n">
        <f aca="false">IF($C$11="24 місяці",SUM(E39:AB39),IF($C$11="36 місяців",SUM(E39:AN39),SUM(E39:BL39)))</f>
        <v>268000</v>
      </c>
    </row>
    <row r="40" s="96" customFormat="true" ht="34.5" hidden="false" customHeight="true" outlineLevel="0" collapsed="false">
      <c r="A40" s="162"/>
      <c r="B40" s="166" t="s">
        <v>228</v>
      </c>
      <c r="C40" s="78" t="s">
        <v>229</v>
      </c>
      <c r="D40" s="131" t="s">
        <v>68</v>
      </c>
      <c r="E40" s="45" t="n">
        <v>1200</v>
      </c>
      <c r="F40" s="45" t="n">
        <v>1200</v>
      </c>
      <c r="G40" s="45" t="n">
        <v>1200</v>
      </c>
      <c r="H40" s="45" t="n">
        <v>1200</v>
      </c>
      <c r="I40" s="45" t="n">
        <v>1200</v>
      </c>
      <c r="J40" s="45" t="n">
        <v>1200</v>
      </c>
      <c r="K40" s="45" t="n">
        <v>1200</v>
      </c>
      <c r="L40" s="45" t="n">
        <v>1200</v>
      </c>
      <c r="M40" s="45" t="n">
        <v>1200</v>
      </c>
      <c r="N40" s="45" t="n">
        <v>1200</v>
      </c>
      <c r="O40" s="45" t="n">
        <v>1200</v>
      </c>
      <c r="P40" s="45" t="n">
        <v>1200</v>
      </c>
      <c r="Q40" s="45" t="n">
        <v>1200</v>
      </c>
      <c r="R40" s="45" t="n">
        <v>1200</v>
      </c>
      <c r="S40" s="45" t="n">
        <v>1200</v>
      </c>
      <c r="T40" s="45" t="n">
        <v>1200</v>
      </c>
      <c r="U40" s="45" t="n">
        <v>1200</v>
      </c>
      <c r="V40" s="45" t="n">
        <v>1200</v>
      </c>
      <c r="W40" s="45" t="n">
        <v>1200</v>
      </c>
      <c r="X40" s="45" t="n">
        <v>1200</v>
      </c>
      <c r="Y40" s="45" t="n">
        <v>1200</v>
      </c>
      <c r="Z40" s="45" t="n">
        <v>1200</v>
      </c>
      <c r="AA40" s="45" t="n">
        <v>1200</v>
      </c>
      <c r="AB40" s="45" t="n">
        <v>1200</v>
      </c>
      <c r="AC40" s="45" t="n">
        <v>1200</v>
      </c>
      <c r="AD40" s="45" t="n">
        <v>1200</v>
      </c>
      <c r="AE40" s="45" t="n">
        <v>1200</v>
      </c>
      <c r="AF40" s="45" t="n">
        <v>1200</v>
      </c>
      <c r="AG40" s="45" t="n">
        <v>1200</v>
      </c>
      <c r="AH40" s="45" t="n">
        <v>1200</v>
      </c>
      <c r="AI40" s="45" t="n">
        <v>1200</v>
      </c>
      <c r="AJ40" s="45" t="n">
        <v>1200</v>
      </c>
      <c r="AK40" s="45" t="n">
        <v>1200</v>
      </c>
      <c r="AL40" s="45" t="n">
        <v>1200</v>
      </c>
      <c r="AM40" s="45" t="n">
        <v>1200</v>
      </c>
      <c r="AN40" s="45" t="n">
        <v>1200</v>
      </c>
      <c r="AO40" s="45" t="n">
        <v>0</v>
      </c>
      <c r="AP40" s="45" t="n">
        <v>0</v>
      </c>
      <c r="AQ40" s="45" t="n">
        <v>0</v>
      </c>
      <c r="AR40" s="45" t="n">
        <v>0</v>
      </c>
      <c r="AS40" s="45" t="n">
        <v>0</v>
      </c>
      <c r="AT40" s="45" t="n">
        <v>0</v>
      </c>
      <c r="AU40" s="45" t="n">
        <v>0</v>
      </c>
      <c r="AV40" s="45" t="n">
        <v>0</v>
      </c>
      <c r="AW40" s="45" t="n">
        <v>0</v>
      </c>
      <c r="AX40" s="45" t="n">
        <v>0</v>
      </c>
      <c r="AY40" s="45" t="n">
        <v>0</v>
      </c>
      <c r="AZ40" s="45" t="n">
        <v>0</v>
      </c>
      <c r="BA40" s="45" t="n">
        <v>0</v>
      </c>
      <c r="BB40" s="45" t="n">
        <v>0</v>
      </c>
      <c r="BC40" s="45" t="n">
        <v>0</v>
      </c>
      <c r="BD40" s="45" t="n">
        <v>0</v>
      </c>
      <c r="BE40" s="45" t="n">
        <v>0</v>
      </c>
      <c r="BF40" s="45" t="n">
        <v>0</v>
      </c>
      <c r="BG40" s="45" t="n">
        <v>0</v>
      </c>
      <c r="BH40" s="45" t="n">
        <v>0</v>
      </c>
      <c r="BI40" s="45" t="n">
        <v>0</v>
      </c>
      <c r="BJ40" s="45" t="n">
        <v>0</v>
      </c>
      <c r="BK40" s="45" t="n">
        <v>0</v>
      </c>
      <c r="BL40" s="45" t="n">
        <v>0</v>
      </c>
      <c r="BM40" s="164" t="n">
        <f aca="false">IF($C$11="24 місяці",SUM(E40:AB40),IF($C$11="36 місяців",SUM(E40:AN40),SUM(E40:BL40)))</f>
        <v>43200</v>
      </c>
    </row>
    <row r="41" s="96" customFormat="true" ht="63" hidden="false" customHeight="true" outlineLevel="0" collapsed="false">
      <c r="A41" s="162"/>
      <c r="B41" s="163" t="s">
        <v>230</v>
      </c>
      <c r="C41" s="78" t="s">
        <v>231</v>
      </c>
      <c r="D41" s="131" t="s">
        <v>68</v>
      </c>
      <c r="E41" s="45" t="n">
        <v>390000</v>
      </c>
      <c r="F41" s="45" t="n">
        <v>0</v>
      </c>
      <c r="G41" s="45" t="n">
        <v>0</v>
      </c>
      <c r="H41" s="45" t="n">
        <v>0</v>
      </c>
      <c r="I41" s="45" t="n">
        <v>0</v>
      </c>
      <c r="J41" s="45" t="n">
        <v>0</v>
      </c>
      <c r="K41" s="45" t="n">
        <v>0</v>
      </c>
      <c r="L41" s="45" t="n">
        <v>0</v>
      </c>
      <c r="M41" s="45" t="n">
        <v>0</v>
      </c>
      <c r="N41" s="45" t="n">
        <v>0</v>
      </c>
      <c r="O41" s="45" t="n">
        <v>0</v>
      </c>
      <c r="P41" s="45" t="n">
        <v>0</v>
      </c>
      <c r="Q41" s="45" t="n">
        <v>0</v>
      </c>
      <c r="R41" s="45" t="n">
        <v>0</v>
      </c>
      <c r="S41" s="45" t="n">
        <v>0</v>
      </c>
      <c r="T41" s="45" t="n">
        <v>0</v>
      </c>
      <c r="U41" s="45" t="n">
        <v>0</v>
      </c>
      <c r="V41" s="45" t="n">
        <v>0</v>
      </c>
      <c r="W41" s="45" t="n">
        <v>0</v>
      </c>
      <c r="X41" s="45" t="n">
        <v>0</v>
      </c>
      <c r="Y41" s="45" t="n">
        <v>0</v>
      </c>
      <c r="Z41" s="45" t="n">
        <v>0</v>
      </c>
      <c r="AA41" s="45" t="n">
        <v>0</v>
      </c>
      <c r="AB41" s="45" t="n">
        <v>0</v>
      </c>
      <c r="AC41" s="45" t="n">
        <v>0</v>
      </c>
      <c r="AD41" s="45" t="n">
        <v>0</v>
      </c>
      <c r="AE41" s="45" t="n">
        <v>0</v>
      </c>
      <c r="AF41" s="45" t="n">
        <v>0</v>
      </c>
      <c r="AG41" s="45" t="n">
        <v>0</v>
      </c>
      <c r="AH41" s="45" t="n">
        <v>0</v>
      </c>
      <c r="AI41" s="45" t="n">
        <v>0</v>
      </c>
      <c r="AJ41" s="45" t="n">
        <v>0</v>
      </c>
      <c r="AK41" s="45" t="n">
        <v>0</v>
      </c>
      <c r="AL41" s="45" t="n">
        <v>0</v>
      </c>
      <c r="AM41" s="45" t="n">
        <v>0</v>
      </c>
      <c r="AN41" s="45" t="n">
        <v>0</v>
      </c>
      <c r="AO41" s="45" t="n">
        <v>0</v>
      </c>
      <c r="AP41" s="45" t="n">
        <v>0</v>
      </c>
      <c r="AQ41" s="45" t="n">
        <v>0</v>
      </c>
      <c r="AR41" s="45" t="n">
        <v>0</v>
      </c>
      <c r="AS41" s="45" t="n">
        <v>0</v>
      </c>
      <c r="AT41" s="45" t="n">
        <v>0</v>
      </c>
      <c r="AU41" s="45" t="n">
        <v>0</v>
      </c>
      <c r="AV41" s="45" t="n">
        <v>0</v>
      </c>
      <c r="AW41" s="45" t="n">
        <v>0</v>
      </c>
      <c r="AX41" s="45" t="n">
        <v>0</v>
      </c>
      <c r="AY41" s="45" t="n">
        <v>0</v>
      </c>
      <c r="AZ41" s="45" t="n">
        <v>0</v>
      </c>
      <c r="BA41" s="45" t="n">
        <v>0</v>
      </c>
      <c r="BB41" s="45" t="n">
        <v>0</v>
      </c>
      <c r="BC41" s="45" t="n">
        <v>0</v>
      </c>
      <c r="BD41" s="45" t="n">
        <v>0</v>
      </c>
      <c r="BE41" s="45" t="n">
        <v>0</v>
      </c>
      <c r="BF41" s="45" t="n">
        <v>0</v>
      </c>
      <c r="BG41" s="45" t="n">
        <v>0</v>
      </c>
      <c r="BH41" s="45" t="n">
        <v>0</v>
      </c>
      <c r="BI41" s="45" t="n">
        <v>0</v>
      </c>
      <c r="BJ41" s="45" t="n">
        <v>0</v>
      </c>
      <c r="BK41" s="45" t="n">
        <v>0</v>
      </c>
      <c r="BL41" s="45" t="n">
        <v>0</v>
      </c>
      <c r="BM41" s="164" t="n">
        <f aca="false">IF($C$11="24 місяці",SUM(E41:AB41),IF($C$11="36 місяців",SUM(E41:AN41),SUM(E41:BL41)))</f>
        <v>390000</v>
      </c>
    </row>
    <row r="42" s="96" customFormat="true" ht="30.75" hidden="false" customHeight="true" outlineLevel="0" collapsed="false">
      <c r="A42" s="162"/>
      <c r="B42" s="163" t="s">
        <v>232</v>
      </c>
      <c r="C42" s="147"/>
      <c r="D42" s="131" t="s">
        <v>68</v>
      </c>
      <c r="E42" s="45" t="n">
        <v>0</v>
      </c>
      <c r="F42" s="45" t="n">
        <v>0</v>
      </c>
      <c r="G42" s="45" t="n">
        <v>0</v>
      </c>
      <c r="H42" s="45" t="n">
        <v>0</v>
      </c>
      <c r="I42" s="45" t="n">
        <v>0</v>
      </c>
      <c r="J42" s="45" t="n">
        <v>0</v>
      </c>
      <c r="K42" s="45" t="n">
        <v>0</v>
      </c>
      <c r="L42" s="45" t="n">
        <v>0</v>
      </c>
      <c r="M42" s="45" t="n">
        <v>0</v>
      </c>
      <c r="N42" s="45" t="n">
        <v>0</v>
      </c>
      <c r="O42" s="45" t="n">
        <v>0</v>
      </c>
      <c r="P42" s="45" t="n">
        <v>0</v>
      </c>
      <c r="Q42" s="45" t="n">
        <v>0</v>
      </c>
      <c r="R42" s="45" t="n">
        <v>0</v>
      </c>
      <c r="S42" s="45" t="n">
        <v>0</v>
      </c>
      <c r="T42" s="45" t="n">
        <v>0</v>
      </c>
      <c r="U42" s="45" t="n">
        <v>0</v>
      </c>
      <c r="V42" s="45" t="n">
        <v>0</v>
      </c>
      <c r="W42" s="45" t="n">
        <v>0</v>
      </c>
      <c r="X42" s="45" t="n">
        <v>0</v>
      </c>
      <c r="Y42" s="45" t="n">
        <v>0</v>
      </c>
      <c r="Z42" s="45" t="n">
        <v>0</v>
      </c>
      <c r="AA42" s="45" t="n">
        <v>0</v>
      </c>
      <c r="AB42" s="45" t="n">
        <v>0</v>
      </c>
      <c r="AC42" s="45" t="n">
        <v>0</v>
      </c>
      <c r="AD42" s="45" t="n">
        <v>0</v>
      </c>
      <c r="AE42" s="45" t="n">
        <v>0</v>
      </c>
      <c r="AF42" s="45" t="n">
        <v>0</v>
      </c>
      <c r="AG42" s="45" t="n">
        <v>0</v>
      </c>
      <c r="AH42" s="45" t="n">
        <v>0</v>
      </c>
      <c r="AI42" s="45" t="n">
        <v>0</v>
      </c>
      <c r="AJ42" s="45" t="n">
        <v>0</v>
      </c>
      <c r="AK42" s="45" t="n">
        <v>0</v>
      </c>
      <c r="AL42" s="45" t="n">
        <v>0</v>
      </c>
      <c r="AM42" s="45" t="n">
        <v>0</v>
      </c>
      <c r="AN42" s="45" t="n">
        <v>0</v>
      </c>
      <c r="AO42" s="45" t="n">
        <v>0</v>
      </c>
      <c r="AP42" s="45" t="n">
        <v>0</v>
      </c>
      <c r="AQ42" s="45" t="n">
        <v>0</v>
      </c>
      <c r="AR42" s="45" t="n">
        <v>0</v>
      </c>
      <c r="AS42" s="45" t="n">
        <v>0</v>
      </c>
      <c r="AT42" s="45" t="n">
        <v>0</v>
      </c>
      <c r="AU42" s="45" t="n">
        <v>0</v>
      </c>
      <c r="AV42" s="45" t="n">
        <v>0</v>
      </c>
      <c r="AW42" s="45" t="n">
        <v>0</v>
      </c>
      <c r="AX42" s="45" t="n">
        <v>0</v>
      </c>
      <c r="AY42" s="45" t="n">
        <v>0</v>
      </c>
      <c r="AZ42" s="45" t="n">
        <v>0</v>
      </c>
      <c r="BA42" s="45" t="n">
        <v>0</v>
      </c>
      <c r="BB42" s="45" t="n">
        <v>0</v>
      </c>
      <c r="BC42" s="45" t="n">
        <v>0</v>
      </c>
      <c r="BD42" s="45" t="n">
        <v>0</v>
      </c>
      <c r="BE42" s="45" t="n">
        <v>0</v>
      </c>
      <c r="BF42" s="45" t="n">
        <v>0</v>
      </c>
      <c r="BG42" s="45" t="n">
        <v>0</v>
      </c>
      <c r="BH42" s="45" t="n">
        <v>0</v>
      </c>
      <c r="BI42" s="45" t="n">
        <v>0</v>
      </c>
      <c r="BJ42" s="45" t="n">
        <v>0</v>
      </c>
      <c r="BK42" s="45" t="n">
        <v>0</v>
      </c>
      <c r="BL42" s="45" t="n">
        <v>0</v>
      </c>
      <c r="BM42" s="164" t="n">
        <f aca="false">IF($C$11="24 місяці",SUM(E42:AB42),IF($C$11="36 місяців",SUM(E42:AN42),SUM(E42:BL42)))</f>
        <v>0</v>
      </c>
    </row>
    <row r="43" s="96" customFormat="true" ht="34.5" hidden="false" customHeight="true" outlineLevel="0" collapsed="false">
      <c r="A43" s="162"/>
      <c r="B43" s="163" t="s">
        <v>233</v>
      </c>
      <c r="C43" s="78" t="s">
        <v>234</v>
      </c>
      <c r="D43" s="131" t="s">
        <v>68</v>
      </c>
      <c r="E43" s="45" t="n">
        <v>2000</v>
      </c>
      <c r="F43" s="45" t="n">
        <v>2000</v>
      </c>
      <c r="G43" s="45" t="n">
        <v>2000</v>
      </c>
      <c r="H43" s="45" t="n">
        <v>2000</v>
      </c>
      <c r="I43" s="45" t="n">
        <v>2000</v>
      </c>
      <c r="J43" s="45" t="n">
        <v>2000</v>
      </c>
      <c r="K43" s="45" t="n">
        <v>2000</v>
      </c>
      <c r="L43" s="45" t="n">
        <v>2000</v>
      </c>
      <c r="M43" s="45" t="n">
        <v>2000</v>
      </c>
      <c r="N43" s="45" t="n">
        <v>2000</v>
      </c>
      <c r="O43" s="45" t="n">
        <v>2000</v>
      </c>
      <c r="P43" s="45" t="n">
        <v>2000</v>
      </c>
      <c r="Q43" s="45" t="n">
        <v>2000</v>
      </c>
      <c r="R43" s="45" t="n">
        <v>2000</v>
      </c>
      <c r="S43" s="45" t="n">
        <v>2000</v>
      </c>
      <c r="T43" s="45" t="n">
        <v>2000</v>
      </c>
      <c r="U43" s="45" t="n">
        <v>2000</v>
      </c>
      <c r="V43" s="45" t="n">
        <v>2000</v>
      </c>
      <c r="W43" s="45" t="n">
        <v>2000</v>
      </c>
      <c r="X43" s="45" t="n">
        <v>2000</v>
      </c>
      <c r="Y43" s="45" t="n">
        <v>2000</v>
      </c>
      <c r="Z43" s="45" t="n">
        <v>2000</v>
      </c>
      <c r="AA43" s="45" t="n">
        <v>2000</v>
      </c>
      <c r="AB43" s="45" t="n">
        <v>2000</v>
      </c>
      <c r="AC43" s="45" t="n">
        <v>2000</v>
      </c>
      <c r="AD43" s="45" t="n">
        <v>2000</v>
      </c>
      <c r="AE43" s="45" t="n">
        <v>2000</v>
      </c>
      <c r="AF43" s="45" t="n">
        <v>2000</v>
      </c>
      <c r="AG43" s="45" t="n">
        <v>2000</v>
      </c>
      <c r="AH43" s="45" t="n">
        <v>2000</v>
      </c>
      <c r="AI43" s="45" t="n">
        <v>2000</v>
      </c>
      <c r="AJ43" s="45" t="n">
        <v>2000</v>
      </c>
      <c r="AK43" s="45" t="n">
        <v>2000</v>
      </c>
      <c r="AL43" s="45" t="n">
        <v>2000</v>
      </c>
      <c r="AM43" s="45" t="n">
        <v>2000</v>
      </c>
      <c r="AN43" s="45" t="n">
        <v>2000</v>
      </c>
      <c r="AO43" s="45" t="n">
        <v>0</v>
      </c>
      <c r="AP43" s="45" t="n">
        <v>0</v>
      </c>
      <c r="AQ43" s="45" t="n">
        <v>0</v>
      </c>
      <c r="AR43" s="45" t="n">
        <v>0</v>
      </c>
      <c r="AS43" s="45" t="n">
        <v>0</v>
      </c>
      <c r="AT43" s="45" t="n">
        <v>0</v>
      </c>
      <c r="AU43" s="45" t="n">
        <v>0</v>
      </c>
      <c r="AV43" s="45" t="n">
        <v>0</v>
      </c>
      <c r="AW43" s="45" t="n">
        <v>0</v>
      </c>
      <c r="AX43" s="45" t="n">
        <v>0</v>
      </c>
      <c r="AY43" s="45" t="n">
        <v>0</v>
      </c>
      <c r="AZ43" s="45" t="n">
        <v>0</v>
      </c>
      <c r="BA43" s="45" t="n">
        <v>0</v>
      </c>
      <c r="BB43" s="45" t="n">
        <v>0</v>
      </c>
      <c r="BC43" s="45" t="n">
        <v>0</v>
      </c>
      <c r="BD43" s="45" t="n">
        <v>0</v>
      </c>
      <c r="BE43" s="45" t="n">
        <v>0</v>
      </c>
      <c r="BF43" s="45" t="n">
        <v>0</v>
      </c>
      <c r="BG43" s="45" t="n">
        <v>0</v>
      </c>
      <c r="BH43" s="45" t="n">
        <v>0</v>
      </c>
      <c r="BI43" s="45" t="n">
        <v>0</v>
      </c>
      <c r="BJ43" s="45" t="n">
        <v>0</v>
      </c>
      <c r="BK43" s="45" t="n">
        <v>0</v>
      </c>
      <c r="BL43" s="45" t="n">
        <v>0</v>
      </c>
      <c r="BM43" s="164" t="n">
        <f aca="false">IF($C$11="24 місяці",SUM(E43:AB43),IF($C$11="36 місяців",SUM(E43:AN43),SUM(E43:BL43)))</f>
        <v>72000</v>
      </c>
    </row>
    <row r="44" s="96" customFormat="true" ht="120.75" hidden="false" customHeight="true" outlineLevel="0" collapsed="false">
      <c r="A44" s="162"/>
      <c r="B44" s="163" t="s">
        <v>235</v>
      </c>
      <c r="C44" s="78" t="s">
        <v>236</v>
      </c>
      <c r="D44" s="131" t="s">
        <v>68</v>
      </c>
      <c r="E44" s="45" t="n">
        <v>318000</v>
      </c>
      <c r="F44" s="45" t="n">
        <v>3000</v>
      </c>
      <c r="G44" s="45" t="n">
        <v>3000</v>
      </c>
      <c r="H44" s="45" t="n">
        <v>3000</v>
      </c>
      <c r="I44" s="45" t="n">
        <v>3000</v>
      </c>
      <c r="J44" s="45" t="n">
        <v>3000</v>
      </c>
      <c r="K44" s="45" t="n">
        <v>3000</v>
      </c>
      <c r="L44" s="45" t="n">
        <v>3000</v>
      </c>
      <c r="M44" s="45" t="n">
        <v>3000</v>
      </c>
      <c r="N44" s="45" t="n">
        <v>3000</v>
      </c>
      <c r="O44" s="45" t="n">
        <v>3000</v>
      </c>
      <c r="P44" s="45" t="n">
        <v>3000</v>
      </c>
      <c r="Q44" s="45" t="n">
        <v>18000</v>
      </c>
      <c r="R44" s="45" t="n">
        <v>18000</v>
      </c>
      <c r="S44" s="45" t="n">
        <v>18000</v>
      </c>
      <c r="T44" s="45" t="n">
        <v>18000</v>
      </c>
      <c r="U44" s="45" t="n">
        <v>18000</v>
      </c>
      <c r="V44" s="45" t="n">
        <v>18000</v>
      </c>
      <c r="W44" s="45" t="n">
        <v>18000</v>
      </c>
      <c r="X44" s="45" t="n">
        <v>18000</v>
      </c>
      <c r="Y44" s="45" t="n">
        <v>18000</v>
      </c>
      <c r="Z44" s="45" t="n">
        <v>18000</v>
      </c>
      <c r="AA44" s="45" t="n">
        <v>18000</v>
      </c>
      <c r="AB44" s="45" t="n">
        <v>18000</v>
      </c>
      <c r="AC44" s="45" t="n">
        <v>18000</v>
      </c>
      <c r="AD44" s="45" t="n">
        <v>18000</v>
      </c>
      <c r="AE44" s="45" t="n">
        <v>18000</v>
      </c>
      <c r="AF44" s="45" t="n">
        <v>18000</v>
      </c>
      <c r="AG44" s="45" t="n">
        <v>18000</v>
      </c>
      <c r="AH44" s="45" t="n">
        <v>18000</v>
      </c>
      <c r="AI44" s="45" t="n">
        <v>18000</v>
      </c>
      <c r="AJ44" s="45" t="n">
        <v>18000</v>
      </c>
      <c r="AK44" s="45" t="n">
        <v>18000</v>
      </c>
      <c r="AL44" s="45" t="n">
        <v>18000</v>
      </c>
      <c r="AM44" s="45" t="n">
        <v>18000</v>
      </c>
      <c r="AN44" s="45" t="n">
        <v>18000</v>
      </c>
      <c r="AO44" s="45" t="n">
        <v>0</v>
      </c>
      <c r="AP44" s="45" t="n">
        <v>0</v>
      </c>
      <c r="AQ44" s="45" t="n">
        <v>0</v>
      </c>
      <c r="AR44" s="45" t="n">
        <v>0</v>
      </c>
      <c r="AS44" s="45" t="n">
        <v>0</v>
      </c>
      <c r="AT44" s="45" t="n">
        <v>0</v>
      </c>
      <c r="AU44" s="45" t="n">
        <v>0</v>
      </c>
      <c r="AV44" s="45" t="n">
        <v>0</v>
      </c>
      <c r="AW44" s="45" t="n">
        <v>0</v>
      </c>
      <c r="AX44" s="45" t="n">
        <v>0</v>
      </c>
      <c r="AY44" s="45" t="n">
        <v>0</v>
      </c>
      <c r="AZ44" s="45" t="n">
        <v>0</v>
      </c>
      <c r="BA44" s="45" t="n">
        <v>0</v>
      </c>
      <c r="BB44" s="45" t="n">
        <v>0</v>
      </c>
      <c r="BC44" s="45" t="n">
        <v>0</v>
      </c>
      <c r="BD44" s="45" t="n">
        <v>0</v>
      </c>
      <c r="BE44" s="45" t="n">
        <v>0</v>
      </c>
      <c r="BF44" s="45" t="n">
        <v>0</v>
      </c>
      <c r="BG44" s="45" t="n">
        <v>0</v>
      </c>
      <c r="BH44" s="45" t="n">
        <v>0</v>
      </c>
      <c r="BI44" s="45" t="n">
        <v>0</v>
      </c>
      <c r="BJ44" s="45" t="n">
        <v>0</v>
      </c>
      <c r="BK44" s="45" t="n">
        <v>0</v>
      </c>
      <c r="BL44" s="45" t="n">
        <v>0</v>
      </c>
      <c r="BM44" s="164" t="n">
        <f aca="false">IF($C$11="24 місяці",SUM(E44:AB44),IF($C$11="36 місяців",SUM(E44:AN44),SUM(E44:BL44)))</f>
        <v>783000</v>
      </c>
    </row>
    <row r="45" s="96" customFormat="true" ht="62.25" hidden="false" customHeight="true" outlineLevel="0" collapsed="false">
      <c r="A45" s="162"/>
      <c r="B45" s="163" t="s">
        <v>237</v>
      </c>
      <c r="C45" s="147"/>
      <c r="D45" s="131" t="s">
        <v>68</v>
      </c>
      <c r="E45" s="45"/>
      <c r="F45" s="45"/>
      <c r="G45" s="45"/>
      <c r="H45" s="45"/>
      <c r="I45" s="45"/>
      <c r="J45" s="45"/>
      <c r="K45" s="45"/>
      <c r="L45" s="45"/>
      <c r="M45" s="45"/>
      <c r="N45" s="45"/>
      <c r="O45" s="45"/>
      <c r="P45" s="45"/>
      <c r="Q45" s="45"/>
      <c r="R45" s="45"/>
      <c r="S45" s="45"/>
      <c r="T45" s="45"/>
      <c r="U45" s="45"/>
      <c r="V45" s="45"/>
      <c r="W45" s="45"/>
      <c r="X45" s="45"/>
      <c r="Y45" s="45"/>
      <c r="Z45" s="45"/>
      <c r="AA45" s="45"/>
      <c r="AB45" s="45"/>
      <c r="AC45" s="45"/>
      <c r="AD45" s="45"/>
      <c r="AE45" s="45"/>
      <c r="AF45" s="45"/>
      <c r="AG45" s="45"/>
      <c r="AH45" s="45"/>
      <c r="AI45" s="45"/>
      <c r="AJ45" s="45"/>
      <c r="AK45" s="45"/>
      <c r="AL45" s="45"/>
      <c r="AM45" s="45"/>
      <c r="AN45" s="45"/>
      <c r="AO45" s="45"/>
      <c r="AP45" s="45"/>
      <c r="AQ45" s="45"/>
      <c r="AR45" s="45"/>
      <c r="AS45" s="45"/>
      <c r="AT45" s="45"/>
      <c r="AU45" s="45"/>
      <c r="AV45" s="45"/>
      <c r="AW45" s="45"/>
      <c r="AX45" s="45"/>
      <c r="AY45" s="45"/>
      <c r="AZ45" s="45"/>
      <c r="BA45" s="45"/>
      <c r="BB45" s="45"/>
      <c r="BC45" s="45"/>
      <c r="BD45" s="45"/>
      <c r="BE45" s="45"/>
      <c r="BF45" s="45"/>
      <c r="BG45" s="45"/>
      <c r="BH45" s="45"/>
      <c r="BI45" s="45"/>
      <c r="BJ45" s="45"/>
      <c r="BK45" s="45"/>
      <c r="BL45" s="45"/>
      <c r="BM45" s="131" t="n">
        <f aca="false">IF($C$11="24 місяці",SUM(E45:AB45),IF($C$11="36 місяців",SUM(E45:AN45),SUM(E45:BL45)))</f>
        <v>0</v>
      </c>
    </row>
    <row r="46" s="96" customFormat="true" ht="15" hidden="false" customHeight="false" outlineLevel="0" collapsed="false">
      <c r="A46" s="162"/>
      <c r="B46" s="167" t="s">
        <v>238</v>
      </c>
      <c r="C46" s="147"/>
      <c r="D46" s="131" t="s">
        <v>68</v>
      </c>
      <c r="E46" s="168" t="n">
        <f aca="false">IF(E$13&gt;IF($C$11="24 місяці",24,IF($C$11="36 місяців",36,60)),0,SUM(E47:E49))</f>
        <v>45000</v>
      </c>
      <c r="F46" s="131" t="n">
        <f aca="false">IF(F$13&gt;IF($C$11="24 місяці",24,IF($C$11="36 місяців",36,60)),0,SUM(F47:F49))</f>
        <v>45000</v>
      </c>
      <c r="G46" s="131" t="n">
        <f aca="false">IF(G$13&gt;IF($C$11="24 місяці",24,IF($C$11="36 місяців",36,60)),0,SUM(G47:G49))</f>
        <v>45000</v>
      </c>
      <c r="H46" s="131" t="n">
        <f aca="false">IF(H$13&gt;IF($C$11="24 місяці",24,IF($C$11="36 місяців",36,60)),0,SUM(H47:H49))</f>
        <v>55000</v>
      </c>
      <c r="I46" s="131" t="n">
        <f aca="false">IF(I$13&gt;IF($C$11="24 місяці",24,IF($C$11="36 місяців",36,60)),0,SUM(I47:I49))</f>
        <v>55000</v>
      </c>
      <c r="J46" s="131" t="n">
        <f aca="false">IF(J$13&gt;IF($C$11="24 місяці",24,IF($C$11="36 місяців",36,60)),0,SUM(J47:J49))</f>
        <v>55000</v>
      </c>
      <c r="K46" s="131" t="n">
        <f aca="false">IF(K$13&gt;IF($C$11="24 місяці",24,IF($C$11="36 місяців",36,60)),0,SUM(K47:K49))</f>
        <v>55000</v>
      </c>
      <c r="L46" s="131" t="n">
        <f aca="false">IF(L$13&gt;IF($C$11="24 місяці",24,IF($C$11="36 місяців",36,60)),0,SUM(L47:L49))</f>
        <v>55000</v>
      </c>
      <c r="M46" s="131" t="n">
        <f aca="false">IF(M$13&gt;IF($C$11="24 місяці",24,IF($C$11="36 місяців",36,60)),0,SUM(M47:M49))</f>
        <v>55000</v>
      </c>
      <c r="N46" s="131" t="n">
        <f aca="false">IF(N$13&gt;IF($C$11="24 місяці",24,IF($C$11="36 місяців",36,60)),0,SUM(N47:N49))</f>
        <v>55000</v>
      </c>
      <c r="O46" s="131" t="n">
        <f aca="false">IF(O$13&gt;IF($C$11="24 місяці",24,IF($C$11="36 місяців",36,60)),0,SUM(O47:O49))</f>
        <v>55000</v>
      </c>
      <c r="P46" s="131" t="n">
        <f aca="false">IF(P$13&gt;IF($C$11="24 місяці",24,IF($C$11="36 місяців",36,60)),0,SUM(P47:P49))</f>
        <v>55000</v>
      </c>
      <c r="Q46" s="131" t="n">
        <f aca="false">IF(Q$13&gt;IF($C$11="24 місяці",24,IF($C$11="36 місяців",36,60)),0,SUM(Q47:Q49))</f>
        <v>75000</v>
      </c>
      <c r="R46" s="131" t="n">
        <f aca="false">IF(R$13&gt;IF($C$11="24 місяці",24,IF($C$11="36 місяців",36,60)),0,SUM(R47:R49))</f>
        <v>75000</v>
      </c>
      <c r="S46" s="131" t="n">
        <f aca="false">IF(S$13&gt;IF($C$11="24 місяці",24,IF($C$11="36 місяців",36,60)),0,SUM(S47:S49))</f>
        <v>75000</v>
      </c>
      <c r="T46" s="131" t="n">
        <f aca="false">IF(T$13&gt;IF($C$11="24 місяці",24,IF($C$11="36 місяців",36,60)),0,SUM(T47:T49))</f>
        <v>75000</v>
      </c>
      <c r="U46" s="131" t="n">
        <f aca="false">IF(U$13&gt;IF($C$11="24 місяці",24,IF($C$11="36 місяців",36,60)),0,SUM(U47:U49))</f>
        <v>75000</v>
      </c>
      <c r="V46" s="131" t="n">
        <f aca="false">IF(V$13&gt;IF($C$11="24 місяці",24,IF($C$11="36 місяців",36,60)),0,SUM(V47:V49))</f>
        <v>75000</v>
      </c>
      <c r="W46" s="131" t="n">
        <f aca="false">IF(W$13&gt;IF($C$11="24 місяці",24,IF($C$11="36 місяців",36,60)),0,SUM(W47:W49))</f>
        <v>75000</v>
      </c>
      <c r="X46" s="131" t="n">
        <f aca="false">IF(X$13&gt;IF($C$11="24 місяці",24,IF($C$11="36 місяців",36,60)),0,SUM(X47:X49))</f>
        <v>75000</v>
      </c>
      <c r="Y46" s="131" t="n">
        <f aca="false">IF(Y$13&gt;IF($C$11="24 місяці",24,IF($C$11="36 місяців",36,60)),0,SUM(Y47:Y49))</f>
        <v>75000</v>
      </c>
      <c r="Z46" s="131" t="n">
        <f aca="false">IF(Z$13&gt;IF($C$11="24 місяці",24,IF($C$11="36 місяців",36,60)),0,SUM(Z47:Z49))</f>
        <v>75000</v>
      </c>
      <c r="AA46" s="131" t="n">
        <f aca="false">IF(AA$13&gt;IF($C$11="24 місяці",24,IF($C$11="36 місяців",36,60)),0,SUM(AA47:AA49))</f>
        <v>75000</v>
      </c>
      <c r="AB46" s="131" t="n">
        <f aca="false">IF(AB$13&gt;IF($C$11="24 місяці",24,IF($C$11="36 місяців",36,60)),0,SUM(AB47:AB49))</f>
        <v>75000</v>
      </c>
      <c r="AC46" s="131" t="n">
        <f aca="false">IF(AC$13&gt;IF($C$11="24 місяці",24,IF($C$11="36 місяців",36,60)),0,SUM(AC47:AC49))</f>
        <v>90000</v>
      </c>
      <c r="AD46" s="131" t="n">
        <f aca="false">IF(AD$13&gt;IF($C$11="24 місяці",24,IF($C$11="36 місяців",36,60)),0,SUM(AD47:AD49))</f>
        <v>90000</v>
      </c>
      <c r="AE46" s="131" t="n">
        <f aca="false">IF(AE$13&gt;IF($C$11="24 місяці",24,IF($C$11="36 місяців",36,60)),0,SUM(AE47:AE49))</f>
        <v>90000</v>
      </c>
      <c r="AF46" s="131" t="n">
        <f aca="false">IF(AF$13&gt;IF($C$11="24 місяці",24,IF($C$11="36 місяців",36,60)),0,SUM(AF47:AF49))</f>
        <v>90000</v>
      </c>
      <c r="AG46" s="131" t="n">
        <f aca="false">IF(AG$13&gt;IF($C$11="24 місяці",24,IF($C$11="36 місяців",36,60)),0,SUM(AG47:AG49))</f>
        <v>90000</v>
      </c>
      <c r="AH46" s="131" t="n">
        <f aca="false">IF(AH$13&gt;IF($C$11="24 місяці",24,IF($C$11="36 місяців",36,60)),0,SUM(AH47:AH49))</f>
        <v>90000</v>
      </c>
      <c r="AI46" s="131" t="n">
        <f aca="false">IF(AI$13&gt;IF($C$11="24 місяці",24,IF($C$11="36 місяців",36,60)),0,SUM(AI47:AI49))</f>
        <v>90000</v>
      </c>
      <c r="AJ46" s="131" t="n">
        <f aca="false">IF(AJ$13&gt;IF($C$11="24 місяці",24,IF($C$11="36 місяців",36,60)),0,SUM(AJ47:AJ49))</f>
        <v>90000</v>
      </c>
      <c r="AK46" s="131" t="n">
        <f aca="false">IF(AK$13&gt;IF($C$11="24 місяці",24,IF($C$11="36 місяців",36,60)),0,SUM(AK47:AK49))</f>
        <v>90000</v>
      </c>
      <c r="AL46" s="131" t="n">
        <f aca="false">IF(AL$13&gt;IF($C$11="24 місяці",24,IF($C$11="36 місяців",36,60)),0,SUM(AL47:AL49))</f>
        <v>90000</v>
      </c>
      <c r="AM46" s="131" t="n">
        <f aca="false">IF(AM$13&gt;IF($C$11="24 місяці",24,IF($C$11="36 місяців",36,60)),0,SUM(AM47:AM49))</f>
        <v>90000</v>
      </c>
      <c r="AN46" s="131" t="n">
        <f aca="false">IF(AN$13&gt;IF($C$11="24 місяці",24,IF($C$11="36 місяців",36,60)),0,SUM(AN47:AN49))</f>
        <v>90000</v>
      </c>
      <c r="AO46" s="131" t="n">
        <f aca="false">IF(AO$13&gt;IF($C$11="24 місяці",24,IF($C$11="36 місяців",36,60)),0,SUM(AO47:AO49))</f>
        <v>0</v>
      </c>
      <c r="AP46" s="131" t="n">
        <f aca="false">IF(AP$13&gt;IF($C$11="24 місяці",24,IF($C$11="36 місяців",36,60)),0,SUM(AP47:AP49))</f>
        <v>0</v>
      </c>
      <c r="AQ46" s="131" t="n">
        <f aca="false">IF(AQ$13&gt;IF($C$11="24 місяці",24,IF($C$11="36 місяців",36,60)),0,SUM(AQ47:AQ49))</f>
        <v>0</v>
      </c>
      <c r="AR46" s="131" t="n">
        <f aca="false">IF(AR$13&gt;IF($C$11="24 місяці",24,IF($C$11="36 місяців",36,60)),0,SUM(AR47:AR49))</f>
        <v>0</v>
      </c>
      <c r="AS46" s="131" t="n">
        <f aca="false">IF(AS$13&gt;IF($C$11="24 місяці",24,IF($C$11="36 місяців",36,60)),0,SUM(AS47:AS49))</f>
        <v>0</v>
      </c>
      <c r="AT46" s="131" t="n">
        <f aca="false">IF(AT$13&gt;IF($C$11="24 місяці",24,IF($C$11="36 місяців",36,60)),0,SUM(AT47:AT49))</f>
        <v>0</v>
      </c>
      <c r="AU46" s="131" t="n">
        <f aca="false">IF(AU$13&gt;IF($C$11="24 місяці",24,IF($C$11="36 місяців",36,60)),0,SUM(AU47:AU49))</f>
        <v>0</v>
      </c>
      <c r="AV46" s="131" t="n">
        <f aca="false">IF(AV$13&gt;IF($C$11="24 місяці",24,IF($C$11="36 місяців",36,60)),0,SUM(AV47:AV49))</f>
        <v>0</v>
      </c>
      <c r="AW46" s="131" t="n">
        <f aca="false">IF(AW$13&gt;IF($C$11="24 місяці",24,IF($C$11="36 місяців",36,60)),0,SUM(AW47:AW49))</f>
        <v>0</v>
      </c>
      <c r="AX46" s="131" t="n">
        <f aca="false">IF(AX$13&gt;IF($C$11="24 місяці",24,IF($C$11="36 місяців",36,60)),0,SUM(AX47:AX49))</f>
        <v>0</v>
      </c>
      <c r="AY46" s="131" t="n">
        <f aca="false">IF(AY$13&gt;IF($C$11="24 місяці",24,IF($C$11="36 місяців",36,60)),0,SUM(AY47:AY49))</f>
        <v>0</v>
      </c>
      <c r="AZ46" s="131" t="n">
        <f aca="false">IF(AZ$13&gt;IF($C$11="24 місяці",24,IF($C$11="36 місяців",36,60)),0,SUM(AZ47:AZ49))</f>
        <v>0</v>
      </c>
      <c r="BA46" s="131" t="n">
        <f aca="false">IF(BA$13&gt;IF($C$11="24 місяці",24,IF($C$11="36 місяців",36,60)),0,SUM(BA47:BA49))</f>
        <v>0</v>
      </c>
      <c r="BB46" s="131" t="n">
        <f aca="false">IF(BB$13&gt;IF($C$11="24 місяці",24,IF($C$11="36 місяців",36,60)),0,SUM(BB47:BB49))</f>
        <v>0</v>
      </c>
      <c r="BC46" s="131" t="n">
        <f aca="false">IF(BC$13&gt;IF($C$11="24 місяці",24,IF($C$11="36 місяців",36,60)),0,SUM(BC47:BC49))</f>
        <v>0</v>
      </c>
      <c r="BD46" s="131" t="n">
        <f aca="false">IF(BD$13&gt;IF($C$11="24 місяці",24,IF($C$11="36 місяців",36,60)),0,SUM(BD47:BD49))</f>
        <v>0</v>
      </c>
      <c r="BE46" s="131" t="n">
        <f aca="false">IF(BE$13&gt;IF($C$11="24 місяці",24,IF($C$11="36 місяців",36,60)),0,SUM(BE47:BE49))</f>
        <v>0</v>
      </c>
      <c r="BF46" s="131" t="n">
        <f aca="false">IF(BF$13&gt;IF($C$11="24 місяці",24,IF($C$11="36 місяців",36,60)),0,SUM(BF47:BF49))</f>
        <v>0</v>
      </c>
      <c r="BG46" s="131" t="n">
        <f aca="false">IF(BG$13&gt;IF($C$11="24 місяці",24,IF($C$11="36 місяців",36,60)),0,SUM(BG47:BG49))</f>
        <v>0</v>
      </c>
      <c r="BH46" s="131" t="n">
        <f aca="false">IF(BH$13&gt;IF($C$11="24 місяці",24,IF($C$11="36 місяців",36,60)),0,SUM(BH47:BH49))</f>
        <v>0</v>
      </c>
      <c r="BI46" s="131" t="n">
        <f aca="false">IF(BI$13&gt;IF($C$11="24 місяці",24,IF($C$11="36 місяців",36,60)),0,SUM(BI47:BI49))</f>
        <v>0</v>
      </c>
      <c r="BJ46" s="131" t="n">
        <f aca="false">IF(BJ$13&gt;IF($C$11="24 місяці",24,IF($C$11="36 місяців",36,60)),0,SUM(BJ47:BJ49))</f>
        <v>0</v>
      </c>
      <c r="BK46" s="131" t="n">
        <f aca="false">IF(BK$13&gt;IF($C$11="24 місяці",24,IF($C$11="36 місяців",36,60)),0,SUM(BK47:BK49))</f>
        <v>0</v>
      </c>
      <c r="BL46" s="131" t="n">
        <f aca="false">IF(BL$13&gt;IF($C$11="24 місяці",24,IF($C$11="36 місяців",36,60)),0,SUM(BL47:BL49))</f>
        <v>0</v>
      </c>
      <c r="BM46" s="131" t="n">
        <f aca="false">IF($C$11="24 місяці",SUM(E46:AB46),IF($C$11="36 місяців",SUM(E46:AN46),SUM(E46:BL46)))</f>
        <v>2610000</v>
      </c>
    </row>
    <row r="47" s="96" customFormat="true" ht="63" hidden="false" customHeight="true" outlineLevel="0" collapsed="false">
      <c r="A47" s="162"/>
      <c r="B47" s="167" t="s">
        <v>239</v>
      </c>
      <c r="C47" s="78" t="s">
        <v>240</v>
      </c>
      <c r="D47" s="131" t="s">
        <v>68</v>
      </c>
      <c r="E47" s="45" t="n">
        <v>0</v>
      </c>
      <c r="F47" s="45" t="n">
        <v>0</v>
      </c>
      <c r="G47" s="45" t="n">
        <v>0</v>
      </c>
      <c r="H47" s="45" t="n">
        <v>10000</v>
      </c>
      <c r="I47" s="45" t="n">
        <v>10000</v>
      </c>
      <c r="J47" s="45" t="n">
        <v>10000</v>
      </c>
      <c r="K47" s="45" t="n">
        <v>10000</v>
      </c>
      <c r="L47" s="45" t="n">
        <v>10000</v>
      </c>
      <c r="M47" s="45" t="n">
        <v>10000</v>
      </c>
      <c r="N47" s="45" t="n">
        <v>10000</v>
      </c>
      <c r="O47" s="45" t="n">
        <v>10000</v>
      </c>
      <c r="P47" s="45" t="n">
        <v>10000</v>
      </c>
      <c r="Q47" s="45" t="n">
        <v>25000</v>
      </c>
      <c r="R47" s="45" t="n">
        <v>25000</v>
      </c>
      <c r="S47" s="45" t="n">
        <v>25000</v>
      </c>
      <c r="T47" s="45" t="n">
        <v>25000</v>
      </c>
      <c r="U47" s="45" t="n">
        <v>25000</v>
      </c>
      <c r="V47" s="45" t="n">
        <v>25000</v>
      </c>
      <c r="W47" s="45" t="n">
        <v>25000</v>
      </c>
      <c r="X47" s="45" t="n">
        <v>25000</v>
      </c>
      <c r="Y47" s="45" t="n">
        <v>25000</v>
      </c>
      <c r="Z47" s="45" t="n">
        <v>25000</v>
      </c>
      <c r="AA47" s="45" t="n">
        <v>25000</v>
      </c>
      <c r="AB47" s="45" t="n">
        <v>25000</v>
      </c>
      <c r="AC47" s="45" t="n">
        <v>35000</v>
      </c>
      <c r="AD47" s="45" t="n">
        <v>35000</v>
      </c>
      <c r="AE47" s="45" t="n">
        <v>35000</v>
      </c>
      <c r="AF47" s="45" t="n">
        <v>35000</v>
      </c>
      <c r="AG47" s="45" t="n">
        <v>35000</v>
      </c>
      <c r="AH47" s="45" t="n">
        <v>35000</v>
      </c>
      <c r="AI47" s="45" t="n">
        <v>35000</v>
      </c>
      <c r="AJ47" s="45" t="n">
        <v>35000</v>
      </c>
      <c r="AK47" s="45" t="n">
        <v>35000</v>
      </c>
      <c r="AL47" s="45" t="n">
        <v>35000</v>
      </c>
      <c r="AM47" s="45" t="n">
        <v>35000</v>
      </c>
      <c r="AN47" s="45" t="n">
        <v>35000</v>
      </c>
      <c r="AO47" s="45" t="n">
        <v>0</v>
      </c>
      <c r="AP47" s="45" t="n">
        <v>0</v>
      </c>
      <c r="AQ47" s="45" t="n">
        <v>0</v>
      </c>
      <c r="AR47" s="45" t="n">
        <v>0</v>
      </c>
      <c r="AS47" s="45" t="n">
        <v>0</v>
      </c>
      <c r="AT47" s="45" t="n">
        <v>0</v>
      </c>
      <c r="AU47" s="45" t="n">
        <v>0</v>
      </c>
      <c r="AV47" s="45" t="n">
        <v>0</v>
      </c>
      <c r="AW47" s="45" t="n">
        <v>0</v>
      </c>
      <c r="AX47" s="45" t="n">
        <v>0</v>
      </c>
      <c r="AY47" s="45" t="n">
        <v>0</v>
      </c>
      <c r="AZ47" s="45" t="n">
        <v>0</v>
      </c>
      <c r="BA47" s="45" t="n">
        <v>0</v>
      </c>
      <c r="BB47" s="45" t="n">
        <v>0</v>
      </c>
      <c r="BC47" s="45" t="n">
        <v>0</v>
      </c>
      <c r="BD47" s="45" t="n">
        <v>0</v>
      </c>
      <c r="BE47" s="45" t="n">
        <v>0</v>
      </c>
      <c r="BF47" s="45" t="n">
        <v>0</v>
      </c>
      <c r="BG47" s="45" t="n">
        <v>0</v>
      </c>
      <c r="BH47" s="45" t="n">
        <v>0</v>
      </c>
      <c r="BI47" s="45" t="n">
        <v>0</v>
      </c>
      <c r="BJ47" s="45" t="n">
        <v>0</v>
      </c>
      <c r="BK47" s="45" t="n">
        <v>0</v>
      </c>
      <c r="BL47" s="45" t="n">
        <v>0</v>
      </c>
      <c r="BM47" s="131" t="n">
        <f aca="false">IF($C$11="24 місяці",SUM(E47:AB47),IF($C$11="36 місяців",SUM(E47:AN47),SUM(E47:BL47)))</f>
        <v>810000</v>
      </c>
    </row>
    <row r="48" s="96" customFormat="true" ht="30.75" hidden="false" customHeight="true" outlineLevel="0" collapsed="false">
      <c r="A48" s="162"/>
      <c r="B48" s="167" t="s">
        <v>241</v>
      </c>
      <c r="C48" s="147"/>
      <c r="D48" s="131" t="s">
        <v>68</v>
      </c>
      <c r="E48" s="45" t="n">
        <v>0</v>
      </c>
      <c r="F48" s="45" t="n">
        <v>0</v>
      </c>
      <c r="G48" s="45" t="n">
        <v>0</v>
      </c>
      <c r="H48" s="45" t="n">
        <v>0</v>
      </c>
      <c r="I48" s="45" t="n">
        <v>0</v>
      </c>
      <c r="J48" s="45" t="n">
        <v>0</v>
      </c>
      <c r="K48" s="45" t="n">
        <v>0</v>
      </c>
      <c r="L48" s="45" t="n">
        <v>0</v>
      </c>
      <c r="M48" s="45" t="n">
        <v>0</v>
      </c>
      <c r="N48" s="45" t="n">
        <v>0</v>
      </c>
      <c r="O48" s="45" t="n">
        <v>0</v>
      </c>
      <c r="P48" s="45" t="n">
        <v>0</v>
      </c>
      <c r="Q48" s="45" t="n">
        <v>0</v>
      </c>
      <c r="R48" s="45" t="n">
        <v>0</v>
      </c>
      <c r="S48" s="45" t="n">
        <v>0</v>
      </c>
      <c r="T48" s="45" t="n">
        <v>0</v>
      </c>
      <c r="U48" s="45" t="n">
        <v>0</v>
      </c>
      <c r="V48" s="45" t="n">
        <v>0</v>
      </c>
      <c r="W48" s="45" t="n">
        <v>0</v>
      </c>
      <c r="X48" s="45" t="n">
        <v>0</v>
      </c>
      <c r="Y48" s="45" t="n">
        <v>0</v>
      </c>
      <c r="Z48" s="45" t="n">
        <v>0</v>
      </c>
      <c r="AA48" s="45" t="n">
        <v>0</v>
      </c>
      <c r="AB48" s="45" t="n">
        <v>0</v>
      </c>
      <c r="AC48" s="45" t="n">
        <v>0</v>
      </c>
      <c r="AD48" s="45" t="n">
        <v>0</v>
      </c>
      <c r="AE48" s="45" t="n">
        <v>0</v>
      </c>
      <c r="AF48" s="45" t="n">
        <v>0</v>
      </c>
      <c r="AG48" s="45" t="n">
        <v>0</v>
      </c>
      <c r="AH48" s="45" t="n">
        <v>0</v>
      </c>
      <c r="AI48" s="45" t="n">
        <v>0</v>
      </c>
      <c r="AJ48" s="45" t="n">
        <v>0</v>
      </c>
      <c r="AK48" s="45" t="n">
        <v>0</v>
      </c>
      <c r="AL48" s="45" t="n">
        <v>0</v>
      </c>
      <c r="AM48" s="45" t="n">
        <v>0</v>
      </c>
      <c r="AN48" s="45" t="n">
        <v>0</v>
      </c>
      <c r="AO48" s="45" t="n">
        <v>0</v>
      </c>
      <c r="AP48" s="45" t="n">
        <v>0</v>
      </c>
      <c r="AQ48" s="45" t="n">
        <v>0</v>
      </c>
      <c r="AR48" s="45" t="n">
        <v>0</v>
      </c>
      <c r="AS48" s="45" t="n">
        <v>0</v>
      </c>
      <c r="AT48" s="45" t="n">
        <v>0</v>
      </c>
      <c r="AU48" s="45" t="n">
        <v>0</v>
      </c>
      <c r="AV48" s="45" t="n">
        <v>0</v>
      </c>
      <c r="AW48" s="45" t="n">
        <v>0</v>
      </c>
      <c r="AX48" s="45" t="n">
        <v>0</v>
      </c>
      <c r="AY48" s="45" t="n">
        <v>0</v>
      </c>
      <c r="AZ48" s="45" t="n">
        <v>0</v>
      </c>
      <c r="BA48" s="45" t="n">
        <v>0</v>
      </c>
      <c r="BB48" s="45" t="n">
        <v>0</v>
      </c>
      <c r="BC48" s="45" t="n">
        <v>0</v>
      </c>
      <c r="BD48" s="45" t="n">
        <v>0</v>
      </c>
      <c r="BE48" s="45" t="n">
        <v>0</v>
      </c>
      <c r="BF48" s="45" t="n">
        <v>0</v>
      </c>
      <c r="BG48" s="45" t="n">
        <v>0</v>
      </c>
      <c r="BH48" s="45" t="n">
        <v>0</v>
      </c>
      <c r="BI48" s="45" t="n">
        <v>0</v>
      </c>
      <c r="BJ48" s="45" t="n">
        <v>0</v>
      </c>
      <c r="BK48" s="45" t="n">
        <v>0</v>
      </c>
      <c r="BL48" s="45" t="n">
        <v>0</v>
      </c>
      <c r="BM48" s="131" t="n">
        <f aca="false">IF($C$11="24 місяці",SUM(E48:AB48),IF($C$11="36 місяців",SUM(E48:AN48),SUM(E48:BL48)))</f>
        <v>0</v>
      </c>
    </row>
    <row r="49" s="96" customFormat="true" ht="92.25" hidden="false" customHeight="true" outlineLevel="0" collapsed="false">
      <c r="A49" s="162"/>
      <c r="B49" s="167" t="s">
        <v>242</v>
      </c>
      <c r="C49" s="78" t="s">
        <v>243</v>
      </c>
      <c r="D49" s="131" t="s">
        <v>68</v>
      </c>
      <c r="E49" s="45" t="n">
        <v>45000</v>
      </c>
      <c r="F49" s="45" t="n">
        <v>45000</v>
      </c>
      <c r="G49" s="45" t="n">
        <v>45000</v>
      </c>
      <c r="H49" s="45" t="n">
        <v>45000</v>
      </c>
      <c r="I49" s="45" t="n">
        <v>45000</v>
      </c>
      <c r="J49" s="45" t="n">
        <v>45000</v>
      </c>
      <c r="K49" s="45" t="n">
        <v>45000</v>
      </c>
      <c r="L49" s="45" t="n">
        <v>45000</v>
      </c>
      <c r="M49" s="45" t="n">
        <v>45000</v>
      </c>
      <c r="N49" s="45" t="n">
        <v>45000</v>
      </c>
      <c r="O49" s="45" t="n">
        <v>45000</v>
      </c>
      <c r="P49" s="45" t="n">
        <v>45000</v>
      </c>
      <c r="Q49" s="45" t="n">
        <v>50000</v>
      </c>
      <c r="R49" s="45" t="n">
        <v>50000</v>
      </c>
      <c r="S49" s="45" t="n">
        <v>50000</v>
      </c>
      <c r="T49" s="45" t="n">
        <v>50000</v>
      </c>
      <c r="U49" s="45" t="n">
        <v>50000</v>
      </c>
      <c r="V49" s="45" t="n">
        <v>50000</v>
      </c>
      <c r="W49" s="45" t="n">
        <v>50000</v>
      </c>
      <c r="X49" s="45" t="n">
        <v>50000</v>
      </c>
      <c r="Y49" s="45" t="n">
        <v>50000</v>
      </c>
      <c r="Z49" s="45" t="n">
        <v>50000</v>
      </c>
      <c r="AA49" s="45" t="n">
        <v>50000</v>
      </c>
      <c r="AB49" s="45" t="n">
        <v>50000</v>
      </c>
      <c r="AC49" s="45" t="n">
        <v>55000</v>
      </c>
      <c r="AD49" s="45" t="n">
        <v>55000</v>
      </c>
      <c r="AE49" s="45" t="n">
        <v>55000</v>
      </c>
      <c r="AF49" s="45" t="n">
        <v>55000</v>
      </c>
      <c r="AG49" s="45" t="n">
        <v>55000</v>
      </c>
      <c r="AH49" s="45" t="n">
        <v>55000</v>
      </c>
      <c r="AI49" s="45" t="n">
        <v>55000</v>
      </c>
      <c r="AJ49" s="45" t="n">
        <v>55000</v>
      </c>
      <c r="AK49" s="45" t="n">
        <v>55000</v>
      </c>
      <c r="AL49" s="45" t="n">
        <v>55000</v>
      </c>
      <c r="AM49" s="45" t="n">
        <v>55000</v>
      </c>
      <c r="AN49" s="45" t="n">
        <v>55000</v>
      </c>
      <c r="AO49" s="45" t="n">
        <v>0</v>
      </c>
      <c r="AP49" s="45" t="n">
        <v>0</v>
      </c>
      <c r="AQ49" s="45" t="n">
        <v>0</v>
      </c>
      <c r="AR49" s="45" t="n">
        <v>0</v>
      </c>
      <c r="AS49" s="45" t="n">
        <v>0</v>
      </c>
      <c r="AT49" s="45" t="n">
        <v>0</v>
      </c>
      <c r="AU49" s="45" t="n">
        <v>0</v>
      </c>
      <c r="AV49" s="45" t="n">
        <v>0</v>
      </c>
      <c r="AW49" s="45" t="n">
        <v>0</v>
      </c>
      <c r="AX49" s="45" t="n">
        <v>0</v>
      </c>
      <c r="AY49" s="45" t="n">
        <v>0</v>
      </c>
      <c r="AZ49" s="45" t="n">
        <v>0</v>
      </c>
      <c r="BA49" s="45" t="n">
        <v>0</v>
      </c>
      <c r="BB49" s="45" t="n">
        <v>0</v>
      </c>
      <c r="BC49" s="45" t="n">
        <v>0</v>
      </c>
      <c r="BD49" s="45" t="n">
        <v>0</v>
      </c>
      <c r="BE49" s="45" t="n">
        <v>0</v>
      </c>
      <c r="BF49" s="45" t="n">
        <v>0</v>
      </c>
      <c r="BG49" s="45" t="n">
        <v>0</v>
      </c>
      <c r="BH49" s="45" t="n">
        <v>0</v>
      </c>
      <c r="BI49" s="45" t="n">
        <v>0</v>
      </c>
      <c r="BJ49" s="45" t="n">
        <v>0</v>
      </c>
      <c r="BK49" s="45" t="n">
        <v>0</v>
      </c>
      <c r="BL49" s="45" t="n">
        <v>0</v>
      </c>
      <c r="BM49" s="131" t="n">
        <f aca="false">IF($C$11="24 місяці",SUM(E49:AB49),IF($C$11="36 місяців",SUM(E49:AN49),SUM(E49:BL49)))</f>
        <v>1800000</v>
      </c>
    </row>
    <row r="50" s="96" customFormat="true" ht="30.75" hidden="false" customHeight="true" outlineLevel="0" collapsed="false">
      <c r="A50" s="162"/>
      <c r="B50" s="167" t="s">
        <v>244</v>
      </c>
      <c r="C50" s="147"/>
      <c r="D50" s="131" t="s">
        <v>68</v>
      </c>
      <c r="E50" s="169" t="n">
        <f aca="false">IF(E$13&gt;IF($C$11="24 місяці",24,IF($C$11="36 місяців",36,60)),0,MAX(0,$C$10-E71))</f>
        <v>973929.88</v>
      </c>
      <c r="F50" s="169" t="n">
        <f aca="false">IF(F$13&gt;IF($C$11="24 місяці",24,IF($C$11="36 місяців",36,60)),0,MAX(0,$C$10-F71))</f>
        <v>947859.76</v>
      </c>
      <c r="G50" s="169" t="n">
        <f aca="false">IF(G$13&gt;IF($C$11="24 місяці",24,IF($C$11="36 місяців",36,60)),0,MAX(0,$C$10-G71))</f>
        <v>920889.64</v>
      </c>
      <c r="H50" s="169" t="n">
        <f aca="false">IF(H$13&gt;IF($C$11="24 місяці",24,IF($C$11="36 місяців",36,60)),0,MAX(0,$C$10-H71))</f>
        <v>893919.52</v>
      </c>
      <c r="I50" s="169" t="n">
        <f aca="false">IF(I$13&gt;IF($C$11="24 місяці",24,IF($C$11="36 місяців",36,60)),0,MAX(0,$C$10-I71))</f>
        <v>866949.4</v>
      </c>
      <c r="J50" s="169" t="n">
        <f aca="false">IF(J$13&gt;IF($C$11="24 місяці",24,IF($C$11="36 місяців",36,60)),0,MAX(0,$C$10-J71))</f>
        <v>836379.28</v>
      </c>
      <c r="K50" s="169" t="n">
        <f aca="false">IF(K$13&gt;IF($C$11="24 місяці",24,IF($C$11="36 місяців",36,60)),0,MAX(0,$C$10-K71))</f>
        <v>805509.16</v>
      </c>
      <c r="L50" s="169" t="n">
        <f aca="false">IF(L$13&gt;IF($C$11="24 місяці",24,IF($C$11="36 місяців",36,60)),0,MAX(0,$C$10-L71))</f>
        <v>774639.04</v>
      </c>
      <c r="M50" s="169" t="n">
        <f aca="false">IF(M$13&gt;IF($C$11="24 місяці",24,IF($C$11="36 місяців",36,60)),0,MAX(0,$C$10-M71))</f>
        <v>742868.92</v>
      </c>
      <c r="N50" s="169" t="n">
        <f aca="false">IF(N$13&gt;IF($C$11="24 місяці",24,IF($C$11="36 місяців",36,60)),0,MAX(0,$C$10-N71))</f>
        <v>711098.8</v>
      </c>
      <c r="O50" s="169" t="n">
        <f aca="false">IF(O$13&gt;IF($C$11="24 місяці",24,IF($C$11="36 місяців",36,60)),0,MAX(0,$C$10-O71))</f>
        <v>679328.68</v>
      </c>
      <c r="P50" s="169" t="n">
        <f aca="false">IF(P$13&gt;IF($C$11="24 місяці",24,IF($C$11="36 місяців",36,60)),0,MAX(0,$C$10-P71))</f>
        <v>647558.56</v>
      </c>
      <c r="Q50" s="169" t="n">
        <f aca="false">IF(Q$13&gt;IF($C$11="24 місяці",24,IF($C$11="36 місяців",36,60)),0,MAX(0,$C$10-Q71))</f>
        <v>611738.44</v>
      </c>
      <c r="R50" s="169" t="n">
        <f aca="false">IF(R$13&gt;IF($C$11="24 місяці",24,IF($C$11="36 місяців",36,60)),0,MAX(0,$C$10-R71))</f>
        <v>575918.32</v>
      </c>
      <c r="S50" s="169" t="n">
        <f aca="false">IF(S$13&gt;IF($C$11="24 місяці",24,IF($C$11="36 місяців",36,60)),0,MAX(0,$C$10-S71))</f>
        <v>540098.2</v>
      </c>
      <c r="T50" s="169" t="n">
        <f aca="false">IF(T$13&gt;IF($C$11="24 місяці",24,IF($C$11="36 місяців",36,60)),0,MAX(0,$C$10-T71))</f>
        <v>504278.08</v>
      </c>
      <c r="U50" s="169" t="n">
        <f aca="false">IF(U$13&gt;IF($C$11="24 місяці",24,IF($C$11="36 місяців",36,60)),0,MAX(0,$C$10-U71))</f>
        <v>468457.96</v>
      </c>
      <c r="V50" s="169" t="n">
        <f aca="false">IF(V$13&gt;IF($C$11="24 місяці",24,IF($C$11="36 місяців",36,60)),0,MAX(0,$C$10-V71))</f>
        <v>432637.84</v>
      </c>
      <c r="W50" s="169" t="n">
        <f aca="false">IF(W$13&gt;IF($C$11="24 місяці",24,IF($C$11="36 місяців",36,60)),0,MAX(0,$C$10-W71))</f>
        <v>395917.72</v>
      </c>
      <c r="X50" s="169" t="n">
        <f aca="false">IF(X$13&gt;IF($C$11="24 місяці",24,IF($C$11="36 місяців",36,60)),0,MAX(0,$C$10-X71))</f>
        <v>359197.6</v>
      </c>
      <c r="Y50" s="169" t="n">
        <f aca="false">IF(Y$13&gt;IF($C$11="24 місяці",24,IF($C$11="36 місяців",36,60)),0,MAX(0,$C$10-Y71))</f>
        <v>322477.48</v>
      </c>
      <c r="Z50" s="169" t="n">
        <f aca="false">IF(Z$13&gt;IF($C$11="24 місяці",24,IF($C$11="36 місяців",36,60)),0,MAX(0,$C$10-Z71))</f>
        <v>285757.36</v>
      </c>
      <c r="AA50" s="169" t="n">
        <f aca="false">IF(AA$13&gt;IF($C$11="24 місяці",24,IF($C$11="36 місяців",36,60)),0,MAX(0,$C$10-AA71))</f>
        <v>249037.24</v>
      </c>
      <c r="AB50" s="169" t="n">
        <f aca="false">IF(AB$13&gt;IF($C$11="24 місяці",24,IF($C$11="36 місяців",36,60)),0,MAX(0,$C$10-AB71))</f>
        <v>212317.12</v>
      </c>
      <c r="AC50" s="169" t="n">
        <f aca="false">IF(AC$13&gt;IF($C$11="24 місяці",24,IF($C$11="36 місяців",36,60)),0,MAX(0,$C$10-AC71))</f>
        <v>171427</v>
      </c>
      <c r="AD50" s="169" t="n">
        <f aca="false">IF(AD$13&gt;IF($C$11="24 місяці",24,IF($C$11="36 місяців",36,60)),0,MAX(0,$C$10-AD71))</f>
        <v>130536.88</v>
      </c>
      <c r="AE50" s="169" t="n">
        <f aca="false">IF(AE$13&gt;IF($C$11="24 місяці",24,IF($C$11="36 місяців",36,60)),0,MAX(0,$C$10-AE71))</f>
        <v>89646.76</v>
      </c>
      <c r="AF50" s="169" t="n">
        <f aca="false">IF(AF$13&gt;IF($C$11="24 місяці",24,IF($C$11="36 місяців",36,60)),0,MAX(0,$C$10-AF71))</f>
        <v>48756.64</v>
      </c>
      <c r="AG50" s="169" t="n">
        <f aca="false">IF(AG$13&gt;IF($C$11="24 місяці",24,IF($C$11="36 місяців",36,60)),0,MAX(0,$C$10-AG71))</f>
        <v>7866.52000000002</v>
      </c>
      <c r="AH50" s="169" t="n">
        <f aca="false">IF(AH$13&gt;IF($C$11="24 місяці",24,IF($C$11="36 місяців",36,60)),0,MAX(0,$C$10-AH71))</f>
        <v>0</v>
      </c>
      <c r="AI50" s="169" t="n">
        <f aca="false">IF(AI$13&gt;IF($C$11="24 місяці",24,IF($C$11="36 місяців",36,60)),0,MAX(0,$C$10-AI71))</f>
        <v>0</v>
      </c>
      <c r="AJ50" s="169" t="n">
        <f aca="false">IF(AJ$13&gt;IF($C$11="24 місяці",24,IF($C$11="36 місяців",36,60)),0,MAX(0,$C$10-AJ71))</f>
        <v>0</v>
      </c>
      <c r="AK50" s="169" t="n">
        <f aca="false">IF(AK$13&gt;IF($C$11="24 місяці",24,IF($C$11="36 місяців",36,60)),0,MAX(0,$C$10-AK71))</f>
        <v>0</v>
      </c>
      <c r="AL50" s="169" t="n">
        <f aca="false">IF(AL$13&gt;IF($C$11="24 місяці",24,IF($C$11="36 місяців",36,60)),0,MAX(0,$C$10-AL71))</f>
        <v>0</v>
      </c>
      <c r="AM50" s="169" t="n">
        <f aca="false">IF(AM$13&gt;IF($C$11="24 місяці",24,IF($C$11="36 місяців",36,60)),0,MAX(0,$C$10-AM71))</f>
        <v>0</v>
      </c>
      <c r="AN50" s="169" t="n">
        <f aca="false">IF(AN$13&gt;IF($C$11="24 місяці",24,IF($C$11="36 місяців",36,60)),0,MAX(0,$C$10-AN71))</f>
        <v>0</v>
      </c>
      <c r="AO50" s="169" t="n">
        <f aca="false">IF(AO$13&gt;IF($C$11="24 місяці",24,IF($C$11="36 місяців",36,60)),0,MAX(0,$C$10-AO71))</f>
        <v>0</v>
      </c>
      <c r="AP50" s="169" t="n">
        <f aca="false">IF(AP$13&gt;IF($C$11="24 місяці",24,IF($C$11="36 місяців",36,60)),0,MAX(0,$C$10-AP71))</f>
        <v>0</v>
      </c>
      <c r="AQ50" s="169" t="n">
        <f aca="false">IF(AQ$13&gt;IF($C$11="24 місяці",24,IF($C$11="36 місяців",36,60)),0,MAX(0,$C$10-AQ71))</f>
        <v>0</v>
      </c>
      <c r="AR50" s="169" t="n">
        <f aca="false">IF(AR$13&gt;IF($C$11="24 місяці",24,IF($C$11="36 місяців",36,60)),0,MAX(0,$C$10-AR71))</f>
        <v>0</v>
      </c>
      <c r="AS50" s="169" t="n">
        <f aca="false">IF(AS$13&gt;IF($C$11="24 місяці",24,IF($C$11="36 місяців",36,60)),0,MAX(0,$C$10-AS71))</f>
        <v>0</v>
      </c>
      <c r="AT50" s="169" t="n">
        <f aca="false">IF(AT$13&gt;IF($C$11="24 місяці",24,IF($C$11="36 місяців",36,60)),0,MAX(0,$C$10-AT71))</f>
        <v>0</v>
      </c>
      <c r="AU50" s="169" t="n">
        <f aca="false">IF(AU$13&gt;IF($C$11="24 місяці",24,IF($C$11="36 місяців",36,60)),0,MAX(0,$C$10-AU71))</f>
        <v>0</v>
      </c>
      <c r="AV50" s="169" t="n">
        <f aca="false">IF(AV$13&gt;IF($C$11="24 місяці",24,IF($C$11="36 місяців",36,60)),0,MAX(0,$C$10-AV71))</f>
        <v>0</v>
      </c>
      <c r="AW50" s="169" t="n">
        <f aca="false">IF(AW$13&gt;IF($C$11="24 місяці",24,IF($C$11="36 місяців",36,60)),0,MAX(0,$C$10-AW71))</f>
        <v>0</v>
      </c>
      <c r="AX50" s="169" t="n">
        <f aca="false">IF(AX$13&gt;IF($C$11="24 місяці",24,IF($C$11="36 місяців",36,60)),0,MAX(0,$C$10-AX71))</f>
        <v>0</v>
      </c>
      <c r="AY50" s="169" t="n">
        <f aca="false">IF(AY$13&gt;IF($C$11="24 місяці",24,IF($C$11="36 місяців",36,60)),0,MAX(0,$C$10-AY71))</f>
        <v>0</v>
      </c>
      <c r="AZ50" s="169" t="n">
        <f aca="false">IF(AZ$13&gt;IF($C$11="24 місяці",24,IF($C$11="36 місяців",36,60)),0,MAX(0,$C$10-AZ71))</f>
        <v>0</v>
      </c>
      <c r="BA50" s="169" t="n">
        <f aca="false">IF(BA$13&gt;IF($C$11="24 місяці",24,IF($C$11="36 місяців",36,60)),0,MAX(0,$C$10-BA71))</f>
        <v>0</v>
      </c>
      <c r="BB50" s="169" t="n">
        <f aca="false">IF(BB$13&gt;IF($C$11="24 місяці",24,IF($C$11="36 місяців",36,60)),0,MAX(0,$C$10-BB71))</f>
        <v>0</v>
      </c>
      <c r="BC50" s="169" t="n">
        <f aca="false">IF(BC$13&gt;IF($C$11="24 місяці",24,IF($C$11="36 місяців",36,60)),0,MAX(0,$C$10-BC71))</f>
        <v>0</v>
      </c>
      <c r="BD50" s="169" t="n">
        <f aca="false">IF(BD$13&gt;IF($C$11="24 місяці",24,IF($C$11="36 місяців",36,60)),0,MAX(0,$C$10-BD71))</f>
        <v>0</v>
      </c>
      <c r="BE50" s="169" t="n">
        <f aca="false">IF(BE$13&gt;IF($C$11="24 місяці",24,IF($C$11="36 місяців",36,60)),0,MAX(0,$C$10-BE71))</f>
        <v>0</v>
      </c>
      <c r="BF50" s="169" t="n">
        <f aca="false">IF(BF$13&gt;IF($C$11="24 місяці",24,IF($C$11="36 місяців",36,60)),0,MAX(0,$C$10-BF71))</f>
        <v>0</v>
      </c>
      <c r="BG50" s="169" t="n">
        <f aca="false">IF(BG$13&gt;IF($C$11="24 місяці",24,IF($C$11="36 місяців",36,60)),0,MAX(0,$C$10-BG71))</f>
        <v>0</v>
      </c>
      <c r="BH50" s="169" t="n">
        <f aca="false">IF(BH$13&gt;IF($C$11="24 місяці",24,IF($C$11="36 місяців",36,60)),0,MAX(0,$C$10-BH71))</f>
        <v>0</v>
      </c>
      <c r="BI50" s="169" t="n">
        <f aca="false">IF(BI$13&gt;IF($C$11="24 місяці",24,IF($C$11="36 місяців",36,60)),0,MAX(0,$C$10-BI71))</f>
        <v>0</v>
      </c>
      <c r="BJ50" s="169" t="n">
        <f aca="false">IF(BJ$13&gt;IF($C$11="24 місяці",24,IF($C$11="36 місяців",36,60)),0,MAX(0,$C$10-BJ71))</f>
        <v>0</v>
      </c>
      <c r="BK50" s="169" t="n">
        <f aca="false">IF(BK$13&gt;IF($C$11="24 місяці",24,IF($C$11="36 місяців",36,60)),0,MAX(0,$C$10-BK71))</f>
        <v>0</v>
      </c>
      <c r="BL50" s="169" t="n">
        <f aca="false">IF(BL$13&gt;IF($C$11="24 місяці",24,IF($C$11="36 місяців",36,60)),0,MAX(0,$C$10-BL71))</f>
        <v>0</v>
      </c>
      <c r="BM50" s="131" t="n">
        <f aca="false">IF($C$11="24 місяці",AB50,IF($C$11="36 місяців",AN50,BL50))</f>
        <v>0</v>
      </c>
    </row>
    <row r="51" s="96" customFormat="true" ht="30.75" hidden="false" customHeight="true" outlineLevel="0" collapsed="false">
      <c r="A51" s="162"/>
      <c r="B51" s="170" t="s">
        <v>245</v>
      </c>
      <c r="C51" s="170"/>
      <c r="D51" s="171"/>
      <c r="E51" s="172"/>
      <c r="F51" s="172"/>
      <c r="G51" s="172"/>
      <c r="H51" s="172"/>
      <c r="I51" s="172"/>
      <c r="J51" s="172"/>
      <c r="K51" s="172"/>
      <c r="L51" s="173"/>
      <c r="M51" s="173"/>
      <c r="N51" s="173"/>
      <c r="O51" s="173"/>
      <c r="P51" s="173"/>
      <c r="Q51" s="173"/>
      <c r="R51" s="173"/>
      <c r="S51" s="173"/>
      <c r="T51" s="173"/>
      <c r="U51" s="173"/>
      <c r="V51" s="173"/>
      <c r="W51" s="173"/>
      <c r="X51" s="173"/>
      <c r="Y51" s="173"/>
      <c r="Z51" s="173"/>
      <c r="AA51" s="173"/>
      <c r="AB51" s="173"/>
      <c r="AC51" s="173"/>
      <c r="AD51" s="173"/>
      <c r="AE51" s="173"/>
      <c r="AF51" s="173"/>
      <c r="AG51" s="173"/>
      <c r="AH51" s="173"/>
      <c r="AI51" s="173"/>
      <c r="AJ51" s="173"/>
      <c r="AK51" s="173"/>
      <c r="AL51" s="173"/>
      <c r="AM51" s="173"/>
      <c r="AN51" s="173"/>
      <c r="AO51" s="173"/>
      <c r="AP51" s="173"/>
      <c r="AQ51" s="173"/>
      <c r="AR51" s="173"/>
      <c r="AS51" s="173"/>
      <c r="AT51" s="173"/>
      <c r="AU51" s="173"/>
      <c r="AV51" s="173"/>
      <c r="AW51" s="173"/>
      <c r="AX51" s="173"/>
      <c r="AY51" s="173"/>
      <c r="AZ51" s="173"/>
      <c r="BA51" s="173"/>
      <c r="BB51" s="173"/>
      <c r="BC51" s="173"/>
      <c r="BD51" s="173"/>
      <c r="BE51" s="173"/>
      <c r="BF51" s="173"/>
      <c r="BG51" s="173"/>
      <c r="BH51" s="173"/>
      <c r="BI51" s="173"/>
      <c r="BJ51" s="173"/>
      <c r="BK51" s="173"/>
      <c r="BL51" s="173"/>
      <c r="BM51" s="173"/>
    </row>
    <row r="52" s="96" customFormat="true" ht="15" hidden="false" customHeight="false" outlineLevel="0" collapsed="false">
      <c r="A52" s="162"/>
      <c r="B52" s="174" t="s">
        <v>246</v>
      </c>
      <c r="C52" s="147"/>
      <c r="D52" s="143"/>
      <c r="E52" s="169" t="n">
        <f aca="false">IF(E$13&gt;IF($C$11="24 місяці",24,IF($C$11="36 місяців",36,60)),0,E48*18%)</f>
        <v>0</v>
      </c>
      <c r="F52" s="169" t="n">
        <f aca="false">IF(F$13&gt;IF($C$11="24 місяці",24,IF($C$11="36 місяців",36,60)),0,F48*18%)</f>
        <v>0</v>
      </c>
      <c r="G52" s="169" t="n">
        <f aca="false">IF(G$13&gt;IF($C$11="24 місяці",24,IF($C$11="36 місяців",36,60)),0,G48*18%)</f>
        <v>0</v>
      </c>
      <c r="H52" s="169" t="n">
        <f aca="false">IF(H$13&gt;IF($C$11="24 місяці",24,IF($C$11="36 місяців",36,60)),0,H48*18%)</f>
        <v>0</v>
      </c>
      <c r="I52" s="169" t="n">
        <f aca="false">IF(I$13&gt;IF($C$11="24 місяці",24,IF($C$11="36 місяців",36,60)),0,I48*18%)</f>
        <v>0</v>
      </c>
      <c r="J52" s="169" t="n">
        <f aca="false">IF(J$13&gt;IF($C$11="24 місяці",24,IF($C$11="36 місяців",36,60)),0,J48*18%)</f>
        <v>0</v>
      </c>
      <c r="K52" s="169" t="n">
        <f aca="false">IF(K$13&gt;IF($C$11="24 місяці",24,IF($C$11="36 місяців",36,60)),0,K48*18%)</f>
        <v>0</v>
      </c>
      <c r="L52" s="169" t="n">
        <f aca="false">IF(L$13&gt;IF($C$11="24 місяці",24,IF($C$11="36 місяців",36,60)),0,L48*18%)</f>
        <v>0</v>
      </c>
      <c r="M52" s="169" t="n">
        <f aca="false">IF(M$13&gt;IF($C$11="24 місяці",24,IF($C$11="36 місяців",36,60)),0,M48*18%)</f>
        <v>0</v>
      </c>
      <c r="N52" s="169" t="n">
        <f aca="false">IF(N$13&gt;IF($C$11="24 місяці",24,IF($C$11="36 місяців",36,60)),0,N48*18%)</f>
        <v>0</v>
      </c>
      <c r="O52" s="169" t="n">
        <f aca="false">IF(O$13&gt;IF($C$11="24 місяці",24,IF($C$11="36 місяців",36,60)),0,O48*18%)</f>
        <v>0</v>
      </c>
      <c r="P52" s="169" t="n">
        <f aca="false">IF(P$13&gt;IF($C$11="24 місяці",24,IF($C$11="36 місяців",36,60)),0,P48*18%)</f>
        <v>0</v>
      </c>
      <c r="Q52" s="169" t="n">
        <f aca="false">IF(Q$13&gt;IF($C$11="24 місяці",24,IF($C$11="36 місяців",36,60)),0,Q48*18%)</f>
        <v>0</v>
      </c>
      <c r="R52" s="169" t="n">
        <f aca="false">IF(R$13&gt;IF($C$11="24 місяці",24,IF($C$11="36 місяців",36,60)),0,R48*18%)</f>
        <v>0</v>
      </c>
      <c r="S52" s="169" t="n">
        <f aca="false">IF(S$13&gt;IF($C$11="24 місяці",24,IF($C$11="36 місяців",36,60)),0,S48*18%)</f>
        <v>0</v>
      </c>
      <c r="T52" s="169" t="n">
        <f aca="false">IF(T$13&gt;IF($C$11="24 місяці",24,IF($C$11="36 місяців",36,60)),0,T48*18%)</f>
        <v>0</v>
      </c>
      <c r="U52" s="169" t="n">
        <f aca="false">IF(U$13&gt;IF($C$11="24 місяці",24,IF($C$11="36 місяців",36,60)),0,U48*18%)</f>
        <v>0</v>
      </c>
      <c r="V52" s="169" t="n">
        <f aca="false">IF(V$13&gt;IF($C$11="24 місяці",24,IF($C$11="36 місяців",36,60)),0,V48*18%)</f>
        <v>0</v>
      </c>
      <c r="W52" s="169" t="n">
        <f aca="false">IF(W$13&gt;IF($C$11="24 місяці",24,IF($C$11="36 місяців",36,60)),0,W48*18%)</f>
        <v>0</v>
      </c>
      <c r="X52" s="169" t="n">
        <f aca="false">IF(X$13&gt;IF($C$11="24 місяці",24,IF($C$11="36 місяців",36,60)),0,X48*18%)</f>
        <v>0</v>
      </c>
      <c r="Y52" s="169" t="n">
        <f aca="false">IF(Y$13&gt;IF($C$11="24 місяці",24,IF($C$11="36 місяців",36,60)),0,Y48*18%)</f>
        <v>0</v>
      </c>
      <c r="Z52" s="169" t="n">
        <f aca="false">IF(Z$13&gt;IF($C$11="24 місяці",24,IF($C$11="36 місяців",36,60)),0,Z48*18%)</f>
        <v>0</v>
      </c>
      <c r="AA52" s="169" t="n">
        <f aca="false">IF(AA$13&gt;IF($C$11="24 місяці",24,IF($C$11="36 місяців",36,60)),0,AA48*18%)</f>
        <v>0</v>
      </c>
      <c r="AB52" s="169" t="n">
        <f aca="false">IF(AB$13&gt;IF($C$11="24 місяці",24,IF($C$11="36 місяців",36,60)),0,AB48*18%)</f>
        <v>0</v>
      </c>
      <c r="AC52" s="169" t="n">
        <f aca="false">IF(AC$13&gt;IF($C$11="24 місяці",24,IF($C$11="36 місяців",36,60)),0,AC48*18%)</f>
        <v>0</v>
      </c>
      <c r="AD52" s="169" t="n">
        <f aca="false">IF(AD$13&gt;IF($C$11="24 місяці",24,IF($C$11="36 місяців",36,60)),0,AD48*18%)</f>
        <v>0</v>
      </c>
      <c r="AE52" s="169" t="n">
        <f aca="false">IF(AE$13&gt;IF($C$11="24 місяці",24,IF($C$11="36 місяців",36,60)),0,AE48*18%)</f>
        <v>0</v>
      </c>
      <c r="AF52" s="169" t="n">
        <f aca="false">IF(AF$13&gt;IF($C$11="24 місяці",24,IF($C$11="36 місяців",36,60)),0,AF48*18%)</f>
        <v>0</v>
      </c>
      <c r="AG52" s="169" t="n">
        <f aca="false">IF(AG$13&gt;IF($C$11="24 місяці",24,IF($C$11="36 місяців",36,60)),0,AG48*18%)</f>
        <v>0</v>
      </c>
      <c r="AH52" s="169" t="n">
        <f aca="false">IF(AH$13&gt;IF($C$11="24 місяці",24,IF($C$11="36 місяців",36,60)),0,AH48*18%)</f>
        <v>0</v>
      </c>
      <c r="AI52" s="169" t="n">
        <f aca="false">IF(AI$13&gt;IF($C$11="24 місяці",24,IF($C$11="36 місяців",36,60)),0,AI48*18%)</f>
        <v>0</v>
      </c>
      <c r="AJ52" s="169" t="n">
        <f aca="false">IF(AJ$13&gt;IF($C$11="24 місяці",24,IF($C$11="36 місяців",36,60)),0,AJ48*18%)</f>
        <v>0</v>
      </c>
      <c r="AK52" s="169" t="n">
        <f aca="false">IF(AK$13&gt;IF($C$11="24 місяці",24,IF($C$11="36 місяців",36,60)),0,AK48*18%)</f>
        <v>0</v>
      </c>
      <c r="AL52" s="169" t="n">
        <f aca="false">IF(AL$13&gt;IF($C$11="24 місяці",24,IF($C$11="36 місяців",36,60)),0,AL48*18%)</f>
        <v>0</v>
      </c>
      <c r="AM52" s="169" t="n">
        <f aca="false">IF(AM$13&gt;IF($C$11="24 місяці",24,IF($C$11="36 місяців",36,60)),0,AM48*18%)</f>
        <v>0</v>
      </c>
      <c r="AN52" s="169" t="n">
        <f aca="false">IF(AN$13&gt;IF($C$11="24 місяці",24,IF($C$11="36 місяців",36,60)),0,AN48*18%)</f>
        <v>0</v>
      </c>
      <c r="AO52" s="169" t="n">
        <f aca="false">IF(AO$13&gt;IF($C$11="24 місяці",24,IF($C$11="36 місяців",36,60)),0,AO48*18%)</f>
        <v>0</v>
      </c>
      <c r="AP52" s="169" t="n">
        <f aca="false">IF(AP$13&gt;IF($C$11="24 місяці",24,IF($C$11="36 місяців",36,60)),0,AP48*18%)</f>
        <v>0</v>
      </c>
      <c r="AQ52" s="169" t="n">
        <f aca="false">IF(AQ$13&gt;IF($C$11="24 місяці",24,IF($C$11="36 місяців",36,60)),0,AQ48*18%)</f>
        <v>0</v>
      </c>
      <c r="AR52" s="169" t="n">
        <f aca="false">IF(AR$13&gt;IF($C$11="24 місяці",24,IF($C$11="36 місяців",36,60)),0,AR48*18%)</f>
        <v>0</v>
      </c>
      <c r="AS52" s="169" t="n">
        <f aca="false">IF(AS$13&gt;IF($C$11="24 місяці",24,IF($C$11="36 місяців",36,60)),0,AS48*18%)</f>
        <v>0</v>
      </c>
      <c r="AT52" s="169" t="n">
        <f aca="false">IF(AT$13&gt;IF($C$11="24 місяці",24,IF($C$11="36 місяців",36,60)),0,AT48*18%)</f>
        <v>0</v>
      </c>
      <c r="AU52" s="169" t="n">
        <f aca="false">IF(AU$13&gt;IF($C$11="24 місяці",24,IF($C$11="36 місяців",36,60)),0,AU48*18%)</f>
        <v>0</v>
      </c>
      <c r="AV52" s="169" t="n">
        <f aca="false">IF(AV$13&gt;IF($C$11="24 місяці",24,IF($C$11="36 місяців",36,60)),0,AV48*18%)</f>
        <v>0</v>
      </c>
      <c r="AW52" s="169" t="n">
        <f aca="false">IF(AW$13&gt;IF($C$11="24 місяці",24,IF($C$11="36 місяців",36,60)),0,AW48*18%)</f>
        <v>0</v>
      </c>
      <c r="AX52" s="169" t="n">
        <f aca="false">IF(AX$13&gt;IF($C$11="24 місяці",24,IF($C$11="36 місяців",36,60)),0,AX48*18%)</f>
        <v>0</v>
      </c>
      <c r="AY52" s="169" t="n">
        <f aca="false">IF(AY$13&gt;IF($C$11="24 місяці",24,IF($C$11="36 місяців",36,60)),0,AY48*18%)</f>
        <v>0</v>
      </c>
      <c r="AZ52" s="169" t="n">
        <f aca="false">IF(AZ$13&gt;IF($C$11="24 місяці",24,IF($C$11="36 місяців",36,60)),0,AZ48*18%)</f>
        <v>0</v>
      </c>
      <c r="BA52" s="169" t="n">
        <f aca="false">IF(BA$13&gt;IF($C$11="24 місяці",24,IF($C$11="36 місяців",36,60)),0,BA48*18%)</f>
        <v>0</v>
      </c>
      <c r="BB52" s="169" t="n">
        <f aca="false">IF(BB$13&gt;IF($C$11="24 місяці",24,IF($C$11="36 місяців",36,60)),0,BB48*18%)</f>
        <v>0</v>
      </c>
      <c r="BC52" s="169" t="n">
        <f aca="false">IF(BC$13&gt;IF($C$11="24 місяці",24,IF($C$11="36 місяців",36,60)),0,BC48*18%)</f>
        <v>0</v>
      </c>
      <c r="BD52" s="169" t="n">
        <f aca="false">IF(BD$13&gt;IF($C$11="24 місяці",24,IF($C$11="36 місяців",36,60)),0,BD48*18%)</f>
        <v>0</v>
      </c>
      <c r="BE52" s="169" t="n">
        <f aca="false">IF(BE$13&gt;IF($C$11="24 місяці",24,IF($C$11="36 місяців",36,60)),0,BE48*18%)</f>
        <v>0</v>
      </c>
      <c r="BF52" s="169" t="n">
        <f aca="false">IF(BF$13&gt;IF($C$11="24 місяці",24,IF($C$11="36 місяців",36,60)),0,BF48*18%)</f>
        <v>0</v>
      </c>
      <c r="BG52" s="169" t="n">
        <f aca="false">IF(BG$13&gt;IF($C$11="24 місяці",24,IF($C$11="36 місяців",36,60)),0,BG48*18%)</f>
        <v>0</v>
      </c>
      <c r="BH52" s="169" t="n">
        <f aca="false">IF(BH$13&gt;IF($C$11="24 місяці",24,IF($C$11="36 місяців",36,60)),0,BH48*18%)</f>
        <v>0</v>
      </c>
      <c r="BI52" s="169" t="n">
        <f aca="false">IF(BI$13&gt;IF($C$11="24 місяці",24,IF($C$11="36 місяців",36,60)),0,BI48*18%)</f>
        <v>0</v>
      </c>
      <c r="BJ52" s="169" t="n">
        <f aca="false">IF(BJ$13&gt;IF($C$11="24 місяці",24,IF($C$11="36 місяців",36,60)),0,BJ48*18%)</f>
        <v>0</v>
      </c>
      <c r="BK52" s="169" t="n">
        <f aca="false">IF(BK$13&gt;IF($C$11="24 місяці",24,IF($C$11="36 місяців",36,60)),0,BK48*18%)</f>
        <v>0</v>
      </c>
      <c r="BL52" s="169" t="n">
        <f aca="false">IF(BL$13&gt;IF($C$11="24 місяці",24,IF($C$11="36 місяців",36,60)),0,BL48*18%)</f>
        <v>0</v>
      </c>
      <c r="BM52" s="131" t="n">
        <f aca="false">IF($C$11="24 місяці",SUM(E52:AB52),IF($C$11="36 місяців",SUM(E52:AN52),SUM(E52:BL52)))</f>
        <v>0</v>
      </c>
    </row>
    <row r="53" s="96" customFormat="true" ht="15" hidden="false" customHeight="false" outlineLevel="0" collapsed="false">
      <c r="A53" s="162"/>
      <c r="B53" s="174" t="s">
        <v>247</v>
      </c>
      <c r="C53" s="147"/>
      <c r="D53" s="143"/>
      <c r="E53" s="169" t="n">
        <f aca="false">IF(E$13&gt;IF($C$11="24 місяці",24,IF($C$11="36 місяців",36,60)),0,E48*5%)</f>
        <v>0</v>
      </c>
      <c r="F53" s="169" t="n">
        <f aca="false">IF(F$13&gt;IF($C$11="24 місяці",24,IF($C$11="36 місяців",36,60)),0,F48*5%)</f>
        <v>0</v>
      </c>
      <c r="G53" s="169" t="n">
        <f aca="false">IF(G$13&gt;IF($C$11="24 місяці",24,IF($C$11="36 місяців",36,60)),0,G48*5%)</f>
        <v>0</v>
      </c>
      <c r="H53" s="169" t="n">
        <f aca="false">IF(H$13&gt;IF($C$11="24 місяці",24,IF($C$11="36 місяців",36,60)),0,H48*5%)</f>
        <v>0</v>
      </c>
      <c r="I53" s="169" t="n">
        <f aca="false">IF(I$13&gt;IF($C$11="24 місяці",24,IF($C$11="36 місяців",36,60)),0,I48*5%)</f>
        <v>0</v>
      </c>
      <c r="J53" s="169" t="n">
        <f aca="false">IF(J$13&gt;IF($C$11="24 місяці",24,IF($C$11="36 місяців",36,60)),0,J48*5%)</f>
        <v>0</v>
      </c>
      <c r="K53" s="169" t="n">
        <f aca="false">IF(K$13&gt;IF($C$11="24 місяці",24,IF($C$11="36 місяців",36,60)),0,K48*5%)</f>
        <v>0</v>
      </c>
      <c r="L53" s="169" t="n">
        <f aca="false">IF(L$13&gt;IF($C$11="24 місяці",24,IF($C$11="36 місяців",36,60)),0,L48*5%)</f>
        <v>0</v>
      </c>
      <c r="M53" s="169" t="n">
        <f aca="false">IF(M$13&gt;IF($C$11="24 місяці",24,IF($C$11="36 місяців",36,60)),0,M48*5%)</f>
        <v>0</v>
      </c>
      <c r="N53" s="169" t="n">
        <f aca="false">IF(N$13&gt;IF($C$11="24 місяці",24,IF($C$11="36 місяців",36,60)),0,N48*5%)</f>
        <v>0</v>
      </c>
      <c r="O53" s="169" t="n">
        <f aca="false">IF(O$13&gt;IF($C$11="24 місяці",24,IF($C$11="36 місяців",36,60)),0,O48*5%)</f>
        <v>0</v>
      </c>
      <c r="P53" s="169" t="n">
        <f aca="false">IF(P$13&gt;IF($C$11="24 місяці",24,IF($C$11="36 місяців",36,60)),0,P48*5%)</f>
        <v>0</v>
      </c>
      <c r="Q53" s="169" t="n">
        <f aca="false">IF(Q$13&gt;IF($C$11="24 місяці",24,IF($C$11="36 місяців",36,60)),0,Q48*5%)</f>
        <v>0</v>
      </c>
      <c r="R53" s="169" t="n">
        <f aca="false">IF(R$13&gt;IF($C$11="24 місяці",24,IF($C$11="36 місяців",36,60)),0,R48*5%)</f>
        <v>0</v>
      </c>
      <c r="S53" s="169" t="n">
        <f aca="false">IF(S$13&gt;IF($C$11="24 місяці",24,IF($C$11="36 місяців",36,60)),0,S48*5%)</f>
        <v>0</v>
      </c>
      <c r="T53" s="169" t="n">
        <f aca="false">IF(T$13&gt;IF($C$11="24 місяці",24,IF($C$11="36 місяців",36,60)),0,T48*5%)</f>
        <v>0</v>
      </c>
      <c r="U53" s="169" t="n">
        <f aca="false">IF(U$13&gt;IF($C$11="24 місяці",24,IF($C$11="36 місяців",36,60)),0,U48*5%)</f>
        <v>0</v>
      </c>
      <c r="V53" s="169" t="n">
        <f aca="false">IF(V$13&gt;IF($C$11="24 місяці",24,IF($C$11="36 місяців",36,60)),0,V48*5%)</f>
        <v>0</v>
      </c>
      <c r="W53" s="169" t="n">
        <f aca="false">IF(W$13&gt;IF($C$11="24 місяці",24,IF($C$11="36 місяців",36,60)),0,W48*5%)</f>
        <v>0</v>
      </c>
      <c r="X53" s="169" t="n">
        <f aca="false">IF(X$13&gt;IF($C$11="24 місяці",24,IF($C$11="36 місяців",36,60)),0,X48*5%)</f>
        <v>0</v>
      </c>
      <c r="Y53" s="169" t="n">
        <f aca="false">IF(Y$13&gt;IF($C$11="24 місяці",24,IF($C$11="36 місяців",36,60)),0,Y48*5%)</f>
        <v>0</v>
      </c>
      <c r="Z53" s="169" t="n">
        <f aca="false">IF(Z$13&gt;IF($C$11="24 місяці",24,IF($C$11="36 місяців",36,60)),0,Z48*5%)</f>
        <v>0</v>
      </c>
      <c r="AA53" s="169" t="n">
        <f aca="false">IF(AA$13&gt;IF($C$11="24 місяці",24,IF($C$11="36 місяців",36,60)),0,AA48*5%)</f>
        <v>0</v>
      </c>
      <c r="AB53" s="169" t="n">
        <f aca="false">IF(AB$13&gt;IF($C$11="24 місяці",24,IF($C$11="36 місяців",36,60)),0,AB48*5%)</f>
        <v>0</v>
      </c>
      <c r="AC53" s="169" t="n">
        <f aca="false">IF(AC$13&gt;IF($C$11="24 місяці",24,IF($C$11="36 місяців",36,60)),0,AC48*5%)</f>
        <v>0</v>
      </c>
      <c r="AD53" s="169" t="n">
        <f aca="false">IF(AD$13&gt;IF($C$11="24 місяці",24,IF($C$11="36 місяців",36,60)),0,AD48*5%)</f>
        <v>0</v>
      </c>
      <c r="AE53" s="169" t="n">
        <f aca="false">IF(AE$13&gt;IF($C$11="24 місяці",24,IF($C$11="36 місяців",36,60)),0,AE48*5%)</f>
        <v>0</v>
      </c>
      <c r="AF53" s="169" t="n">
        <f aca="false">IF(AF$13&gt;IF($C$11="24 місяці",24,IF($C$11="36 місяців",36,60)),0,AF48*5%)</f>
        <v>0</v>
      </c>
      <c r="AG53" s="169" t="n">
        <f aca="false">IF(AG$13&gt;IF($C$11="24 місяці",24,IF($C$11="36 місяців",36,60)),0,AG48*5%)</f>
        <v>0</v>
      </c>
      <c r="AH53" s="169" t="n">
        <f aca="false">IF(AH$13&gt;IF($C$11="24 місяці",24,IF($C$11="36 місяців",36,60)),0,AH48*5%)</f>
        <v>0</v>
      </c>
      <c r="AI53" s="169" t="n">
        <f aca="false">IF(AI$13&gt;IF($C$11="24 місяці",24,IF($C$11="36 місяців",36,60)),0,AI48*5%)</f>
        <v>0</v>
      </c>
      <c r="AJ53" s="169" t="n">
        <f aca="false">IF(AJ$13&gt;IF($C$11="24 місяці",24,IF($C$11="36 місяців",36,60)),0,AJ48*5%)</f>
        <v>0</v>
      </c>
      <c r="AK53" s="169" t="n">
        <f aca="false">IF(AK$13&gt;IF($C$11="24 місяці",24,IF($C$11="36 місяців",36,60)),0,AK48*5%)</f>
        <v>0</v>
      </c>
      <c r="AL53" s="169" t="n">
        <f aca="false">IF(AL$13&gt;IF($C$11="24 місяці",24,IF($C$11="36 місяців",36,60)),0,AL48*5%)</f>
        <v>0</v>
      </c>
      <c r="AM53" s="169" t="n">
        <f aca="false">IF(AM$13&gt;IF($C$11="24 місяці",24,IF($C$11="36 місяців",36,60)),0,AM48*5%)</f>
        <v>0</v>
      </c>
      <c r="AN53" s="169" t="n">
        <f aca="false">IF(AN$13&gt;IF($C$11="24 місяці",24,IF($C$11="36 місяців",36,60)),0,AN48*5%)</f>
        <v>0</v>
      </c>
      <c r="AO53" s="169" t="n">
        <f aca="false">IF(AO$13&gt;IF($C$11="24 місяці",24,IF($C$11="36 місяців",36,60)),0,AO48*5%)</f>
        <v>0</v>
      </c>
      <c r="AP53" s="169" t="n">
        <f aca="false">IF(AP$13&gt;IF($C$11="24 місяці",24,IF($C$11="36 місяців",36,60)),0,AP48*5%)</f>
        <v>0</v>
      </c>
      <c r="AQ53" s="169" t="n">
        <f aca="false">IF(AQ$13&gt;IF($C$11="24 місяці",24,IF($C$11="36 місяців",36,60)),0,AQ48*5%)</f>
        <v>0</v>
      </c>
      <c r="AR53" s="169" t="n">
        <f aca="false">IF(AR$13&gt;IF($C$11="24 місяці",24,IF($C$11="36 місяців",36,60)),0,AR48*5%)</f>
        <v>0</v>
      </c>
      <c r="AS53" s="169" t="n">
        <f aca="false">IF(AS$13&gt;IF($C$11="24 місяці",24,IF($C$11="36 місяців",36,60)),0,AS48*5%)</f>
        <v>0</v>
      </c>
      <c r="AT53" s="169" t="n">
        <f aca="false">IF(AT$13&gt;IF($C$11="24 місяці",24,IF($C$11="36 місяців",36,60)),0,AT48*5%)</f>
        <v>0</v>
      </c>
      <c r="AU53" s="169" t="n">
        <f aca="false">IF(AU$13&gt;IF($C$11="24 місяці",24,IF($C$11="36 місяців",36,60)),0,AU48*5%)</f>
        <v>0</v>
      </c>
      <c r="AV53" s="169" t="n">
        <f aca="false">IF(AV$13&gt;IF($C$11="24 місяці",24,IF($C$11="36 місяців",36,60)),0,AV48*5%)</f>
        <v>0</v>
      </c>
      <c r="AW53" s="169" t="n">
        <f aca="false">IF(AW$13&gt;IF($C$11="24 місяці",24,IF($C$11="36 місяців",36,60)),0,AW48*5%)</f>
        <v>0</v>
      </c>
      <c r="AX53" s="169" t="n">
        <f aca="false">IF(AX$13&gt;IF($C$11="24 місяці",24,IF($C$11="36 місяців",36,60)),0,AX48*5%)</f>
        <v>0</v>
      </c>
      <c r="AY53" s="169" t="n">
        <f aca="false">IF(AY$13&gt;IF($C$11="24 місяці",24,IF($C$11="36 місяців",36,60)),0,AY48*5%)</f>
        <v>0</v>
      </c>
      <c r="AZ53" s="169" t="n">
        <f aca="false">IF(AZ$13&gt;IF($C$11="24 місяці",24,IF($C$11="36 місяців",36,60)),0,AZ48*5%)</f>
        <v>0</v>
      </c>
      <c r="BA53" s="169" t="n">
        <f aca="false">IF(BA$13&gt;IF($C$11="24 місяці",24,IF($C$11="36 місяців",36,60)),0,BA48*5%)</f>
        <v>0</v>
      </c>
      <c r="BB53" s="169" t="n">
        <f aca="false">IF(BB$13&gt;IF($C$11="24 місяці",24,IF($C$11="36 місяців",36,60)),0,BB48*5%)</f>
        <v>0</v>
      </c>
      <c r="BC53" s="169" t="n">
        <f aca="false">IF(BC$13&gt;IF($C$11="24 місяці",24,IF($C$11="36 місяців",36,60)),0,BC48*5%)</f>
        <v>0</v>
      </c>
      <c r="BD53" s="169" t="n">
        <f aca="false">IF(BD$13&gt;IF($C$11="24 місяці",24,IF($C$11="36 місяців",36,60)),0,BD48*5%)</f>
        <v>0</v>
      </c>
      <c r="BE53" s="169" t="n">
        <f aca="false">IF(BE$13&gt;IF($C$11="24 місяці",24,IF($C$11="36 місяців",36,60)),0,BE48*5%)</f>
        <v>0</v>
      </c>
      <c r="BF53" s="169" t="n">
        <f aca="false">IF(BF$13&gt;IF($C$11="24 місяці",24,IF($C$11="36 місяців",36,60)),0,BF48*5%)</f>
        <v>0</v>
      </c>
      <c r="BG53" s="169" t="n">
        <f aca="false">IF(BG$13&gt;IF($C$11="24 місяці",24,IF($C$11="36 місяців",36,60)),0,BG48*5%)</f>
        <v>0</v>
      </c>
      <c r="BH53" s="169" t="n">
        <f aca="false">IF(BH$13&gt;IF($C$11="24 місяці",24,IF($C$11="36 місяців",36,60)),0,BH48*5%)</f>
        <v>0</v>
      </c>
      <c r="BI53" s="169" t="n">
        <f aca="false">IF(BI$13&gt;IF($C$11="24 місяці",24,IF($C$11="36 місяців",36,60)),0,BI48*5%)</f>
        <v>0</v>
      </c>
      <c r="BJ53" s="169" t="n">
        <f aca="false">IF(BJ$13&gt;IF($C$11="24 місяці",24,IF($C$11="36 місяців",36,60)),0,BJ48*5%)</f>
        <v>0</v>
      </c>
      <c r="BK53" s="169" t="n">
        <f aca="false">IF(BK$13&gt;IF($C$11="24 місяці",24,IF($C$11="36 місяців",36,60)),0,BK48*5%)</f>
        <v>0</v>
      </c>
      <c r="BL53" s="169" t="n">
        <f aca="false">IF(BL$13&gt;IF($C$11="24 місяці",24,IF($C$11="36 місяців",36,60)),0,BL48*5%)</f>
        <v>0</v>
      </c>
      <c r="BM53" s="131" t="n">
        <f aca="false">IF($C$11="24 місяці",SUM(E53:AB53),IF($C$11="36 місяців",SUM(E53:AN53),SUM(E53:BL53)))</f>
        <v>0</v>
      </c>
    </row>
    <row r="54" s="96" customFormat="true" ht="15" hidden="false" customHeight="false" outlineLevel="0" collapsed="false">
      <c r="A54" s="162"/>
      <c r="B54" s="174" t="s">
        <v>248</v>
      </c>
      <c r="C54" s="147"/>
      <c r="D54" s="143"/>
      <c r="E54" s="169" t="n">
        <f aca="false">IF(E$13&gt;IF($C$11="24 місяці",24,IF($C$11="36 місяців",36,60)),0,E48*22%)</f>
        <v>0</v>
      </c>
      <c r="F54" s="169" t="n">
        <f aca="false">IF(F$13&gt;IF($C$11="24 місяці",24,IF($C$11="36 місяців",36,60)),0,F48*22%)</f>
        <v>0</v>
      </c>
      <c r="G54" s="169" t="n">
        <f aca="false">IF(G$13&gt;IF($C$11="24 місяці",24,IF($C$11="36 місяців",36,60)),0,G48*22%)</f>
        <v>0</v>
      </c>
      <c r="H54" s="169" t="n">
        <f aca="false">IF(H$13&gt;IF($C$11="24 місяці",24,IF($C$11="36 місяців",36,60)),0,H48*22%)</f>
        <v>0</v>
      </c>
      <c r="I54" s="169" t="n">
        <f aca="false">IF(I$13&gt;IF($C$11="24 місяці",24,IF($C$11="36 місяців",36,60)),0,I48*22%)</f>
        <v>0</v>
      </c>
      <c r="J54" s="169" t="n">
        <f aca="false">IF(J$13&gt;IF($C$11="24 місяці",24,IF($C$11="36 місяців",36,60)),0,J48*22%)</f>
        <v>0</v>
      </c>
      <c r="K54" s="169" t="n">
        <f aca="false">IF(K$13&gt;IF($C$11="24 місяці",24,IF($C$11="36 місяців",36,60)),0,K48*22%)</f>
        <v>0</v>
      </c>
      <c r="L54" s="169" t="n">
        <f aca="false">IF(L$13&gt;IF($C$11="24 місяці",24,IF($C$11="36 місяців",36,60)),0,L48*22%)</f>
        <v>0</v>
      </c>
      <c r="M54" s="169" t="n">
        <f aca="false">IF(M$13&gt;IF($C$11="24 місяці",24,IF($C$11="36 місяців",36,60)),0,M48*22%)</f>
        <v>0</v>
      </c>
      <c r="N54" s="169" t="n">
        <f aca="false">IF(N$13&gt;IF($C$11="24 місяці",24,IF($C$11="36 місяців",36,60)),0,N48*22%)</f>
        <v>0</v>
      </c>
      <c r="O54" s="169" t="n">
        <f aca="false">IF(O$13&gt;IF($C$11="24 місяці",24,IF($C$11="36 місяців",36,60)),0,O48*22%)</f>
        <v>0</v>
      </c>
      <c r="P54" s="169" t="n">
        <f aca="false">IF(P$13&gt;IF($C$11="24 місяці",24,IF($C$11="36 місяців",36,60)),0,P48*22%)</f>
        <v>0</v>
      </c>
      <c r="Q54" s="169" t="n">
        <f aca="false">IF(Q$13&gt;IF($C$11="24 місяці",24,IF($C$11="36 місяців",36,60)),0,Q48*22%)</f>
        <v>0</v>
      </c>
      <c r="R54" s="169" t="n">
        <f aca="false">IF(R$13&gt;IF($C$11="24 місяці",24,IF($C$11="36 місяців",36,60)),0,R48*22%)</f>
        <v>0</v>
      </c>
      <c r="S54" s="169" t="n">
        <f aca="false">IF(S$13&gt;IF($C$11="24 місяці",24,IF($C$11="36 місяців",36,60)),0,S48*22%)</f>
        <v>0</v>
      </c>
      <c r="T54" s="169" t="n">
        <f aca="false">IF(T$13&gt;IF($C$11="24 місяці",24,IF($C$11="36 місяців",36,60)),0,T48*22%)</f>
        <v>0</v>
      </c>
      <c r="U54" s="169" t="n">
        <f aca="false">IF(U$13&gt;IF($C$11="24 місяці",24,IF($C$11="36 місяців",36,60)),0,U48*22%)</f>
        <v>0</v>
      </c>
      <c r="V54" s="169" t="n">
        <f aca="false">IF(V$13&gt;IF($C$11="24 місяці",24,IF($C$11="36 місяців",36,60)),0,V48*22%)</f>
        <v>0</v>
      </c>
      <c r="W54" s="169" t="n">
        <f aca="false">IF(W$13&gt;IF($C$11="24 місяці",24,IF($C$11="36 місяців",36,60)),0,W48*22%)</f>
        <v>0</v>
      </c>
      <c r="X54" s="169" t="n">
        <f aca="false">IF(X$13&gt;IF($C$11="24 місяці",24,IF($C$11="36 місяців",36,60)),0,X48*22%)</f>
        <v>0</v>
      </c>
      <c r="Y54" s="169" t="n">
        <f aca="false">IF(Y$13&gt;IF($C$11="24 місяці",24,IF($C$11="36 місяців",36,60)),0,Y48*22%)</f>
        <v>0</v>
      </c>
      <c r="Z54" s="169" t="n">
        <f aca="false">IF(Z$13&gt;IF($C$11="24 місяці",24,IF($C$11="36 місяців",36,60)),0,Z48*22%)</f>
        <v>0</v>
      </c>
      <c r="AA54" s="169" t="n">
        <f aca="false">IF(AA$13&gt;IF($C$11="24 місяці",24,IF($C$11="36 місяців",36,60)),0,AA48*22%)</f>
        <v>0</v>
      </c>
      <c r="AB54" s="169" t="n">
        <f aca="false">IF(AB$13&gt;IF($C$11="24 місяці",24,IF($C$11="36 місяців",36,60)),0,AB48*22%)</f>
        <v>0</v>
      </c>
      <c r="AC54" s="169" t="n">
        <f aca="false">IF(AC$13&gt;IF($C$11="24 місяці",24,IF($C$11="36 місяців",36,60)),0,AC48*22%)</f>
        <v>0</v>
      </c>
      <c r="AD54" s="169" t="n">
        <f aca="false">IF(AD$13&gt;IF($C$11="24 місяці",24,IF($C$11="36 місяців",36,60)),0,AD48*22%)</f>
        <v>0</v>
      </c>
      <c r="AE54" s="169" t="n">
        <f aca="false">IF(AE$13&gt;IF($C$11="24 місяці",24,IF($C$11="36 місяців",36,60)),0,AE48*22%)</f>
        <v>0</v>
      </c>
      <c r="AF54" s="169" t="n">
        <f aca="false">IF(AF$13&gt;IF($C$11="24 місяці",24,IF($C$11="36 місяців",36,60)),0,AF48*22%)</f>
        <v>0</v>
      </c>
      <c r="AG54" s="169" t="n">
        <f aca="false">IF(AG$13&gt;IF($C$11="24 місяці",24,IF($C$11="36 місяців",36,60)),0,AG48*22%)</f>
        <v>0</v>
      </c>
      <c r="AH54" s="169" t="n">
        <f aca="false">IF(AH$13&gt;IF($C$11="24 місяці",24,IF($C$11="36 місяців",36,60)),0,AH48*22%)</f>
        <v>0</v>
      </c>
      <c r="AI54" s="169" t="n">
        <f aca="false">IF(AI$13&gt;IF($C$11="24 місяці",24,IF($C$11="36 місяців",36,60)),0,AI48*22%)</f>
        <v>0</v>
      </c>
      <c r="AJ54" s="169" t="n">
        <f aca="false">IF(AJ$13&gt;IF($C$11="24 місяці",24,IF($C$11="36 місяців",36,60)),0,AJ48*22%)</f>
        <v>0</v>
      </c>
      <c r="AK54" s="169" t="n">
        <f aca="false">IF(AK$13&gt;IF($C$11="24 місяці",24,IF($C$11="36 місяців",36,60)),0,AK48*22%)</f>
        <v>0</v>
      </c>
      <c r="AL54" s="169" t="n">
        <f aca="false">IF(AL$13&gt;IF($C$11="24 місяці",24,IF($C$11="36 місяців",36,60)),0,AL48*22%)</f>
        <v>0</v>
      </c>
      <c r="AM54" s="169" t="n">
        <f aca="false">IF(AM$13&gt;IF($C$11="24 місяці",24,IF($C$11="36 місяців",36,60)),0,AM48*22%)</f>
        <v>0</v>
      </c>
      <c r="AN54" s="169" t="n">
        <f aca="false">IF(AN$13&gt;IF($C$11="24 місяці",24,IF($C$11="36 місяців",36,60)),0,AN48*22%)</f>
        <v>0</v>
      </c>
      <c r="AO54" s="169" t="n">
        <f aca="false">IF(AO$13&gt;IF($C$11="24 місяці",24,IF($C$11="36 місяців",36,60)),0,AO48*22%)</f>
        <v>0</v>
      </c>
      <c r="AP54" s="169" t="n">
        <f aca="false">IF(AP$13&gt;IF($C$11="24 місяці",24,IF($C$11="36 місяців",36,60)),0,AP48*22%)</f>
        <v>0</v>
      </c>
      <c r="AQ54" s="169" t="n">
        <f aca="false">IF(AQ$13&gt;IF($C$11="24 місяці",24,IF($C$11="36 місяців",36,60)),0,AQ48*22%)</f>
        <v>0</v>
      </c>
      <c r="AR54" s="169" t="n">
        <f aca="false">IF(AR$13&gt;IF($C$11="24 місяці",24,IF($C$11="36 місяців",36,60)),0,AR48*22%)</f>
        <v>0</v>
      </c>
      <c r="AS54" s="169" t="n">
        <f aca="false">IF(AS$13&gt;IF($C$11="24 місяці",24,IF($C$11="36 місяців",36,60)),0,AS48*22%)</f>
        <v>0</v>
      </c>
      <c r="AT54" s="169" t="n">
        <f aca="false">IF(AT$13&gt;IF($C$11="24 місяці",24,IF($C$11="36 місяців",36,60)),0,AT48*22%)</f>
        <v>0</v>
      </c>
      <c r="AU54" s="169" t="n">
        <f aca="false">IF(AU$13&gt;IF($C$11="24 місяці",24,IF($C$11="36 місяців",36,60)),0,AU48*22%)</f>
        <v>0</v>
      </c>
      <c r="AV54" s="169" t="n">
        <f aca="false">IF(AV$13&gt;IF($C$11="24 місяці",24,IF($C$11="36 місяців",36,60)),0,AV48*22%)</f>
        <v>0</v>
      </c>
      <c r="AW54" s="169" t="n">
        <f aca="false">IF(AW$13&gt;IF($C$11="24 місяці",24,IF($C$11="36 місяців",36,60)),0,AW48*22%)</f>
        <v>0</v>
      </c>
      <c r="AX54" s="169" t="n">
        <f aca="false">IF(AX$13&gt;IF($C$11="24 місяці",24,IF($C$11="36 місяців",36,60)),0,AX48*22%)</f>
        <v>0</v>
      </c>
      <c r="AY54" s="169" t="n">
        <f aca="false">IF(AY$13&gt;IF($C$11="24 місяці",24,IF($C$11="36 місяців",36,60)),0,AY48*22%)</f>
        <v>0</v>
      </c>
      <c r="AZ54" s="169" t="n">
        <f aca="false">IF(AZ$13&gt;IF($C$11="24 місяці",24,IF($C$11="36 місяців",36,60)),0,AZ48*22%)</f>
        <v>0</v>
      </c>
      <c r="BA54" s="169" t="n">
        <f aca="false">IF(BA$13&gt;IF($C$11="24 місяці",24,IF($C$11="36 місяців",36,60)),0,BA48*22%)</f>
        <v>0</v>
      </c>
      <c r="BB54" s="169" t="n">
        <f aca="false">IF(BB$13&gt;IF($C$11="24 місяці",24,IF($C$11="36 місяців",36,60)),0,BB48*22%)</f>
        <v>0</v>
      </c>
      <c r="BC54" s="169" t="n">
        <f aca="false">IF(BC$13&gt;IF($C$11="24 місяці",24,IF($C$11="36 місяців",36,60)),0,BC48*22%)</f>
        <v>0</v>
      </c>
      <c r="BD54" s="169" t="n">
        <f aca="false">IF(BD$13&gt;IF($C$11="24 місяці",24,IF($C$11="36 місяців",36,60)),0,BD48*22%)</f>
        <v>0</v>
      </c>
      <c r="BE54" s="169" t="n">
        <f aca="false">IF(BE$13&gt;IF($C$11="24 місяці",24,IF($C$11="36 місяців",36,60)),0,BE48*22%)</f>
        <v>0</v>
      </c>
      <c r="BF54" s="169" t="n">
        <f aca="false">IF(BF$13&gt;IF($C$11="24 місяці",24,IF($C$11="36 місяців",36,60)),0,BF48*22%)</f>
        <v>0</v>
      </c>
      <c r="BG54" s="169" t="n">
        <f aca="false">IF(BG$13&gt;IF($C$11="24 місяці",24,IF($C$11="36 місяців",36,60)),0,BG48*22%)</f>
        <v>0</v>
      </c>
      <c r="BH54" s="169" t="n">
        <f aca="false">IF(BH$13&gt;IF($C$11="24 місяці",24,IF($C$11="36 місяців",36,60)),0,BH48*22%)</f>
        <v>0</v>
      </c>
      <c r="BI54" s="169" t="n">
        <f aca="false">IF(BI$13&gt;IF($C$11="24 місяці",24,IF($C$11="36 місяців",36,60)),0,BI48*22%)</f>
        <v>0</v>
      </c>
      <c r="BJ54" s="169" t="n">
        <f aca="false">IF(BJ$13&gt;IF($C$11="24 місяці",24,IF($C$11="36 місяців",36,60)),0,BJ48*22%)</f>
        <v>0</v>
      </c>
      <c r="BK54" s="169" t="n">
        <f aca="false">IF(BK$13&gt;IF($C$11="24 місяці",24,IF($C$11="36 місяців",36,60)),0,BK48*22%)</f>
        <v>0</v>
      </c>
      <c r="BL54" s="169" t="n">
        <f aca="false">IF(BL$13&gt;IF($C$11="24 місяці",24,IF($C$11="36 місяців",36,60)),0,BL48*22%)</f>
        <v>0</v>
      </c>
      <c r="BM54" s="131" t="n">
        <f aca="false">IF($C$11="24 місяці",SUM(E54:AB54),IF($C$11="36 місяців",SUM(E54:AN54),SUM(E54:BL54)))</f>
        <v>0</v>
      </c>
    </row>
    <row r="55" s="96" customFormat="true" ht="30.75" hidden="false" customHeight="true" outlineLevel="0" collapsed="false">
      <c r="A55" s="162"/>
      <c r="B55" s="175" t="s">
        <v>249</v>
      </c>
      <c r="C55" s="176"/>
      <c r="D55" s="177"/>
      <c r="E55" s="173"/>
      <c r="F55" s="173"/>
      <c r="G55" s="173"/>
      <c r="H55" s="173"/>
      <c r="I55" s="173"/>
      <c r="J55" s="173"/>
      <c r="K55" s="173"/>
      <c r="L55" s="173"/>
      <c r="M55" s="173"/>
      <c r="N55" s="173"/>
      <c r="O55" s="173"/>
      <c r="P55" s="173"/>
      <c r="Q55" s="173"/>
      <c r="R55" s="173"/>
      <c r="S55" s="173"/>
      <c r="T55" s="173"/>
      <c r="U55" s="173"/>
      <c r="V55" s="173"/>
      <c r="W55" s="173"/>
      <c r="X55" s="173"/>
      <c r="Y55" s="173"/>
      <c r="Z55" s="173"/>
      <c r="AA55" s="173"/>
      <c r="AB55" s="173"/>
      <c r="AC55" s="173"/>
      <c r="AD55" s="173"/>
      <c r="AE55" s="173"/>
      <c r="AF55" s="173"/>
      <c r="AG55" s="173"/>
      <c r="AH55" s="173"/>
      <c r="AI55" s="173"/>
      <c r="AJ55" s="173"/>
      <c r="AK55" s="173"/>
      <c r="AL55" s="173"/>
      <c r="AM55" s="173"/>
      <c r="AN55" s="173"/>
      <c r="AO55" s="173"/>
      <c r="AP55" s="173"/>
      <c r="AQ55" s="173"/>
      <c r="AR55" s="173"/>
      <c r="AS55" s="173"/>
      <c r="AT55" s="173"/>
      <c r="AU55" s="173"/>
      <c r="AV55" s="173"/>
      <c r="AW55" s="173"/>
      <c r="AX55" s="173"/>
      <c r="AY55" s="173"/>
      <c r="AZ55" s="173"/>
      <c r="BA55" s="173"/>
      <c r="BB55" s="173"/>
      <c r="BC55" s="173"/>
      <c r="BD55" s="173"/>
      <c r="BE55" s="173"/>
      <c r="BF55" s="173"/>
      <c r="BG55" s="173"/>
      <c r="BH55" s="173"/>
      <c r="BI55" s="173"/>
      <c r="BJ55" s="173"/>
      <c r="BK55" s="173"/>
      <c r="BL55" s="173"/>
      <c r="BM55" s="173"/>
    </row>
    <row r="56" s="96" customFormat="true" ht="30.75" hidden="false" customHeight="true" outlineLevel="0" collapsed="false">
      <c r="A56" s="162"/>
      <c r="B56" s="174" t="s">
        <v>250</v>
      </c>
      <c r="C56" s="147"/>
      <c r="D56" s="143"/>
      <c r="E56" s="169" t="n">
        <f aca="false">IF(E$13&gt;IF($C$11="24 місяці",24,IF($C$11="36 місяців",36,60)),0,E49*18%)</f>
        <v>8100</v>
      </c>
      <c r="F56" s="169" t="n">
        <f aca="false">IF(F$13&gt;IF($C$11="24 місяці",24,IF($C$11="36 місяців",36,60)),0,F49*18%)</f>
        <v>8100</v>
      </c>
      <c r="G56" s="169" t="n">
        <f aca="false">IF(G$13&gt;IF($C$11="24 місяці",24,IF($C$11="36 місяців",36,60)),0,G49*18%)</f>
        <v>8100</v>
      </c>
      <c r="H56" s="169" t="n">
        <f aca="false">IF(H$13&gt;IF($C$11="24 місяці",24,IF($C$11="36 місяців",36,60)),0,H49*18%)</f>
        <v>8100</v>
      </c>
      <c r="I56" s="169" t="n">
        <f aca="false">IF(I$13&gt;IF($C$11="24 місяці",24,IF($C$11="36 місяців",36,60)),0,I49*18%)</f>
        <v>8100</v>
      </c>
      <c r="J56" s="169" t="n">
        <f aca="false">IF(J$13&gt;IF($C$11="24 місяці",24,IF($C$11="36 місяців",36,60)),0,J49*18%)</f>
        <v>8100</v>
      </c>
      <c r="K56" s="169" t="n">
        <f aca="false">IF(K$13&gt;IF($C$11="24 місяці",24,IF($C$11="36 місяців",36,60)),0,K49*18%)</f>
        <v>8100</v>
      </c>
      <c r="L56" s="169" t="n">
        <f aca="false">IF(L$13&gt;IF($C$11="24 місяці",24,IF($C$11="36 місяців",36,60)),0,L49*18%)</f>
        <v>8100</v>
      </c>
      <c r="M56" s="169" t="n">
        <f aca="false">IF(M$13&gt;IF($C$11="24 місяці",24,IF($C$11="36 місяців",36,60)),0,M49*18%)</f>
        <v>8100</v>
      </c>
      <c r="N56" s="169" t="n">
        <f aca="false">IF(N$13&gt;IF($C$11="24 місяці",24,IF($C$11="36 місяців",36,60)),0,N49*18%)</f>
        <v>8100</v>
      </c>
      <c r="O56" s="169" t="n">
        <f aca="false">IF(O$13&gt;IF($C$11="24 місяці",24,IF($C$11="36 місяців",36,60)),0,O49*18%)</f>
        <v>8100</v>
      </c>
      <c r="P56" s="169" t="n">
        <f aca="false">IF(P$13&gt;IF($C$11="24 місяці",24,IF($C$11="36 місяців",36,60)),0,P49*18%)</f>
        <v>8100</v>
      </c>
      <c r="Q56" s="169" t="n">
        <f aca="false">IF(Q$13&gt;IF($C$11="24 місяці",24,IF($C$11="36 місяців",36,60)),0,Q49*18%)</f>
        <v>9000</v>
      </c>
      <c r="R56" s="169" t="n">
        <f aca="false">IF(R$13&gt;IF($C$11="24 місяці",24,IF($C$11="36 місяців",36,60)),0,R49*18%)</f>
        <v>9000</v>
      </c>
      <c r="S56" s="169" t="n">
        <f aca="false">IF(S$13&gt;IF($C$11="24 місяці",24,IF($C$11="36 місяців",36,60)),0,S49*18%)</f>
        <v>9000</v>
      </c>
      <c r="T56" s="169" t="n">
        <f aca="false">IF(T$13&gt;IF($C$11="24 місяці",24,IF($C$11="36 місяців",36,60)),0,T49*18%)</f>
        <v>9000</v>
      </c>
      <c r="U56" s="169" t="n">
        <f aca="false">IF(U$13&gt;IF($C$11="24 місяці",24,IF($C$11="36 місяців",36,60)),0,U49*18%)</f>
        <v>9000</v>
      </c>
      <c r="V56" s="169" t="n">
        <f aca="false">IF(V$13&gt;IF($C$11="24 місяці",24,IF($C$11="36 місяців",36,60)),0,V49*18%)</f>
        <v>9000</v>
      </c>
      <c r="W56" s="169" t="n">
        <f aca="false">IF(W$13&gt;IF($C$11="24 місяці",24,IF($C$11="36 місяців",36,60)),0,W49*18%)</f>
        <v>9000</v>
      </c>
      <c r="X56" s="169" t="n">
        <f aca="false">IF(X$13&gt;IF($C$11="24 місяці",24,IF($C$11="36 місяців",36,60)),0,X49*18%)</f>
        <v>9000</v>
      </c>
      <c r="Y56" s="169" t="n">
        <f aca="false">IF(Y$13&gt;IF($C$11="24 місяці",24,IF($C$11="36 місяців",36,60)),0,Y49*18%)</f>
        <v>9000</v>
      </c>
      <c r="Z56" s="169" t="n">
        <f aca="false">IF(Z$13&gt;IF($C$11="24 місяці",24,IF($C$11="36 місяців",36,60)),0,Z49*18%)</f>
        <v>9000</v>
      </c>
      <c r="AA56" s="169" t="n">
        <f aca="false">IF(AA$13&gt;IF($C$11="24 місяці",24,IF($C$11="36 місяців",36,60)),0,AA49*18%)</f>
        <v>9000</v>
      </c>
      <c r="AB56" s="169" t="n">
        <f aca="false">IF(AB$13&gt;IF($C$11="24 місяці",24,IF($C$11="36 місяців",36,60)),0,AB49*18%)</f>
        <v>9000</v>
      </c>
      <c r="AC56" s="169" t="n">
        <f aca="false">IF(AC$13&gt;IF($C$11="24 місяці",24,IF($C$11="36 місяців",36,60)),0,AC49*18%)</f>
        <v>9900</v>
      </c>
      <c r="AD56" s="169" t="n">
        <f aca="false">IF(AD$13&gt;IF($C$11="24 місяці",24,IF($C$11="36 місяців",36,60)),0,AD49*18%)</f>
        <v>9900</v>
      </c>
      <c r="AE56" s="169" t="n">
        <f aca="false">IF(AE$13&gt;IF($C$11="24 місяці",24,IF($C$11="36 місяців",36,60)),0,AE49*18%)</f>
        <v>9900</v>
      </c>
      <c r="AF56" s="169" t="n">
        <f aca="false">IF(AF$13&gt;IF($C$11="24 місяці",24,IF($C$11="36 місяців",36,60)),0,AF49*18%)</f>
        <v>9900</v>
      </c>
      <c r="AG56" s="169" t="n">
        <f aca="false">IF(AG$13&gt;IF($C$11="24 місяці",24,IF($C$11="36 місяців",36,60)),0,AG49*18%)</f>
        <v>9900</v>
      </c>
      <c r="AH56" s="169" t="n">
        <f aca="false">IF(AH$13&gt;IF($C$11="24 місяці",24,IF($C$11="36 місяців",36,60)),0,AH49*18%)</f>
        <v>9900</v>
      </c>
      <c r="AI56" s="169" t="n">
        <f aca="false">IF(AI$13&gt;IF($C$11="24 місяці",24,IF($C$11="36 місяців",36,60)),0,AI49*18%)</f>
        <v>9900</v>
      </c>
      <c r="AJ56" s="169" t="n">
        <f aca="false">IF(AJ$13&gt;IF($C$11="24 місяці",24,IF($C$11="36 місяців",36,60)),0,AJ49*18%)</f>
        <v>9900</v>
      </c>
      <c r="AK56" s="169" t="n">
        <f aca="false">IF(AK$13&gt;IF($C$11="24 місяці",24,IF($C$11="36 місяців",36,60)),0,AK49*18%)</f>
        <v>9900</v>
      </c>
      <c r="AL56" s="169" t="n">
        <f aca="false">IF(AL$13&gt;IF($C$11="24 місяці",24,IF($C$11="36 місяців",36,60)),0,AL49*18%)</f>
        <v>9900</v>
      </c>
      <c r="AM56" s="169" t="n">
        <f aca="false">IF(AM$13&gt;IF($C$11="24 місяці",24,IF($C$11="36 місяців",36,60)),0,AM49*18%)</f>
        <v>9900</v>
      </c>
      <c r="AN56" s="169" t="n">
        <f aca="false">IF(AN$13&gt;IF($C$11="24 місяці",24,IF($C$11="36 місяців",36,60)),0,AN49*18%)</f>
        <v>9900</v>
      </c>
      <c r="AO56" s="169" t="n">
        <f aca="false">IF(AO$13&gt;IF($C$11="24 місяці",24,IF($C$11="36 місяців",36,60)),0,AO49*18%)</f>
        <v>0</v>
      </c>
      <c r="AP56" s="169" t="n">
        <f aca="false">IF(AP$13&gt;IF($C$11="24 місяці",24,IF($C$11="36 місяців",36,60)),0,AP49*18%)</f>
        <v>0</v>
      </c>
      <c r="AQ56" s="169" t="n">
        <f aca="false">IF(AQ$13&gt;IF($C$11="24 місяці",24,IF($C$11="36 місяців",36,60)),0,AQ49*18%)</f>
        <v>0</v>
      </c>
      <c r="AR56" s="169" t="n">
        <f aca="false">IF(AR$13&gt;IF($C$11="24 місяці",24,IF($C$11="36 місяців",36,60)),0,AR49*18%)</f>
        <v>0</v>
      </c>
      <c r="AS56" s="169" t="n">
        <f aca="false">IF(AS$13&gt;IF($C$11="24 місяці",24,IF($C$11="36 місяців",36,60)),0,AS49*18%)</f>
        <v>0</v>
      </c>
      <c r="AT56" s="169" t="n">
        <f aca="false">IF(AT$13&gt;IF($C$11="24 місяці",24,IF($C$11="36 місяців",36,60)),0,AT49*18%)</f>
        <v>0</v>
      </c>
      <c r="AU56" s="169" t="n">
        <f aca="false">IF(AU$13&gt;IF($C$11="24 місяці",24,IF($C$11="36 місяців",36,60)),0,AU49*18%)</f>
        <v>0</v>
      </c>
      <c r="AV56" s="169" t="n">
        <f aca="false">IF(AV$13&gt;IF($C$11="24 місяці",24,IF($C$11="36 місяців",36,60)),0,AV49*18%)</f>
        <v>0</v>
      </c>
      <c r="AW56" s="169" t="n">
        <f aca="false">IF(AW$13&gt;IF($C$11="24 місяці",24,IF($C$11="36 місяців",36,60)),0,AW49*18%)</f>
        <v>0</v>
      </c>
      <c r="AX56" s="169" t="n">
        <f aca="false">IF(AX$13&gt;IF($C$11="24 місяці",24,IF($C$11="36 місяців",36,60)),0,AX49*18%)</f>
        <v>0</v>
      </c>
      <c r="AY56" s="169" t="n">
        <f aca="false">IF(AY$13&gt;IF($C$11="24 місяці",24,IF($C$11="36 місяців",36,60)),0,AY49*18%)</f>
        <v>0</v>
      </c>
      <c r="AZ56" s="169" t="n">
        <f aca="false">IF(AZ$13&gt;IF($C$11="24 місяці",24,IF($C$11="36 місяців",36,60)),0,AZ49*18%)</f>
        <v>0</v>
      </c>
      <c r="BA56" s="169" t="n">
        <f aca="false">IF(BA$13&gt;IF($C$11="24 місяці",24,IF($C$11="36 місяців",36,60)),0,BA49*18%)</f>
        <v>0</v>
      </c>
      <c r="BB56" s="169" t="n">
        <f aca="false">IF(BB$13&gt;IF($C$11="24 місяці",24,IF($C$11="36 місяців",36,60)),0,BB49*18%)</f>
        <v>0</v>
      </c>
      <c r="BC56" s="169" t="n">
        <f aca="false">IF(BC$13&gt;IF($C$11="24 місяці",24,IF($C$11="36 місяців",36,60)),0,BC49*18%)</f>
        <v>0</v>
      </c>
      <c r="BD56" s="169" t="n">
        <f aca="false">IF(BD$13&gt;IF($C$11="24 місяці",24,IF($C$11="36 місяців",36,60)),0,BD49*18%)</f>
        <v>0</v>
      </c>
      <c r="BE56" s="169" t="n">
        <f aca="false">IF(BE$13&gt;IF($C$11="24 місяці",24,IF($C$11="36 місяців",36,60)),0,BE49*18%)</f>
        <v>0</v>
      </c>
      <c r="BF56" s="169" t="n">
        <f aca="false">IF(BF$13&gt;IF($C$11="24 місяці",24,IF($C$11="36 місяців",36,60)),0,BF49*18%)</f>
        <v>0</v>
      </c>
      <c r="BG56" s="169" t="n">
        <f aca="false">IF(BG$13&gt;IF($C$11="24 місяці",24,IF($C$11="36 місяців",36,60)),0,BG49*18%)</f>
        <v>0</v>
      </c>
      <c r="BH56" s="169" t="n">
        <f aca="false">IF(BH$13&gt;IF($C$11="24 місяці",24,IF($C$11="36 місяців",36,60)),0,BH49*18%)</f>
        <v>0</v>
      </c>
      <c r="BI56" s="169" t="n">
        <f aca="false">IF(BI$13&gt;IF($C$11="24 місяці",24,IF($C$11="36 місяців",36,60)),0,BI49*18%)</f>
        <v>0</v>
      </c>
      <c r="BJ56" s="169" t="n">
        <f aca="false">IF(BJ$13&gt;IF($C$11="24 місяці",24,IF($C$11="36 місяців",36,60)),0,BJ49*18%)</f>
        <v>0</v>
      </c>
      <c r="BK56" s="169" t="n">
        <f aca="false">IF(BK$13&gt;IF($C$11="24 місяці",24,IF($C$11="36 місяців",36,60)),0,BK49*18%)</f>
        <v>0</v>
      </c>
      <c r="BL56" s="169" t="n">
        <f aca="false">IF(BL$13&gt;IF($C$11="24 місяці",24,IF($C$11="36 місяців",36,60)),0,BL49*18%)</f>
        <v>0</v>
      </c>
      <c r="BM56" s="131" t="n">
        <f aca="false">IF($C$11="24 місяці",SUM(E56:AB56),IF($C$11="36 місяців",SUM(E56:AN56),SUM(E56:BL56)))</f>
        <v>324000</v>
      </c>
    </row>
    <row r="57" s="96" customFormat="true" ht="30.75" hidden="false" customHeight="true" outlineLevel="0" collapsed="false">
      <c r="A57" s="162"/>
      <c r="B57" s="174" t="s">
        <v>251</v>
      </c>
      <c r="C57" s="147"/>
      <c r="D57" s="143"/>
      <c r="E57" s="169" t="n">
        <f aca="false">IF(E$13&gt;IF($C$11="24 місяці",24,IF($C$11="36 місяців",36,60)),0,E49*5%)</f>
        <v>2250</v>
      </c>
      <c r="F57" s="169" t="n">
        <f aca="false">IF(F$13&gt;IF($C$11="24 місяці",24,IF($C$11="36 місяців",36,60)),0,F49*5%)</f>
        <v>2250</v>
      </c>
      <c r="G57" s="169" t="n">
        <f aca="false">IF(G$13&gt;IF($C$11="24 місяці",24,IF($C$11="36 місяців",36,60)),0,G49*5%)</f>
        <v>2250</v>
      </c>
      <c r="H57" s="169" t="n">
        <f aca="false">IF(H$13&gt;IF($C$11="24 місяці",24,IF($C$11="36 місяців",36,60)),0,H49*5%)</f>
        <v>2250</v>
      </c>
      <c r="I57" s="169" t="n">
        <f aca="false">IF(I$13&gt;IF($C$11="24 місяці",24,IF($C$11="36 місяців",36,60)),0,I49*5%)</f>
        <v>2250</v>
      </c>
      <c r="J57" s="169" t="n">
        <f aca="false">IF(J$13&gt;IF($C$11="24 місяці",24,IF($C$11="36 місяців",36,60)),0,J49*5%)</f>
        <v>2250</v>
      </c>
      <c r="K57" s="169" t="n">
        <f aca="false">IF(K$13&gt;IF($C$11="24 місяці",24,IF($C$11="36 місяців",36,60)),0,K49*5%)</f>
        <v>2250</v>
      </c>
      <c r="L57" s="169" t="n">
        <f aca="false">IF(L$13&gt;IF($C$11="24 місяці",24,IF($C$11="36 місяців",36,60)),0,L49*5%)</f>
        <v>2250</v>
      </c>
      <c r="M57" s="169" t="n">
        <f aca="false">IF(M$13&gt;IF($C$11="24 місяці",24,IF($C$11="36 місяців",36,60)),0,M49*5%)</f>
        <v>2250</v>
      </c>
      <c r="N57" s="169" t="n">
        <f aca="false">IF(N$13&gt;IF($C$11="24 місяці",24,IF($C$11="36 місяців",36,60)),0,N49*5%)</f>
        <v>2250</v>
      </c>
      <c r="O57" s="169" t="n">
        <f aca="false">IF(O$13&gt;IF($C$11="24 місяці",24,IF($C$11="36 місяців",36,60)),0,O49*5%)</f>
        <v>2250</v>
      </c>
      <c r="P57" s="169" t="n">
        <f aca="false">IF(P$13&gt;IF($C$11="24 місяці",24,IF($C$11="36 місяців",36,60)),0,P49*5%)</f>
        <v>2250</v>
      </c>
      <c r="Q57" s="169" t="n">
        <f aca="false">IF(Q$13&gt;IF($C$11="24 місяці",24,IF($C$11="36 місяців",36,60)),0,Q49*5%)</f>
        <v>2500</v>
      </c>
      <c r="R57" s="169" t="n">
        <f aca="false">IF(R$13&gt;IF($C$11="24 місяці",24,IF($C$11="36 місяців",36,60)),0,R49*5%)</f>
        <v>2500</v>
      </c>
      <c r="S57" s="169" t="n">
        <f aca="false">IF(S$13&gt;IF($C$11="24 місяці",24,IF($C$11="36 місяців",36,60)),0,S49*5%)</f>
        <v>2500</v>
      </c>
      <c r="T57" s="169" t="n">
        <f aca="false">IF(T$13&gt;IF($C$11="24 місяці",24,IF($C$11="36 місяців",36,60)),0,T49*5%)</f>
        <v>2500</v>
      </c>
      <c r="U57" s="169" t="n">
        <f aca="false">IF(U$13&gt;IF($C$11="24 місяці",24,IF($C$11="36 місяців",36,60)),0,U49*5%)</f>
        <v>2500</v>
      </c>
      <c r="V57" s="169" t="n">
        <f aca="false">IF(V$13&gt;IF($C$11="24 місяці",24,IF($C$11="36 місяців",36,60)),0,V49*5%)</f>
        <v>2500</v>
      </c>
      <c r="W57" s="169" t="n">
        <f aca="false">IF(W$13&gt;IF($C$11="24 місяці",24,IF($C$11="36 місяців",36,60)),0,W49*5%)</f>
        <v>2500</v>
      </c>
      <c r="X57" s="169" t="n">
        <f aca="false">IF(X$13&gt;IF($C$11="24 місяці",24,IF($C$11="36 місяців",36,60)),0,X49*5%)</f>
        <v>2500</v>
      </c>
      <c r="Y57" s="169" t="n">
        <f aca="false">IF(Y$13&gt;IF($C$11="24 місяці",24,IF($C$11="36 місяців",36,60)),0,Y49*5%)</f>
        <v>2500</v>
      </c>
      <c r="Z57" s="169" t="n">
        <f aca="false">IF(Z$13&gt;IF($C$11="24 місяці",24,IF($C$11="36 місяців",36,60)),0,Z49*5%)</f>
        <v>2500</v>
      </c>
      <c r="AA57" s="169" t="n">
        <f aca="false">IF(AA$13&gt;IF($C$11="24 місяці",24,IF($C$11="36 місяців",36,60)),0,AA49*5%)</f>
        <v>2500</v>
      </c>
      <c r="AB57" s="169" t="n">
        <f aca="false">IF(AB$13&gt;IF($C$11="24 місяці",24,IF($C$11="36 місяців",36,60)),0,AB49*5%)</f>
        <v>2500</v>
      </c>
      <c r="AC57" s="169" t="n">
        <f aca="false">IF(AC$13&gt;IF($C$11="24 місяці",24,IF($C$11="36 місяців",36,60)),0,AC49*5%)</f>
        <v>2750</v>
      </c>
      <c r="AD57" s="169" t="n">
        <f aca="false">IF(AD$13&gt;IF($C$11="24 місяці",24,IF($C$11="36 місяців",36,60)),0,AD49*5%)</f>
        <v>2750</v>
      </c>
      <c r="AE57" s="169" t="n">
        <f aca="false">IF(AE$13&gt;IF($C$11="24 місяці",24,IF($C$11="36 місяців",36,60)),0,AE49*5%)</f>
        <v>2750</v>
      </c>
      <c r="AF57" s="169" t="n">
        <f aca="false">IF(AF$13&gt;IF($C$11="24 місяці",24,IF($C$11="36 місяців",36,60)),0,AF49*5%)</f>
        <v>2750</v>
      </c>
      <c r="AG57" s="169" t="n">
        <f aca="false">IF(AG$13&gt;IF($C$11="24 місяці",24,IF($C$11="36 місяців",36,60)),0,AG49*5%)</f>
        <v>2750</v>
      </c>
      <c r="AH57" s="169" t="n">
        <f aca="false">IF(AH$13&gt;IF($C$11="24 місяці",24,IF($C$11="36 місяців",36,60)),0,AH49*5%)</f>
        <v>2750</v>
      </c>
      <c r="AI57" s="169" t="n">
        <f aca="false">IF(AI$13&gt;IF($C$11="24 місяці",24,IF($C$11="36 місяців",36,60)),0,AI49*5%)</f>
        <v>2750</v>
      </c>
      <c r="AJ57" s="169" t="n">
        <f aca="false">IF(AJ$13&gt;IF($C$11="24 місяці",24,IF($C$11="36 місяців",36,60)),0,AJ49*5%)</f>
        <v>2750</v>
      </c>
      <c r="AK57" s="169" t="n">
        <f aca="false">IF(AK$13&gt;IF($C$11="24 місяці",24,IF($C$11="36 місяців",36,60)),0,AK49*5%)</f>
        <v>2750</v>
      </c>
      <c r="AL57" s="169" t="n">
        <f aca="false">IF(AL$13&gt;IF($C$11="24 місяці",24,IF($C$11="36 місяців",36,60)),0,AL49*5%)</f>
        <v>2750</v>
      </c>
      <c r="AM57" s="169" t="n">
        <f aca="false">IF(AM$13&gt;IF($C$11="24 місяці",24,IF($C$11="36 місяців",36,60)),0,AM49*5%)</f>
        <v>2750</v>
      </c>
      <c r="AN57" s="169" t="n">
        <f aca="false">IF(AN$13&gt;IF($C$11="24 місяці",24,IF($C$11="36 місяців",36,60)),0,AN49*5%)</f>
        <v>2750</v>
      </c>
      <c r="AO57" s="169" t="n">
        <f aca="false">IF(AO$13&gt;IF($C$11="24 місяці",24,IF($C$11="36 місяців",36,60)),0,AO49*5%)</f>
        <v>0</v>
      </c>
      <c r="AP57" s="169" t="n">
        <f aca="false">IF(AP$13&gt;IF($C$11="24 місяці",24,IF($C$11="36 місяців",36,60)),0,AP49*5%)</f>
        <v>0</v>
      </c>
      <c r="AQ57" s="169" t="n">
        <f aca="false">IF(AQ$13&gt;IF($C$11="24 місяці",24,IF($C$11="36 місяців",36,60)),0,AQ49*5%)</f>
        <v>0</v>
      </c>
      <c r="AR57" s="169" t="n">
        <f aca="false">IF(AR$13&gt;IF($C$11="24 місяці",24,IF($C$11="36 місяців",36,60)),0,AR49*5%)</f>
        <v>0</v>
      </c>
      <c r="AS57" s="169" t="n">
        <f aca="false">IF(AS$13&gt;IF($C$11="24 місяці",24,IF($C$11="36 місяців",36,60)),0,AS49*5%)</f>
        <v>0</v>
      </c>
      <c r="AT57" s="169" t="n">
        <f aca="false">IF(AT$13&gt;IF($C$11="24 місяці",24,IF($C$11="36 місяців",36,60)),0,AT49*5%)</f>
        <v>0</v>
      </c>
      <c r="AU57" s="169" t="n">
        <f aca="false">IF(AU$13&gt;IF($C$11="24 місяці",24,IF($C$11="36 місяців",36,60)),0,AU49*5%)</f>
        <v>0</v>
      </c>
      <c r="AV57" s="169" t="n">
        <f aca="false">IF(AV$13&gt;IF($C$11="24 місяці",24,IF($C$11="36 місяців",36,60)),0,AV49*5%)</f>
        <v>0</v>
      </c>
      <c r="AW57" s="169" t="n">
        <f aca="false">IF(AW$13&gt;IF($C$11="24 місяці",24,IF($C$11="36 місяців",36,60)),0,AW49*5%)</f>
        <v>0</v>
      </c>
      <c r="AX57" s="169" t="n">
        <f aca="false">IF(AX$13&gt;IF($C$11="24 місяці",24,IF($C$11="36 місяців",36,60)),0,AX49*5%)</f>
        <v>0</v>
      </c>
      <c r="AY57" s="169" t="n">
        <f aca="false">IF(AY$13&gt;IF($C$11="24 місяці",24,IF($C$11="36 місяців",36,60)),0,AY49*5%)</f>
        <v>0</v>
      </c>
      <c r="AZ57" s="169" t="n">
        <f aca="false">IF(AZ$13&gt;IF($C$11="24 місяці",24,IF($C$11="36 місяців",36,60)),0,AZ49*5%)</f>
        <v>0</v>
      </c>
      <c r="BA57" s="169" t="n">
        <f aca="false">IF(BA$13&gt;IF($C$11="24 місяці",24,IF($C$11="36 місяців",36,60)),0,BA49*5%)</f>
        <v>0</v>
      </c>
      <c r="BB57" s="169" t="n">
        <f aca="false">IF(BB$13&gt;IF($C$11="24 місяці",24,IF($C$11="36 місяців",36,60)),0,BB49*5%)</f>
        <v>0</v>
      </c>
      <c r="BC57" s="169" t="n">
        <f aca="false">IF(BC$13&gt;IF($C$11="24 місяці",24,IF($C$11="36 місяців",36,60)),0,BC49*5%)</f>
        <v>0</v>
      </c>
      <c r="BD57" s="169" t="n">
        <f aca="false">IF(BD$13&gt;IF($C$11="24 місяці",24,IF($C$11="36 місяців",36,60)),0,BD49*5%)</f>
        <v>0</v>
      </c>
      <c r="BE57" s="169" t="n">
        <f aca="false">IF(BE$13&gt;IF($C$11="24 місяці",24,IF($C$11="36 місяців",36,60)),0,BE49*5%)</f>
        <v>0</v>
      </c>
      <c r="BF57" s="169" t="n">
        <f aca="false">IF(BF$13&gt;IF($C$11="24 місяці",24,IF($C$11="36 місяців",36,60)),0,BF49*5%)</f>
        <v>0</v>
      </c>
      <c r="BG57" s="169" t="n">
        <f aca="false">IF(BG$13&gt;IF($C$11="24 місяці",24,IF($C$11="36 місяців",36,60)),0,BG49*5%)</f>
        <v>0</v>
      </c>
      <c r="BH57" s="169" t="n">
        <f aca="false">IF(BH$13&gt;IF($C$11="24 місяці",24,IF($C$11="36 місяців",36,60)),0,BH49*5%)</f>
        <v>0</v>
      </c>
      <c r="BI57" s="169" t="n">
        <f aca="false">IF(BI$13&gt;IF($C$11="24 місяці",24,IF($C$11="36 місяців",36,60)),0,BI49*5%)</f>
        <v>0</v>
      </c>
      <c r="BJ57" s="169" t="n">
        <f aca="false">IF(BJ$13&gt;IF($C$11="24 місяці",24,IF($C$11="36 місяців",36,60)),0,BJ49*5%)</f>
        <v>0</v>
      </c>
      <c r="BK57" s="169" t="n">
        <f aca="false">IF(BK$13&gt;IF($C$11="24 місяці",24,IF($C$11="36 місяців",36,60)),0,BK49*5%)</f>
        <v>0</v>
      </c>
      <c r="BL57" s="169" t="n">
        <f aca="false">IF(BL$13&gt;IF($C$11="24 місяці",24,IF($C$11="36 місяців",36,60)),0,BL49*5%)</f>
        <v>0</v>
      </c>
      <c r="BM57" s="178" t="n">
        <f aca="false">IF($C$11="24 місяці",SUM(E57:AB57),IF($C$11="36 місяців",SUM(E57:AN57),SUM(E57:BL57)))</f>
        <v>90000</v>
      </c>
    </row>
    <row r="58" s="96" customFormat="true" ht="30.75" hidden="false" customHeight="true" outlineLevel="0" collapsed="false">
      <c r="A58" s="162"/>
      <c r="B58" s="174" t="s">
        <v>252</v>
      </c>
      <c r="C58" s="147"/>
      <c r="D58" s="143"/>
      <c r="E58" s="169" t="n">
        <f aca="false">IF(E$13&gt;IF($C$11="24 місяці",24,IF($C$11="36 місяців",36,60)),0,E49*22%)</f>
        <v>9900</v>
      </c>
      <c r="F58" s="169" t="n">
        <f aca="false">IF(F$13&gt;IF($C$11="24 місяці",24,IF($C$11="36 місяців",36,60)),0,F49*22%)</f>
        <v>9900</v>
      </c>
      <c r="G58" s="169" t="n">
        <f aca="false">IF(G$13&gt;IF($C$11="24 місяці",24,IF($C$11="36 місяців",36,60)),0,G49*22%)</f>
        <v>9900</v>
      </c>
      <c r="H58" s="169" t="n">
        <f aca="false">IF(H$13&gt;IF($C$11="24 місяці",24,IF($C$11="36 місяців",36,60)),0,H49*22%)</f>
        <v>9900</v>
      </c>
      <c r="I58" s="169" t="n">
        <f aca="false">IF(I$13&gt;IF($C$11="24 місяці",24,IF($C$11="36 місяців",36,60)),0,I49*22%)</f>
        <v>9900</v>
      </c>
      <c r="J58" s="169" t="n">
        <f aca="false">IF(J$13&gt;IF($C$11="24 місяці",24,IF($C$11="36 місяців",36,60)),0,J49*22%)</f>
        <v>9900</v>
      </c>
      <c r="K58" s="169" t="n">
        <f aca="false">IF(K$13&gt;IF($C$11="24 місяці",24,IF($C$11="36 місяців",36,60)),0,K49*22%)</f>
        <v>9900</v>
      </c>
      <c r="L58" s="169" t="n">
        <f aca="false">IF(L$13&gt;IF($C$11="24 місяці",24,IF($C$11="36 місяців",36,60)),0,L49*22%)</f>
        <v>9900</v>
      </c>
      <c r="M58" s="169" t="n">
        <f aca="false">IF(M$13&gt;IF($C$11="24 місяці",24,IF($C$11="36 місяців",36,60)),0,M49*22%)</f>
        <v>9900</v>
      </c>
      <c r="N58" s="169" t="n">
        <f aca="false">IF(N$13&gt;IF($C$11="24 місяці",24,IF($C$11="36 місяців",36,60)),0,N49*22%)</f>
        <v>9900</v>
      </c>
      <c r="O58" s="169" t="n">
        <f aca="false">IF(O$13&gt;IF($C$11="24 місяці",24,IF($C$11="36 місяців",36,60)),0,O49*22%)</f>
        <v>9900</v>
      </c>
      <c r="P58" s="169" t="n">
        <f aca="false">IF(P$13&gt;IF($C$11="24 місяці",24,IF($C$11="36 місяців",36,60)),0,P49*22%)</f>
        <v>9900</v>
      </c>
      <c r="Q58" s="169" t="n">
        <f aca="false">IF(Q$13&gt;IF($C$11="24 місяці",24,IF($C$11="36 місяців",36,60)),0,Q49*22%)</f>
        <v>11000</v>
      </c>
      <c r="R58" s="169" t="n">
        <f aca="false">IF(R$13&gt;IF($C$11="24 місяці",24,IF($C$11="36 місяців",36,60)),0,R49*22%)</f>
        <v>11000</v>
      </c>
      <c r="S58" s="169" t="n">
        <f aca="false">IF(S$13&gt;IF($C$11="24 місяці",24,IF($C$11="36 місяців",36,60)),0,S49*22%)</f>
        <v>11000</v>
      </c>
      <c r="T58" s="169" t="n">
        <f aca="false">IF(T$13&gt;IF($C$11="24 місяці",24,IF($C$11="36 місяців",36,60)),0,T49*22%)</f>
        <v>11000</v>
      </c>
      <c r="U58" s="169" t="n">
        <f aca="false">IF(U$13&gt;IF($C$11="24 місяці",24,IF($C$11="36 місяців",36,60)),0,U49*22%)</f>
        <v>11000</v>
      </c>
      <c r="V58" s="169" t="n">
        <f aca="false">IF(V$13&gt;IF($C$11="24 місяці",24,IF($C$11="36 місяців",36,60)),0,V49*22%)</f>
        <v>11000</v>
      </c>
      <c r="W58" s="169" t="n">
        <f aca="false">IF(W$13&gt;IF($C$11="24 місяці",24,IF($C$11="36 місяців",36,60)),0,W49*22%)</f>
        <v>11000</v>
      </c>
      <c r="X58" s="169" t="n">
        <f aca="false">IF(X$13&gt;IF($C$11="24 місяці",24,IF($C$11="36 місяців",36,60)),0,X49*22%)</f>
        <v>11000</v>
      </c>
      <c r="Y58" s="169" t="n">
        <f aca="false">IF(Y$13&gt;IF($C$11="24 місяці",24,IF($C$11="36 місяців",36,60)),0,Y49*22%)</f>
        <v>11000</v>
      </c>
      <c r="Z58" s="169" t="n">
        <f aca="false">IF(Z$13&gt;IF($C$11="24 місяці",24,IF($C$11="36 місяців",36,60)),0,Z49*22%)</f>
        <v>11000</v>
      </c>
      <c r="AA58" s="169" t="n">
        <f aca="false">IF(AA$13&gt;IF($C$11="24 місяці",24,IF($C$11="36 місяців",36,60)),0,AA49*22%)</f>
        <v>11000</v>
      </c>
      <c r="AB58" s="169" t="n">
        <f aca="false">IF(AB$13&gt;IF($C$11="24 місяці",24,IF($C$11="36 місяців",36,60)),0,AB49*22%)</f>
        <v>11000</v>
      </c>
      <c r="AC58" s="169" t="n">
        <f aca="false">IF(AC$13&gt;IF($C$11="24 місяці",24,IF($C$11="36 місяців",36,60)),0,AC49*22%)</f>
        <v>12100</v>
      </c>
      <c r="AD58" s="169" t="n">
        <f aca="false">IF(AD$13&gt;IF($C$11="24 місяці",24,IF($C$11="36 місяців",36,60)),0,AD49*22%)</f>
        <v>12100</v>
      </c>
      <c r="AE58" s="169" t="n">
        <f aca="false">IF(AE$13&gt;IF($C$11="24 місяці",24,IF($C$11="36 місяців",36,60)),0,AE49*22%)</f>
        <v>12100</v>
      </c>
      <c r="AF58" s="169" t="n">
        <f aca="false">IF(AF$13&gt;IF($C$11="24 місяці",24,IF($C$11="36 місяців",36,60)),0,AF49*22%)</f>
        <v>12100</v>
      </c>
      <c r="AG58" s="169" t="n">
        <f aca="false">IF(AG$13&gt;IF($C$11="24 місяці",24,IF($C$11="36 місяців",36,60)),0,AG49*22%)</f>
        <v>12100</v>
      </c>
      <c r="AH58" s="169" t="n">
        <f aca="false">IF(AH$13&gt;IF($C$11="24 місяці",24,IF($C$11="36 місяців",36,60)),0,AH49*22%)</f>
        <v>12100</v>
      </c>
      <c r="AI58" s="169" t="n">
        <f aca="false">IF(AI$13&gt;IF($C$11="24 місяці",24,IF($C$11="36 місяців",36,60)),0,AI49*22%)</f>
        <v>12100</v>
      </c>
      <c r="AJ58" s="169" t="n">
        <f aca="false">IF(AJ$13&gt;IF($C$11="24 місяці",24,IF($C$11="36 місяців",36,60)),0,AJ49*22%)</f>
        <v>12100</v>
      </c>
      <c r="AK58" s="169" t="n">
        <f aca="false">IF(AK$13&gt;IF($C$11="24 місяці",24,IF($C$11="36 місяців",36,60)),0,AK49*22%)</f>
        <v>12100</v>
      </c>
      <c r="AL58" s="169" t="n">
        <f aca="false">IF(AL$13&gt;IF($C$11="24 місяці",24,IF($C$11="36 місяців",36,60)),0,AL49*22%)</f>
        <v>12100</v>
      </c>
      <c r="AM58" s="169" t="n">
        <f aca="false">IF(AM$13&gt;IF($C$11="24 місяці",24,IF($C$11="36 місяців",36,60)),0,AM49*22%)</f>
        <v>12100</v>
      </c>
      <c r="AN58" s="169" t="n">
        <f aca="false">IF(AN$13&gt;IF($C$11="24 місяці",24,IF($C$11="36 місяців",36,60)),0,AN49*22%)</f>
        <v>12100</v>
      </c>
      <c r="AO58" s="169" t="n">
        <f aca="false">IF(AO$13&gt;IF($C$11="24 місяці",24,IF($C$11="36 місяців",36,60)),0,AO49*22%)</f>
        <v>0</v>
      </c>
      <c r="AP58" s="169" t="n">
        <f aca="false">IF(AP$13&gt;IF($C$11="24 місяці",24,IF($C$11="36 місяців",36,60)),0,AP49*22%)</f>
        <v>0</v>
      </c>
      <c r="AQ58" s="169" t="n">
        <f aca="false">IF(AQ$13&gt;IF($C$11="24 місяці",24,IF($C$11="36 місяців",36,60)),0,AQ49*22%)</f>
        <v>0</v>
      </c>
      <c r="AR58" s="169" t="n">
        <f aca="false">IF(AR$13&gt;IF($C$11="24 місяці",24,IF($C$11="36 місяців",36,60)),0,AR49*22%)</f>
        <v>0</v>
      </c>
      <c r="AS58" s="169" t="n">
        <f aca="false">IF(AS$13&gt;IF($C$11="24 місяці",24,IF($C$11="36 місяців",36,60)),0,AS49*22%)</f>
        <v>0</v>
      </c>
      <c r="AT58" s="169" t="n">
        <f aca="false">IF(AT$13&gt;IF($C$11="24 місяці",24,IF($C$11="36 місяців",36,60)),0,AT49*22%)</f>
        <v>0</v>
      </c>
      <c r="AU58" s="169" t="n">
        <f aca="false">IF(AU$13&gt;IF($C$11="24 місяці",24,IF($C$11="36 місяців",36,60)),0,AU49*22%)</f>
        <v>0</v>
      </c>
      <c r="AV58" s="169" t="n">
        <f aca="false">IF(AV$13&gt;IF($C$11="24 місяці",24,IF($C$11="36 місяців",36,60)),0,AV49*22%)</f>
        <v>0</v>
      </c>
      <c r="AW58" s="169" t="n">
        <f aca="false">IF(AW$13&gt;IF($C$11="24 місяці",24,IF($C$11="36 місяців",36,60)),0,AW49*22%)</f>
        <v>0</v>
      </c>
      <c r="AX58" s="169" t="n">
        <f aca="false">IF(AX$13&gt;IF($C$11="24 місяці",24,IF($C$11="36 місяців",36,60)),0,AX49*22%)</f>
        <v>0</v>
      </c>
      <c r="AY58" s="169" t="n">
        <f aca="false">IF(AY$13&gt;IF($C$11="24 місяці",24,IF($C$11="36 місяців",36,60)),0,AY49*22%)</f>
        <v>0</v>
      </c>
      <c r="AZ58" s="169" t="n">
        <f aca="false">IF(AZ$13&gt;IF($C$11="24 місяці",24,IF($C$11="36 місяців",36,60)),0,AZ49*22%)</f>
        <v>0</v>
      </c>
      <c r="BA58" s="169" t="n">
        <f aca="false">IF(BA$13&gt;IF($C$11="24 місяці",24,IF($C$11="36 місяців",36,60)),0,BA49*22%)</f>
        <v>0</v>
      </c>
      <c r="BB58" s="169" t="n">
        <f aca="false">IF(BB$13&gt;IF($C$11="24 місяці",24,IF($C$11="36 місяців",36,60)),0,BB49*22%)</f>
        <v>0</v>
      </c>
      <c r="BC58" s="169" t="n">
        <f aca="false">IF(BC$13&gt;IF($C$11="24 місяці",24,IF($C$11="36 місяців",36,60)),0,BC49*22%)</f>
        <v>0</v>
      </c>
      <c r="BD58" s="169" t="n">
        <f aca="false">IF(BD$13&gt;IF($C$11="24 місяці",24,IF($C$11="36 місяців",36,60)),0,BD49*22%)</f>
        <v>0</v>
      </c>
      <c r="BE58" s="169" t="n">
        <f aca="false">IF(BE$13&gt;IF($C$11="24 місяці",24,IF($C$11="36 місяців",36,60)),0,BE49*22%)</f>
        <v>0</v>
      </c>
      <c r="BF58" s="169" t="n">
        <f aca="false">IF(BF$13&gt;IF($C$11="24 місяці",24,IF($C$11="36 місяців",36,60)),0,BF49*22%)</f>
        <v>0</v>
      </c>
      <c r="BG58" s="169" t="n">
        <f aca="false">IF(BG$13&gt;IF($C$11="24 місяці",24,IF($C$11="36 місяців",36,60)),0,BG49*22%)</f>
        <v>0</v>
      </c>
      <c r="BH58" s="169" t="n">
        <f aca="false">IF(BH$13&gt;IF($C$11="24 місяці",24,IF($C$11="36 місяців",36,60)),0,BH49*22%)</f>
        <v>0</v>
      </c>
      <c r="BI58" s="169" t="n">
        <f aca="false">IF(BI$13&gt;IF($C$11="24 місяці",24,IF($C$11="36 місяців",36,60)),0,BI49*22%)</f>
        <v>0</v>
      </c>
      <c r="BJ58" s="169" t="n">
        <f aca="false">IF(BJ$13&gt;IF($C$11="24 місяці",24,IF($C$11="36 місяців",36,60)),0,BJ49*22%)</f>
        <v>0</v>
      </c>
      <c r="BK58" s="169" t="n">
        <f aca="false">IF(BK$13&gt;IF($C$11="24 місяці",24,IF($C$11="36 місяців",36,60)),0,BK49*22%)</f>
        <v>0</v>
      </c>
      <c r="BL58" s="169" t="n">
        <f aca="false">IF(BL$13&gt;IF($C$11="24 місяці",24,IF($C$11="36 місяців",36,60)),0,BL49*22%)</f>
        <v>0</v>
      </c>
      <c r="BM58" s="131" t="n">
        <f aca="false">IF($C$11="24 місяці",SUM(E58:AB58),IF($C$11="36 місяців",SUM(E58:AN58),SUM(E58:BL58)))</f>
        <v>396000</v>
      </c>
    </row>
    <row r="59" s="96" customFormat="true" ht="30.75" hidden="false" customHeight="true" outlineLevel="0" collapsed="false">
      <c r="A59" s="162"/>
      <c r="B59" s="170" t="s">
        <v>253</v>
      </c>
      <c r="C59" s="170" t="s">
        <v>254</v>
      </c>
      <c r="D59" s="170"/>
      <c r="E59" s="170"/>
      <c r="F59" s="170"/>
      <c r="G59" s="170"/>
      <c r="H59" s="170"/>
      <c r="I59" s="170"/>
      <c r="J59" s="170"/>
      <c r="K59" s="170"/>
      <c r="L59" s="173"/>
      <c r="M59" s="173"/>
      <c r="N59" s="173"/>
      <c r="O59" s="173"/>
      <c r="P59" s="173"/>
      <c r="Q59" s="173"/>
      <c r="R59" s="173"/>
      <c r="S59" s="173"/>
      <c r="T59" s="173"/>
      <c r="U59" s="173"/>
      <c r="V59" s="173"/>
      <c r="W59" s="173"/>
      <c r="X59" s="173"/>
      <c r="Y59" s="173"/>
      <c r="Z59" s="173"/>
      <c r="AA59" s="173"/>
      <c r="AB59" s="173"/>
      <c r="AC59" s="173"/>
      <c r="AD59" s="173"/>
      <c r="AE59" s="173"/>
      <c r="AF59" s="173"/>
      <c r="AG59" s="173"/>
      <c r="AH59" s="173"/>
      <c r="AI59" s="173"/>
      <c r="AJ59" s="173"/>
      <c r="AK59" s="173"/>
      <c r="AL59" s="173"/>
      <c r="AM59" s="173"/>
      <c r="AN59" s="173"/>
      <c r="AO59" s="173"/>
      <c r="AP59" s="173"/>
      <c r="AQ59" s="173"/>
      <c r="AR59" s="173"/>
      <c r="AS59" s="173"/>
      <c r="AT59" s="173"/>
      <c r="AU59" s="173"/>
      <c r="AV59" s="173"/>
      <c r="AW59" s="173"/>
      <c r="AX59" s="173"/>
      <c r="AY59" s="173"/>
      <c r="AZ59" s="173"/>
      <c r="BA59" s="173"/>
      <c r="BB59" s="173"/>
      <c r="BC59" s="173"/>
      <c r="BD59" s="173"/>
      <c r="BE59" s="173"/>
      <c r="BF59" s="173"/>
      <c r="BG59" s="173"/>
      <c r="BH59" s="173"/>
      <c r="BI59" s="173"/>
      <c r="BJ59" s="173"/>
      <c r="BK59" s="173"/>
      <c r="BL59" s="173"/>
      <c r="BM59" s="173"/>
    </row>
    <row r="60" s="96" customFormat="true" ht="78" hidden="false" customHeight="true" outlineLevel="0" collapsed="false">
      <c r="A60" s="162"/>
      <c r="B60" s="174" t="s">
        <v>255</v>
      </c>
      <c r="C60" s="78" t="s">
        <v>256</v>
      </c>
      <c r="D60" s="143"/>
      <c r="E60" s="169" t="n">
        <f aca="false">SUM(E16:E19)*5%</f>
        <v>3100</v>
      </c>
      <c r="F60" s="169" t="n">
        <f aca="false">SUM(F16:F19)*5%</f>
        <v>3100</v>
      </c>
      <c r="G60" s="169" t="n">
        <f aca="false">SUM(G16:G19)*5%</f>
        <v>3850</v>
      </c>
      <c r="H60" s="169" t="n">
        <f aca="false">SUM(H16:H19)*5%</f>
        <v>3850</v>
      </c>
      <c r="I60" s="169" t="n">
        <f aca="false">SUM(I16:I19)*5%</f>
        <v>3850</v>
      </c>
      <c r="J60" s="169" t="n">
        <f aca="false">SUM(J16:J19)*5%</f>
        <v>6850</v>
      </c>
      <c r="K60" s="169" t="n">
        <f aca="false">SUM(K16:K19)*5%</f>
        <v>7100</v>
      </c>
      <c r="L60" s="169" t="n">
        <f aca="false">SUM(L16:L19)*5%</f>
        <v>7100</v>
      </c>
      <c r="M60" s="169" t="n">
        <f aca="false">SUM(M16:M19)*5%</f>
        <v>7850</v>
      </c>
      <c r="N60" s="169" t="n">
        <f aca="false">SUM(N16:N19)*5%</f>
        <v>7850</v>
      </c>
      <c r="O60" s="169" t="n">
        <f aca="false">SUM(O16:O19)*5%</f>
        <v>7850</v>
      </c>
      <c r="P60" s="169" t="n">
        <f aca="false">SUM(P16:P19)*5%</f>
        <v>7850</v>
      </c>
      <c r="Q60" s="169" t="n">
        <f aca="false">SUM(Q16:Q19)*5%</f>
        <v>9350</v>
      </c>
      <c r="R60" s="169" t="n">
        <f aca="false">SUM(R16:R19)*5%</f>
        <v>9350</v>
      </c>
      <c r="S60" s="169" t="n">
        <f aca="false">SUM(S16:S19)*5%</f>
        <v>9350</v>
      </c>
      <c r="T60" s="169" t="n">
        <f aca="false">SUM(T16:T19)*5%</f>
        <v>9350</v>
      </c>
      <c r="U60" s="169" t="n">
        <f aca="false">SUM(U16:U19)*5%</f>
        <v>9350</v>
      </c>
      <c r="V60" s="169" t="n">
        <f aca="false">SUM(V16:V19)*5%</f>
        <v>9350</v>
      </c>
      <c r="W60" s="169" t="n">
        <f aca="false">SUM(W16:W19)*5%</f>
        <v>10100</v>
      </c>
      <c r="X60" s="169" t="n">
        <f aca="false">SUM(X16:X19)*5%</f>
        <v>10100</v>
      </c>
      <c r="Y60" s="169" t="n">
        <f aca="false">SUM(Y16:Y19)*5%</f>
        <v>10100</v>
      </c>
      <c r="Z60" s="169" t="n">
        <f aca="false">SUM(Z16:Z19)*5%</f>
        <v>10100</v>
      </c>
      <c r="AA60" s="169" t="n">
        <f aca="false">SUM(AA16:AA19)*5%</f>
        <v>10100</v>
      </c>
      <c r="AB60" s="169" t="n">
        <f aca="false">SUM(AB16:AB19)*5%</f>
        <v>10100</v>
      </c>
      <c r="AC60" s="169" t="n">
        <f aca="false">SUM(AC16:AC19)*5%</f>
        <v>11700</v>
      </c>
      <c r="AD60" s="169" t="n">
        <f aca="false">SUM(AD16:AD19)*5%</f>
        <v>11700</v>
      </c>
      <c r="AE60" s="169" t="n">
        <f aca="false">SUM(AE16:AE19)*5%</f>
        <v>11700</v>
      </c>
      <c r="AF60" s="169" t="n">
        <f aca="false">SUM(AF16:AF19)*5%</f>
        <v>11700</v>
      </c>
      <c r="AG60" s="169" t="n">
        <f aca="false">SUM(AG16:AG19)*5%</f>
        <v>11700</v>
      </c>
      <c r="AH60" s="169" t="n">
        <f aca="false">SUM(AH16:AH19)*5%</f>
        <v>11700</v>
      </c>
      <c r="AI60" s="169" t="n">
        <f aca="false">SUM(AI16:AI19)*5%</f>
        <v>11700</v>
      </c>
      <c r="AJ60" s="169" t="n">
        <f aca="false">SUM(AJ16:AJ19)*5%</f>
        <v>11700</v>
      </c>
      <c r="AK60" s="169" t="n">
        <f aca="false">SUM(AK16:AK19)*5%</f>
        <v>11700</v>
      </c>
      <c r="AL60" s="169" t="n">
        <f aca="false">SUM(AL16:AL19)*5%</f>
        <v>11700</v>
      </c>
      <c r="AM60" s="169" t="n">
        <f aca="false">SUM(AM16:AM19)*5%</f>
        <v>11700</v>
      </c>
      <c r="AN60" s="169" t="n">
        <f aca="false">SUM(AN16:AN19)*5%</f>
        <v>11700</v>
      </c>
      <c r="AO60" s="169" t="n">
        <v>0</v>
      </c>
      <c r="AP60" s="169" t="n">
        <v>0</v>
      </c>
      <c r="AQ60" s="169" t="n">
        <v>0</v>
      </c>
      <c r="AR60" s="169" t="n">
        <v>0</v>
      </c>
      <c r="AS60" s="169" t="n">
        <v>0</v>
      </c>
      <c r="AT60" s="169" t="n">
        <v>0</v>
      </c>
      <c r="AU60" s="169" t="n">
        <v>0</v>
      </c>
      <c r="AV60" s="169" t="n">
        <v>0</v>
      </c>
      <c r="AW60" s="169" t="n">
        <v>0</v>
      </c>
      <c r="AX60" s="169" t="n">
        <v>0</v>
      </c>
      <c r="AY60" s="169" t="n">
        <v>0</v>
      </c>
      <c r="AZ60" s="169" t="n">
        <v>0</v>
      </c>
      <c r="BA60" s="169" t="n">
        <v>0</v>
      </c>
      <c r="BB60" s="169" t="n">
        <v>0</v>
      </c>
      <c r="BC60" s="169" t="n">
        <v>0</v>
      </c>
      <c r="BD60" s="169" t="n">
        <v>0</v>
      </c>
      <c r="BE60" s="169" t="n">
        <v>0</v>
      </c>
      <c r="BF60" s="169" t="n">
        <v>0</v>
      </c>
      <c r="BG60" s="169" t="n">
        <v>0</v>
      </c>
      <c r="BH60" s="169" t="n">
        <v>0</v>
      </c>
      <c r="BI60" s="169" t="n">
        <v>0</v>
      </c>
      <c r="BJ60" s="169" t="n">
        <v>0</v>
      </c>
      <c r="BK60" s="169" t="n">
        <v>0</v>
      </c>
      <c r="BL60" s="169" t="n">
        <v>0</v>
      </c>
      <c r="BM60" s="131" t="n">
        <f aca="false">IF($C$11="24 місяці",SUM(E60:AB60),IF($C$11="36 місяців",SUM(E60:AN60),SUM(E60:BL60)))</f>
        <v>327300</v>
      </c>
    </row>
    <row r="61" s="96" customFormat="true" ht="34.5" hidden="false" customHeight="true" outlineLevel="0" collapsed="false">
      <c r="A61" s="162"/>
      <c r="B61" s="174" t="s">
        <v>257</v>
      </c>
      <c r="C61" s="78" t="s">
        <v>258</v>
      </c>
      <c r="D61" s="143"/>
      <c r="E61" s="169" t="n">
        <f aca="false">SUM(E16:E19)*1%</f>
        <v>620</v>
      </c>
      <c r="F61" s="169" t="n">
        <f aca="false">SUM(F16:F19)*1%</f>
        <v>620</v>
      </c>
      <c r="G61" s="169" t="n">
        <f aca="false">SUM(G16:G19)*1%</f>
        <v>770</v>
      </c>
      <c r="H61" s="169" t="n">
        <f aca="false">SUM(H16:H19)*1%</f>
        <v>770</v>
      </c>
      <c r="I61" s="169" t="n">
        <f aca="false">SUM(I16:I19)*1%</f>
        <v>770</v>
      </c>
      <c r="J61" s="169" t="n">
        <f aca="false">SUM(J16:J19)*1%</f>
        <v>1370</v>
      </c>
      <c r="K61" s="169" t="n">
        <f aca="false">SUM(K16:K19)*1%</f>
        <v>1420</v>
      </c>
      <c r="L61" s="169" t="n">
        <f aca="false">SUM(L16:L19)*1%</f>
        <v>1420</v>
      </c>
      <c r="M61" s="169" t="n">
        <f aca="false">SUM(M16:M19)*1%</f>
        <v>1570</v>
      </c>
      <c r="N61" s="169" t="n">
        <f aca="false">SUM(N16:N19)*1%</f>
        <v>1570</v>
      </c>
      <c r="O61" s="169" t="n">
        <f aca="false">SUM(O16:O19)*1%</f>
        <v>1570</v>
      </c>
      <c r="P61" s="169" t="n">
        <f aca="false">SUM(P16:P19)*1%</f>
        <v>1570</v>
      </c>
      <c r="Q61" s="169" t="n">
        <f aca="false">SUM(Q16:Q19)*1%</f>
        <v>1870</v>
      </c>
      <c r="R61" s="169" t="n">
        <f aca="false">SUM(R16:R19)*1%</f>
        <v>1870</v>
      </c>
      <c r="S61" s="169" t="n">
        <f aca="false">SUM(S16:S19)*1%</f>
        <v>1870</v>
      </c>
      <c r="T61" s="169" t="n">
        <f aca="false">SUM(T16:T19)*1%</f>
        <v>1870</v>
      </c>
      <c r="U61" s="169" t="n">
        <f aca="false">SUM(U16:U19)*1%</f>
        <v>1870</v>
      </c>
      <c r="V61" s="169" t="n">
        <f aca="false">SUM(V16:V19)*1%</f>
        <v>1870</v>
      </c>
      <c r="W61" s="169" t="n">
        <f aca="false">SUM(W16:W19)*1%</f>
        <v>2020</v>
      </c>
      <c r="X61" s="169" t="n">
        <f aca="false">SUM(X16:X19)*1%</f>
        <v>2020</v>
      </c>
      <c r="Y61" s="169" t="n">
        <f aca="false">SUM(Y16:Y19)*1%</f>
        <v>2020</v>
      </c>
      <c r="Z61" s="169" t="n">
        <f aca="false">SUM(Z16:Z19)*1%</f>
        <v>2020</v>
      </c>
      <c r="AA61" s="169" t="n">
        <f aca="false">SUM(AA16:AA19)*1%</f>
        <v>2020</v>
      </c>
      <c r="AB61" s="169" t="n">
        <f aca="false">SUM(AB16:AB19)*1%</f>
        <v>2020</v>
      </c>
      <c r="AC61" s="169" t="n">
        <f aca="false">SUM(AC16:AC19)*1%</f>
        <v>2340</v>
      </c>
      <c r="AD61" s="169" t="n">
        <f aca="false">SUM(AD16:AD19)*1%</f>
        <v>2340</v>
      </c>
      <c r="AE61" s="169" t="n">
        <f aca="false">SUM(AE16:AE19)*1%</f>
        <v>2340</v>
      </c>
      <c r="AF61" s="169" t="n">
        <f aca="false">SUM(AF16:AF19)*1%</f>
        <v>2340</v>
      </c>
      <c r="AG61" s="169" t="n">
        <f aca="false">SUM(AG16:AG19)*1%</f>
        <v>2340</v>
      </c>
      <c r="AH61" s="169" t="n">
        <f aca="false">SUM(AH16:AH19)*1%</f>
        <v>2340</v>
      </c>
      <c r="AI61" s="169" t="n">
        <f aca="false">SUM(AI16:AI19)*1%</f>
        <v>2340</v>
      </c>
      <c r="AJ61" s="169" t="n">
        <f aca="false">SUM(AJ16:AJ19)*1%</f>
        <v>2340</v>
      </c>
      <c r="AK61" s="169" t="n">
        <f aca="false">SUM(AK16:AK19)*1%</f>
        <v>2340</v>
      </c>
      <c r="AL61" s="169" t="n">
        <f aca="false">SUM(AL16:AL19)*1%</f>
        <v>2340</v>
      </c>
      <c r="AM61" s="169" t="n">
        <f aca="false">SUM(AM16:AM19)*1%</f>
        <v>2340</v>
      </c>
      <c r="AN61" s="169" t="n">
        <f aca="false">SUM(AN16:AN19)*1%</f>
        <v>2340</v>
      </c>
      <c r="AO61" s="169" t="n">
        <v>0</v>
      </c>
      <c r="AP61" s="169" t="n">
        <v>0</v>
      </c>
      <c r="AQ61" s="169" t="n">
        <v>0</v>
      </c>
      <c r="AR61" s="169" t="n">
        <v>0</v>
      </c>
      <c r="AS61" s="169" t="n">
        <v>0</v>
      </c>
      <c r="AT61" s="169" t="n">
        <v>0</v>
      </c>
      <c r="AU61" s="169" t="n">
        <v>0</v>
      </c>
      <c r="AV61" s="169" t="n">
        <v>0</v>
      </c>
      <c r="AW61" s="169" t="n">
        <v>0</v>
      </c>
      <c r="AX61" s="169" t="n">
        <v>0</v>
      </c>
      <c r="AY61" s="169" t="n">
        <v>0</v>
      </c>
      <c r="AZ61" s="169" t="n">
        <v>0</v>
      </c>
      <c r="BA61" s="169" t="n">
        <v>0</v>
      </c>
      <c r="BB61" s="169" t="n">
        <v>0</v>
      </c>
      <c r="BC61" s="169" t="n">
        <v>0</v>
      </c>
      <c r="BD61" s="169" t="n">
        <v>0</v>
      </c>
      <c r="BE61" s="169" t="n">
        <v>0</v>
      </c>
      <c r="BF61" s="169" t="n">
        <v>0</v>
      </c>
      <c r="BG61" s="169" t="n">
        <v>0</v>
      </c>
      <c r="BH61" s="169" t="n">
        <v>0</v>
      </c>
      <c r="BI61" s="169" t="n">
        <v>0</v>
      </c>
      <c r="BJ61" s="169" t="n">
        <v>0</v>
      </c>
      <c r="BK61" s="169" t="n">
        <v>0</v>
      </c>
      <c r="BL61" s="169" t="n">
        <v>0</v>
      </c>
      <c r="BM61" s="131" t="n">
        <f aca="false">IF($C$11="24 місяці",SUM(E61:AB61),IF($C$11="36 місяців",SUM(E61:AN61),SUM(E61:BL61)))</f>
        <v>65460</v>
      </c>
    </row>
    <row r="62" s="96" customFormat="true" ht="30.75" hidden="false" customHeight="true" outlineLevel="0" collapsed="false">
      <c r="A62" s="162"/>
      <c r="B62" s="174" t="s">
        <v>259</v>
      </c>
      <c r="C62" s="147"/>
      <c r="D62" s="143"/>
      <c r="E62" s="169" t="n">
        <v>0</v>
      </c>
      <c r="F62" s="169" t="n">
        <v>0</v>
      </c>
      <c r="G62" s="169" t="n">
        <v>0</v>
      </c>
      <c r="H62" s="169" t="n">
        <v>0</v>
      </c>
      <c r="I62" s="169" t="n">
        <v>0</v>
      </c>
      <c r="J62" s="169" t="n">
        <v>0</v>
      </c>
      <c r="K62" s="169" t="n">
        <v>0</v>
      </c>
      <c r="L62" s="169" t="n">
        <v>0</v>
      </c>
      <c r="M62" s="169" t="n">
        <v>0</v>
      </c>
      <c r="N62" s="169" t="n">
        <v>0</v>
      </c>
      <c r="O62" s="169" t="n">
        <v>0</v>
      </c>
      <c r="P62" s="169" t="n">
        <v>0</v>
      </c>
      <c r="Q62" s="169" t="n">
        <v>0</v>
      </c>
      <c r="R62" s="169" t="n">
        <v>0</v>
      </c>
      <c r="S62" s="169" t="n">
        <v>0</v>
      </c>
      <c r="T62" s="169" t="n">
        <v>0</v>
      </c>
      <c r="U62" s="169" t="n">
        <v>0</v>
      </c>
      <c r="V62" s="169" t="n">
        <v>0</v>
      </c>
      <c r="W62" s="169" t="n">
        <v>0</v>
      </c>
      <c r="X62" s="169" t="n">
        <v>0</v>
      </c>
      <c r="Y62" s="169" t="n">
        <v>0</v>
      </c>
      <c r="Z62" s="169" t="n">
        <v>0</v>
      </c>
      <c r="AA62" s="169" t="n">
        <v>0</v>
      </c>
      <c r="AB62" s="169" t="n">
        <v>0</v>
      </c>
      <c r="AC62" s="169" t="n">
        <v>0</v>
      </c>
      <c r="AD62" s="169" t="n">
        <v>0</v>
      </c>
      <c r="AE62" s="169" t="n">
        <v>0</v>
      </c>
      <c r="AF62" s="169" t="n">
        <v>0</v>
      </c>
      <c r="AG62" s="169" t="n">
        <v>0</v>
      </c>
      <c r="AH62" s="169" t="n">
        <v>0</v>
      </c>
      <c r="AI62" s="169" t="n">
        <v>0</v>
      </c>
      <c r="AJ62" s="169" t="n">
        <v>0</v>
      </c>
      <c r="AK62" s="169" t="n">
        <v>0</v>
      </c>
      <c r="AL62" s="169" t="n">
        <v>0</v>
      </c>
      <c r="AM62" s="169" t="n">
        <v>0</v>
      </c>
      <c r="AN62" s="169" t="n">
        <v>0</v>
      </c>
      <c r="AO62" s="169" t="n">
        <v>0</v>
      </c>
      <c r="AP62" s="169" t="n">
        <v>0</v>
      </c>
      <c r="AQ62" s="169" t="n">
        <v>0</v>
      </c>
      <c r="AR62" s="169" t="n">
        <v>0</v>
      </c>
      <c r="AS62" s="169" t="n">
        <v>0</v>
      </c>
      <c r="AT62" s="169" t="n">
        <v>0</v>
      </c>
      <c r="AU62" s="169" t="n">
        <v>0</v>
      </c>
      <c r="AV62" s="169" t="n">
        <v>0</v>
      </c>
      <c r="AW62" s="169" t="n">
        <v>0</v>
      </c>
      <c r="AX62" s="169" t="n">
        <v>0</v>
      </c>
      <c r="AY62" s="169" t="n">
        <v>0</v>
      </c>
      <c r="AZ62" s="169" t="n">
        <v>0</v>
      </c>
      <c r="BA62" s="169" t="n">
        <v>0</v>
      </c>
      <c r="BB62" s="169" t="n">
        <v>0</v>
      </c>
      <c r="BC62" s="169" t="n">
        <v>0</v>
      </c>
      <c r="BD62" s="169" t="n">
        <v>0</v>
      </c>
      <c r="BE62" s="169" t="n">
        <v>0</v>
      </c>
      <c r="BF62" s="169" t="n">
        <v>0</v>
      </c>
      <c r="BG62" s="169" t="n">
        <v>0</v>
      </c>
      <c r="BH62" s="169" t="n">
        <v>0</v>
      </c>
      <c r="BI62" s="169" t="n">
        <v>0</v>
      </c>
      <c r="BJ62" s="169" t="n">
        <v>0</v>
      </c>
      <c r="BK62" s="169" t="n">
        <v>0</v>
      </c>
      <c r="BL62" s="169" t="n">
        <v>0</v>
      </c>
      <c r="BM62" s="131" t="n">
        <f aca="false">IF($C$11="24 місяці",SUM(E62:AB62),IF($C$11="36 місяців",SUM(E62:AN62),SUM(E62:BL62)))</f>
        <v>0</v>
      </c>
    </row>
    <row r="63" s="96" customFormat="true" ht="15" hidden="false" customHeight="false" outlineLevel="0" collapsed="false">
      <c r="A63" s="162"/>
      <c r="B63" s="174" t="s">
        <v>260</v>
      </c>
      <c r="C63" s="147"/>
      <c r="D63" s="143"/>
      <c r="E63" s="169" t="n">
        <v>0</v>
      </c>
      <c r="F63" s="169" t="n">
        <v>0</v>
      </c>
      <c r="G63" s="169" t="n">
        <v>0</v>
      </c>
      <c r="H63" s="169" t="n">
        <v>0</v>
      </c>
      <c r="I63" s="169" t="n">
        <v>0</v>
      </c>
      <c r="J63" s="169" t="n">
        <v>0</v>
      </c>
      <c r="K63" s="169" t="n">
        <v>0</v>
      </c>
      <c r="L63" s="169" t="n">
        <v>0</v>
      </c>
      <c r="M63" s="169" t="n">
        <v>0</v>
      </c>
      <c r="N63" s="169" t="n">
        <v>0</v>
      </c>
      <c r="O63" s="169" t="n">
        <v>0</v>
      </c>
      <c r="P63" s="169" t="n">
        <v>0</v>
      </c>
      <c r="Q63" s="169" t="n">
        <v>0</v>
      </c>
      <c r="R63" s="169" t="n">
        <v>0</v>
      </c>
      <c r="S63" s="169" t="n">
        <v>0</v>
      </c>
      <c r="T63" s="169" t="n">
        <v>0</v>
      </c>
      <c r="U63" s="169" t="n">
        <v>0</v>
      </c>
      <c r="V63" s="169" t="n">
        <v>0</v>
      </c>
      <c r="W63" s="169" t="n">
        <v>0</v>
      </c>
      <c r="X63" s="169" t="n">
        <v>0</v>
      </c>
      <c r="Y63" s="169" t="n">
        <v>0</v>
      </c>
      <c r="Z63" s="169" t="n">
        <v>0</v>
      </c>
      <c r="AA63" s="169" t="n">
        <v>0</v>
      </c>
      <c r="AB63" s="169" t="n">
        <v>0</v>
      </c>
      <c r="AC63" s="169" t="n">
        <v>0</v>
      </c>
      <c r="AD63" s="169" t="n">
        <v>0</v>
      </c>
      <c r="AE63" s="169" t="n">
        <v>0</v>
      </c>
      <c r="AF63" s="169" t="n">
        <v>0</v>
      </c>
      <c r="AG63" s="169" t="n">
        <v>0</v>
      </c>
      <c r="AH63" s="169" t="n">
        <v>0</v>
      </c>
      <c r="AI63" s="169" t="n">
        <v>0</v>
      </c>
      <c r="AJ63" s="169" t="n">
        <v>0</v>
      </c>
      <c r="AK63" s="169" t="n">
        <v>0</v>
      </c>
      <c r="AL63" s="169" t="n">
        <v>0</v>
      </c>
      <c r="AM63" s="169" t="n">
        <v>0</v>
      </c>
      <c r="AN63" s="169" t="n">
        <v>0</v>
      </c>
      <c r="AO63" s="169" t="n">
        <v>0</v>
      </c>
      <c r="AP63" s="169" t="n">
        <v>0</v>
      </c>
      <c r="AQ63" s="169" t="n">
        <v>0</v>
      </c>
      <c r="AR63" s="169" t="n">
        <v>0</v>
      </c>
      <c r="AS63" s="169" t="n">
        <v>0</v>
      </c>
      <c r="AT63" s="169" t="n">
        <v>0</v>
      </c>
      <c r="AU63" s="169" t="n">
        <v>0</v>
      </c>
      <c r="AV63" s="169" t="n">
        <v>0</v>
      </c>
      <c r="AW63" s="169" t="n">
        <v>0</v>
      </c>
      <c r="AX63" s="169" t="n">
        <v>0</v>
      </c>
      <c r="AY63" s="169" t="n">
        <v>0</v>
      </c>
      <c r="AZ63" s="169" t="n">
        <v>0</v>
      </c>
      <c r="BA63" s="169" t="n">
        <v>0</v>
      </c>
      <c r="BB63" s="169" t="n">
        <v>0</v>
      </c>
      <c r="BC63" s="169" t="n">
        <v>0</v>
      </c>
      <c r="BD63" s="169" t="n">
        <v>0</v>
      </c>
      <c r="BE63" s="169" t="n">
        <v>0</v>
      </c>
      <c r="BF63" s="169" t="n">
        <v>0</v>
      </c>
      <c r="BG63" s="169" t="n">
        <v>0</v>
      </c>
      <c r="BH63" s="169" t="n">
        <v>0</v>
      </c>
      <c r="BI63" s="169" t="n">
        <v>0</v>
      </c>
      <c r="BJ63" s="169" t="n">
        <v>0</v>
      </c>
      <c r="BK63" s="169" t="n">
        <v>0</v>
      </c>
      <c r="BL63" s="169" t="n">
        <v>0</v>
      </c>
      <c r="BM63" s="131" t="n">
        <f aca="false">IF($C$11="24 місяці",SUM(E63:AB63),IF($C$11="36 місяців",SUM(E63:AN63),SUM(E63:BL63)))</f>
        <v>0</v>
      </c>
    </row>
    <row r="64" s="96" customFormat="true" ht="15" hidden="false" customHeight="false" outlineLevel="0" collapsed="false">
      <c r="A64" s="162"/>
      <c r="B64" s="174" t="s">
        <v>261</v>
      </c>
      <c r="C64" s="147"/>
      <c r="D64" s="143"/>
      <c r="E64" s="169" t="n">
        <v>0</v>
      </c>
      <c r="F64" s="169" t="n">
        <v>0</v>
      </c>
      <c r="G64" s="169" t="n">
        <v>0</v>
      </c>
      <c r="H64" s="169" t="n">
        <v>0</v>
      </c>
      <c r="I64" s="169" t="n">
        <v>0</v>
      </c>
      <c r="J64" s="169" t="n">
        <v>0</v>
      </c>
      <c r="K64" s="169" t="n">
        <v>0</v>
      </c>
      <c r="L64" s="169" t="n">
        <v>0</v>
      </c>
      <c r="M64" s="169" t="n">
        <v>0</v>
      </c>
      <c r="N64" s="169" t="n">
        <v>0</v>
      </c>
      <c r="O64" s="169" t="n">
        <v>0</v>
      </c>
      <c r="P64" s="169" t="n">
        <v>0</v>
      </c>
      <c r="Q64" s="169" t="n">
        <v>0</v>
      </c>
      <c r="R64" s="169" t="n">
        <v>0</v>
      </c>
      <c r="S64" s="169" t="n">
        <v>0</v>
      </c>
      <c r="T64" s="169" t="n">
        <v>0</v>
      </c>
      <c r="U64" s="169" t="n">
        <v>0</v>
      </c>
      <c r="V64" s="169" t="n">
        <v>0</v>
      </c>
      <c r="W64" s="169" t="n">
        <v>0</v>
      </c>
      <c r="X64" s="169" t="n">
        <v>0</v>
      </c>
      <c r="Y64" s="169" t="n">
        <v>0</v>
      </c>
      <c r="Z64" s="169" t="n">
        <v>0</v>
      </c>
      <c r="AA64" s="169" t="n">
        <v>0</v>
      </c>
      <c r="AB64" s="169" t="n">
        <v>0</v>
      </c>
      <c r="AC64" s="169" t="n">
        <v>0</v>
      </c>
      <c r="AD64" s="169" t="n">
        <v>0</v>
      </c>
      <c r="AE64" s="169" t="n">
        <v>0</v>
      </c>
      <c r="AF64" s="169" t="n">
        <v>0</v>
      </c>
      <c r="AG64" s="169" t="n">
        <v>0</v>
      </c>
      <c r="AH64" s="169" t="n">
        <v>0</v>
      </c>
      <c r="AI64" s="169" t="n">
        <v>0</v>
      </c>
      <c r="AJ64" s="169" t="n">
        <v>0</v>
      </c>
      <c r="AK64" s="169" t="n">
        <v>0</v>
      </c>
      <c r="AL64" s="169" t="n">
        <v>0</v>
      </c>
      <c r="AM64" s="169" t="n">
        <v>0</v>
      </c>
      <c r="AN64" s="169" t="n">
        <v>0</v>
      </c>
      <c r="AO64" s="169" t="n">
        <v>0</v>
      </c>
      <c r="AP64" s="169" t="n">
        <v>0</v>
      </c>
      <c r="AQ64" s="169" t="n">
        <v>0</v>
      </c>
      <c r="AR64" s="169" t="n">
        <v>0</v>
      </c>
      <c r="AS64" s="169" t="n">
        <v>0</v>
      </c>
      <c r="AT64" s="169" t="n">
        <v>0</v>
      </c>
      <c r="AU64" s="169" t="n">
        <v>0</v>
      </c>
      <c r="AV64" s="169" t="n">
        <v>0</v>
      </c>
      <c r="AW64" s="169" t="n">
        <v>0</v>
      </c>
      <c r="AX64" s="169" t="n">
        <v>0</v>
      </c>
      <c r="AY64" s="169" t="n">
        <v>0</v>
      </c>
      <c r="AZ64" s="169" t="n">
        <v>0</v>
      </c>
      <c r="BA64" s="169" t="n">
        <v>0</v>
      </c>
      <c r="BB64" s="169" t="n">
        <v>0</v>
      </c>
      <c r="BC64" s="169" t="n">
        <v>0</v>
      </c>
      <c r="BD64" s="169" t="n">
        <v>0</v>
      </c>
      <c r="BE64" s="169" t="n">
        <v>0</v>
      </c>
      <c r="BF64" s="169" t="n">
        <v>0</v>
      </c>
      <c r="BG64" s="169" t="n">
        <v>0</v>
      </c>
      <c r="BH64" s="169" t="n">
        <v>0</v>
      </c>
      <c r="BI64" s="169" t="n">
        <v>0</v>
      </c>
      <c r="BJ64" s="169" t="n">
        <v>0</v>
      </c>
      <c r="BK64" s="169" t="n">
        <v>0</v>
      </c>
      <c r="BL64" s="169" t="n">
        <v>0</v>
      </c>
      <c r="BM64" s="131" t="n">
        <f aca="false">IF($C$11="24 місяці",SUM(E64:AB64),IF($C$11="36 місяців",SUM(E64:AN64),SUM(E64:BL64)))</f>
        <v>0</v>
      </c>
    </row>
    <row r="65" s="96" customFormat="true" ht="78" hidden="false" customHeight="true" outlineLevel="0" collapsed="false">
      <c r="A65" s="162"/>
      <c r="B65" s="174" t="s">
        <v>262</v>
      </c>
      <c r="C65" s="78" t="s">
        <v>263</v>
      </c>
      <c r="D65" s="143"/>
      <c r="E65" s="169" t="n">
        <v>2100.12</v>
      </c>
      <c r="F65" s="169" t="n">
        <v>2100.12</v>
      </c>
      <c r="G65" s="169" t="n">
        <v>2100.12</v>
      </c>
      <c r="H65" s="169" t="n">
        <v>2100.12</v>
      </c>
      <c r="I65" s="169" t="n">
        <v>2100.12</v>
      </c>
      <c r="J65" s="169" t="n">
        <v>2100.12</v>
      </c>
      <c r="K65" s="169" t="n">
        <v>2100.12</v>
      </c>
      <c r="L65" s="169" t="n">
        <v>2100.12</v>
      </c>
      <c r="M65" s="169" t="n">
        <v>2100.12</v>
      </c>
      <c r="N65" s="169" t="n">
        <v>2100.12</v>
      </c>
      <c r="O65" s="169" t="n">
        <v>2100.12</v>
      </c>
      <c r="P65" s="169" t="n">
        <v>2100.12</v>
      </c>
      <c r="Q65" s="169" t="n">
        <v>2100.12</v>
      </c>
      <c r="R65" s="169" t="n">
        <v>2100.12</v>
      </c>
      <c r="S65" s="169" t="n">
        <v>2100.12</v>
      </c>
      <c r="T65" s="169" t="n">
        <v>2100.12</v>
      </c>
      <c r="U65" s="169" t="n">
        <v>2100.12</v>
      </c>
      <c r="V65" s="169" t="n">
        <v>2100.12</v>
      </c>
      <c r="W65" s="169" t="n">
        <v>2100.12</v>
      </c>
      <c r="X65" s="169" t="n">
        <v>2100.12</v>
      </c>
      <c r="Y65" s="169" t="n">
        <v>2100.12</v>
      </c>
      <c r="Z65" s="169" t="n">
        <v>2100.12</v>
      </c>
      <c r="AA65" s="169" t="n">
        <v>2100.12</v>
      </c>
      <c r="AB65" s="169" t="n">
        <v>2100.12</v>
      </c>
      <c r="AC65" s="169" t="n">
        <v>2100.12</v>
      </c>
      <c r="AD65" s="169" t="n">
        <v>2100.12</v>
      </c>
      <c r="AE65" s="169" t="n">
        <v>2100.12</v>
      </c>
      <c r="AF65" s="169" t="n">
        <v>2100.12</v>
      </c>
      <c r="AG65" s="169" t="n">
        <v>2100.12</v>
      </c>
      <c r="AH65" s="169" t="n">
        <v>2100.12</v>
      </c>
      <c r="AI65" s="169" t="n">
        <v>2100.12</v>
      </c>
      <c r="AJ65" s="169" t="n">
        <v>2100.12</v>
      </c>
      <c r="AK65" s="169" t="n">
        <v>2100.12</v>
      </c>
      <c r="AL65" s="169" t="n">
        <v>2100.12</v>
      </c>
      <c r="AM65" s="169" t="n">
        <v>2100.12</v>
      </c>
      <c r="AN65" s="169" t="n">
        <v>2100.12</v>
      </c>
      <c r="AO65" s="169" t="n">
        <v>0</v>
      </c>
      <c r="AP65" s="169" t="n">
        <v>0</v>
      </c>
      <c r="AQ65" s="169" t="n">
        <v>0</v>
      </c>
      <c r="AR65" s="169" t="n">
        <v>0</v>
      </c>
      <c r="AS65" s="169" t="n">
        <v>0</v>
      </c>
      <c r="AT65" s="169" t="n">
        <v>0</v>
      </c>
      <c r="AU65" s="169" t="n">
        <v>0</v>
      </c>
      <c r="AV65" s="169" t="n">
        <v>0</v>
      </c>
      <c r="AW65" s="169" t="n">
        <v>0</v>
      </c>
      <c r="AX65" s="169" t="n">
        <v>0</v>
      </c>
      <c r="AY65" s="169" t="n">
        <v>0</v>
      </c>
      <c r="AZ65" s="169" t="n">
        <v>0</v>
      </c>
      <c r="BA65" s="169" t="n">
        <v>0</v>
      </c>
      <c r="BB65" s="169" t="n">
        <v>0</v>
      </c>
      <c r="BC65" s="169" t="n">
        <v>0</v>
      </c>
      <c r="BD65" s="169" t="n">
        <v>0</v>
      </c>
      <c r="BE65" s="169" t="n">
        <v>0</v>
      </c>
      <c r="BF65" s="169" t="n">
        <v>0</v>
      </c>
      <c r="BG65" s="169" t="n">
        <v>0</v>
      </c>
      <c r="BH65" s="169" t="n">
        <v>0</v>
      </c>
      <c r="BI65" s="169" t="n">
        <v>0</v>
      </c>
      <c r="BJ65" s="169" t="n">
        <v>0</v>
      </c>
      <c r="BK65" s="169" t="n">
        <v>0</v>
      </c>
      <c r="BL65" s="169" t="n">
        <v>0</v>
      </c>
      <c r="BM65" s="131" t="n">
        <f aca="false">IF($C$11="24 місяці",SUM(E65:AB65),IF($C$11="36 місяців",SUM(E65:AN65),SUM(E65:BL65)))</f>
        <v>75604.32</v>
      </c>
    </row>
    <row r="66" s="96" customFormat="true" ht="30.75" hidden="false" customHeight="true" outlineLevel="0" collapsed="false">
      <c r="A66" s="162"/>
      <c r="B66" s="174" t="s">
        <v>264</v>
      </c>
      <c r="C66" s="147"/>
      <c r="D66" s="143"/>
      <c r="E66" s="51" t="n">
        <v>0</v>
      </c>
      <c r="F66" s="51" t="n">
        <v>0</v>
      </c>
      <c r="G66" s="51" t="n">
        <v>0</v>
      </c>
      <c r="H66" s="51" t="n">
        <v>0</v>
      </c>
      <c r="I66" s="51" t="n">
        <v>0</v>
      </c>
      <c r="J66" s="51" t="n">
        <v>0</v>
      </c>
      <c r="K66" s="51" t="n">
        <v>0</v>
      </c>
      <c r="L66" s="51" t="n">
        <v>0</v>
      </c>
      <c r="M66" s="51" t="n">
        <v>0</v>
      </c>
      <c r="N66" s="51" t="n">
        <v>0</v>
      </c>
      <c r="O66" s="51" t="n">
        <v>0</v>
      </c>
      <c r="P66" s="51" t="n">
        <v>0</v>
      </c>
      <c r="Q66" s="51" t="n">
        <v>0</v>
      </c>
      <c r="R66" s="51" t="n">
        <v>0</v>
      </c>
      <c r="S66" s="51" t="n">
        <v>0</v>
      </c>
      <c r="T66" s="51" t="n">
        <v>0</v>
      </c>
      <c r="U66" s="51" t="n">
        <v>0</v>
      </c>
      <c r="V66" s="51" t="n">
        <v>0</v>
      </c>
      <c r="W66" s="51" t="n">
        <v>0</v>
      </c>
      <c r="X66" s="51" t="n">
        <v>0</v>
      </c>
      <c r="Y66" s="51" t="n">
        <v>0</v>
      </c>
      <c r="Z66" s="51" t="n">
        <v>0</v>
      </c>
      <c r="AA66" s="51" t="n">
        <v>0</v>
      </c>
      <c r="AB66" s="51" t="n">
        <v>0</v>
      </c>
      <c r="AC66" s="51" t="n">
        <v>0</v>
      </c>
      <c r="AD66" s="51" t="n">
        <v>0</v>
      </c>
      <c r="AE66" s="51" t="n">
        <v>0</v>
      </c>
      <c r="AF66" s="51" t="n">
        <v>0</v>
      </c>
      <c r="AG66" s="51" t="n">
        <v>0</v>
      </c>
      <c r="AH66" s="51" t="n">
        <v>0</v>
      </c>
      <c r="AI66" s="51" t="n">
        <v>0</v>
      </c>
      <c r="AJ66" s="51" t="n">
        <v>0</v>
      </c>
      <c r="AK66" s="51" t="n">
        <v>0</v>
      </c>
      <c r="AL66" s="51" t="n">
        <v>0</v>
      </c>
      <c r="AM66" s="51" t="n">
        <v>0</v>
      </c>
      <c r="AN66" s="51" t="n">
        <v>0</v>
      </c>
      <c r="AO66" s="51" t="n">
        <v>0</v>
      </c>
      <c r="AP66" s="51" t="n">
        <v>0</v>
      </c>
      <c r="AQ66" s="51" t="n">
        <v>0</v>
      </c>
      <c r="AR66" s="51" t="n">
        <v>0</v>
      </c>
      <c r="AS66" s="51" t="n">
        <v>0</v>
      </c>
      <c r="AT66" s="51" t="n">
        <v>0</v>
      </c>
      <c r="AU66" s="51" t="n">
        <v>0</v>
      </c>
      <c r="AV66" s="51" t="n">
        <v>0</v>
      </c>
      <c r="AW66" s="51" t="n">
        <v>0</v>
      </c>
      <c r="AX66" s="51" t="n">
        <v>0</v>
      </c>
      <c r="AY66" s="51" t="n">
        <v>0</v>
      </c>
      <c r="AZ66" s="51" t="n">
        <v>0</v>
      </c>
      <c r="BA66" s="51" t="n">
        <v>0</v>
      </c>
      <c r="BB66" s="51" t="n">
        <v>0</v>
      </c>
      <c r="BC66" s="51" t="n">
        <v>0</v>
      </c>
      <c r="BD66" s="51" t="n">
        <v>0</v>
      </c>
      <c r="BE66" s="51" t="n">
        <v>0</v>
      </c>
      <c r="BF66" s="51" t="n">
        <v>0</v>
      </c>
      <c r="BG66" s="51" t="n">
        <v>0</v>
      </c>
      <c r="BH66" s="51" t="n">
        <v>0</v>
      </c>
      <c r="BI66" s="51" t="n">
        <v>0</v>
      </c>
      <c r="BJ66" s="51" t="n">
        <v>0</v>
      </c>
      <c r="BK66" s="51" t="n">
        <v>0</v>
      </c>
      <c r="BL66" s="51" t="n">
        <v>0</v>
      </c>
      <c r="BM66" s="131" t="n">
        <f aca="false">IF($C$11="24 місяці",SUM(E66:AB66),IF($C$11="36 місяців",SUM(E66:AN66),SUM(E66:BL66)))</f>
        <v>0</v>
      </c>
    </row>
    <row r="67" s="96" customFormat="true" ht="15" hidden="false" customHeight="false" outlineLevel="0" collapsed="false">
      <c r="A67" s="162"/>
      <c r="B67" s="174" t="s">
        <v>265</v>
      </c>
      <c r="C67" s="147"/>
      <c r="D67" s="143"/>
      <c r="E67" s="169" t="n">
        <v>0</v>
      </c>
      <c r="F67" s="169" t="n">
        <v>0</v>
      </c>
      <c r="G67" s="179" t="n">
        <v>0</v>
      </c>
      <c r="H67" s="179" t="n">
        <f aca="false">SUM($E66:H66)</f>
        <v>0</v>
      </c>
      <c r="I67" s="179" t="n">
        <f aca="false">SUM($E66:I66)</f>
        <v>0</v>
      </c>
      <c r="J67" s="179" t="n">
        <f aca="false">SUM($E66:J66)</f>
        <v>0</v>
      </c>
      <c r="K67" s="179" t="n">
        <f aca="false">SUM($E66:K66)</f>
        <v>0</v>
      </c>
      <c r="L67" s="179" t="n">
        <f aca="false">SUM($E66:L66)</f>
        <v>0</v>
      </c>
      <c r="M67" s="179" t="n">
        <f aca="false">SUM($E66:M66)</f>
        <v>0</v>
      </c>
      <c r="N67" s="179" t="n">
        <f aca="false">SUM($E66:N66)</f>
        <v>0</v>
      </c>
      <c r="O67" s="179" t="n">
        <f aca="false">SUM($E66:O66)</f>
        <v>0</v>
      </c>
      <c r="P67" s="179" t="n">
        <f aca="false">SUM($E66:P66)</f>
        <v>0</v>
      </c>
      <c r="Q67" s="179" t="n">
        <f aca="false">SUM($E66:Q66)</f>
        <v>0</v>
      </c>
      <c r="R67" s="179" t="n">
        <f aca="false">SUM($E66:R66)</f>
        <v>0</v>
      </c>
      <c r="S67" s="179" t="n">
        <f aca="false">SUM($E66:S66)</f>
        <v>0</v>
      </c>
      <c r="T67" s="179" t="n">
        <f aca="false">SUM($E66:T66)</f>
        <v>0</v>
      </c>
      <c r="U67" s="179" t="n">
        <f aca="false">SUM($E66:U66)</f>
        <v>0</v>
      </c>
      <c r="V67" s="179" t="n">
        <f aca="false">SUM($E66:V66)</f>
        <v>0</v>
      </c>
      <c r="W67" s="179" t="n">
        <f aca="false">SUM($E66:W66)</f>
        <v>0</v>
      </c>
      <c r="X67" s="179" t="n">
        <f aca="false">SUM($E66:X66)</f>
        <v>0</v>
      </c>
      <c r="Y67" s="179" t="n">
        <f aca="false">SUM($E66:Y66)</f>
        <v>0</v>
      </c>
      <c r="Z67" s="179" t="n">
        <f aca="false">SUM($E66:Z66)</f>
        <v>0</v>
      </c>
      <c r="AA67" s="179" t="n">
        <f aca="false">SUM($E66:AA66)</f>
        <v>0</v>
      </c>
      <c r="AB67" s="179" t="n">
        <f aca="false">SUM($E66:AB66)</f>
        <v>0</v>
      </c>
      <c r="AC67" s="179" t="n">
        <f aca="false">SUM($E66:AC66)</f>
        <v>0</v>
      </c>
      <c r="AD67" s="179" t="n">
        <f aca="false">SUM($E66:AD66)</f>
        <v>0</v>
      </c>
      <c r="AE67" s="179" t="n">
        <f aca="false">SUM($E66:AE66)</f>
        <v>0</v>
      </c>
      <c r="AF67" s="179" t="n">
        <f aca="false">SUM($E66:AF66)</f>
        <v>0</v>
      </c>
      <c r="AG67" s="179" t="n">
        <f aca="false">SUM($E66:AG66)</f>
        <v>0</v>
      </c>
      <c r="AH67" s="179" t="n">
        <f aca="false">SUM($E66:AH66)</f>
        <v>0</v>
      </c>
      <c r="AI67" s="179" t="n">
        <f aca="false">SUM($E66:AI66)</f>
        <v>0</v>
      </c>
      <c r="AJ67" s="179" t="n">
        <f aca="false">SUM($E66:AJ66)</f>
        <v>0</v>
      </c>
      <c r="AK67" s="179" t="n">
        <f aca="false">SUM($E66:AK66)</f>
        <v>0</v>
      </c>
      <c r="AL67" s="179" t="n">
        <f aca="false">SUM($E66:AL66)</f>
        <v>0</v>
      </c>
      <c r="AM67" s="179" t="n">
        <f aca="false">SUM($E66:AM66)</f>
        <v>0</v>
      </c>
      <c r="AN67" s="179" t="n">
        <f aca="false">SUM($E66:AN66)</f>
        <v>0</v>
      </c>
      <c r="AO67" s="179" t="n">
        <f aca="false">SUM($E66:AO66)</f>
        <v>0</v>
      </c>
      <c r="AP67" s="179" t="n">
        <f aca="false">SUM($E66:AP66)</f>
        <v>0</v>
      </c>
      <c r="AQ67" s="179" t="n">
        <f aca="false">SUM($E66:AQ66)</f>
        <v>0</v>
      </c>
      <c r="AR67" s="179" t="n">
        <f aca="false">SUM($E66:AR66)</f>
        <v>0</v>
      </c>
      <c r="AS67" s="179" t="n">
        <f aca="false">SUM($E66:AS66)</f>
        <v>0</v>
      </c>
      <c r="AT67" s="179" t="n">
        <f aca="false">SUM($E66:AT66)</f>
        <v>0</v>
      </c>
      <c r="AU67" s="179" t="n">
        <f aca="false">SUM($E66:AU66)</f>
        <v>0</v>
      </c>
      <c r="AV67" s="179" t="n">
        <f aca="false">SUM($E66:AV66)</f>
        <v>0</v>
      </c>
      <c r="AW67" s="179" t="n">
        <f aca="false">SUM($E66:AW66)</f>
        <v>0</v>
      </c>
      <c r="AX67" s="179" t="n">
        <f aca="false">SUM($E66:AX66)</f>
        <v>0</v>
      </c>
      <c r="AY67" s="179" t="n">
        <f aca="false">SUM($E66:AY66)</f>
        <v>0</v>
      </c>
      <c r="AZ67" s="179" t="n">
        <f aca="false">SUM($E66:AZ66)</f>
        <v>0</v>
      </c>
      <c r="BA67" s="179" t="n">
        <f aca="false">SUM($E66:BA66)</f>
        <v>0</v>
      </c>
      <c r="BB67" s="179" t="n">
        <f aca="false">SUM($E66:BB66)</f>
        <v>0</v>
      </c>
      <c r="BC67" s="179" t="n">
        <f aca="false">SUM($E66:BC66)</f>
        <v>0</v>
      </c>
      <c r="BD67" s="179" t="n">
        <f aca="false">SUM($E66:BD66)</f>
        <v>0</v>
      </c>
      <c r="BE67" s="179" t="n">
        <f aca="false">SUM($E66:BE66)</f>
        <v>0</v>
      </c>
      <c r="BF67" s="179" t="n">
        <f aca="false">SUM($E66:BF66)</f>
        <v>0</v>
      </c>
      <c r="BG67" s="179" t="n">
        <f aca="false">SUM($E66:BG66)</f>
        <v>0</v>
      </c>
      <c r="BH67" s="179" t="n">
        <f aca="false">SUM($E66:BH66)</f>
        <v>0</v>
      </c>
      <c r="BI67" s="179" t="n">
        <f aca="false">SUM($E66:BI66)</f>
        <v>0</v>
      </c>
      <c r="BJ67" s="179" t="n">
        <f aca="false">SUM($E66:BJ66)</f>
        <v>0</v>
      </c>
      <c r="BK67" s="179" t="n">
        <f aca="false">SUM($E66:BK66)</f>
        <v>0</v>
      </c>
      <c r="BL67" s="179" t="n">
        <f aca="false">SUM($E66:BL66)</f>
        <v>0</v>
      </c>
      <c r="BM67" s="131" t="n">
        <f aca="false">IF($C$11="24 місяці",SUM(E67:AB67),IF($C$11="36 місяців",SUM(E67:AN67),SUM(E67:BL67)))</f>
        <v>0</v>
      </c>
    </row>
    <row r="68" s="96" customFormat="true" ht="15" hidden="false" customHeight="false" outlineLevel="0" collapsed="false">
      <c r="A68" s="162"/>
      <c r="B68" s="180" t="s">
        <v>266</v>
      </c>
      <c r="C68" s="147"/>
      <c r="D68" s="143"/>
      <c r="E68" s="169"/>
      <c r="F68" s="169"/>
      <c r="G68" s="179"/>
      <c r="H68" s="179"/>
      <c r="I68" s="179"/>
      <c r="J68" s="179"/>
      <c r="K68" s="179"/>
      <c r="L68" s="179"/>
      <c r="M68" s="179"/>
      <c r="N68" s="179"/>
      <c r="O68" s="179"/>
      <c r="P68" s="179"/>
      <c r="Q68" s="179"/>
      <c r="R68" s="179"/>
      <c r="S68" s="179"/>
      <c r="T68" s="179"/>
      <c r="U68" s="179"/>
      <c r="V68" s="179"/>
      <c r="W68" s="179"/>
      <c r="X68" s="179"/>
      <c r="Y68" s="179"/>
      <c r="Z68" s="179"/>
      <c r="AA68" s="179"/>
      <c r="AB68" s="179"/>
      <c r="AC68" s="179"/>
      <c r="AD68" s="179"/>
      <c r="AE68" s="179"/>
      <c r="AF68" s="179"/>
      <c r="AG68" s="179"/>
      <c r="AH68" s="179"/>
      <c r="AI68" s="179"/>
      <c r="AJ68" s="179"/>
      <c r="AK68" s="179"/>
      <c r="AL68" s="179"/>
      <c r="AM68" s="179"/>
      <c r="AN68" s="179"/>
      <c r="AO68" s="179"/>
      <c r="AP68" s="179"/>
      <c r="AQ68" s="179"/>
      <c r="AR68" s="179"/>
      <c r="AS68" s="179"/>
      <c r="AT68" s="179"/>
      <c r="AU68" s="179"/>
      <c r="AV68" s="179"/>
      <c r="AW68" s="179"/>
      <c r="AX68" s="179"/>
      <c r="AY68" s="179"/>
      <c r="AZ68" s="179"/>
      <c r="BA68" s="179"/>
      <c r="BB68" s="179"/>
      <c r="BC68" s="179"/>
      <c r="BD68" s="179"/>
      <c r="BE68" s="179"/>
      <c r="BF68" s="179"/>
      <c r="BG68" s="179"/>
      <c r="BH68" s="179"/>
      <c r="BI68" s="179"/>
      <c r="BJ68" s="179"/>
      <c r="BK68" s="179"/>
      <c r="BL68" s="179"/>
      <c r="BM68" s="131" t="n">
        <f aca="false">IF($C$11="24 місяці",SUM(E68:AB68),IF($C$11="36 місяців",SUM(E68:AN68),SUM(E68:BL68)))</f>
        <v>0</v>
      </c>
    </row>
    <row r="69" s="96" customFormat="true" ht="15" hidden="false" customHeight="false" outlineLevel="0" collapsed="false">
      <c r="A69" s="162"/>
      <c r="B69" s="180" t="s">
        <v>267</v>
      </c>
      <c r="C69" s="147"/>
      <c r="D69" s="143"/>
      <c r="E69" s="169"/>
      <c r="F69" s="169"/>
      <c r="G69" s="179"/>
      <c r="H69" s="179"/>
      <c r="I69" s="179"/>
      <c r="J69" s="179"/>
      <c r="K69" s="179"/>
      <c r="L69" s="179"/>
      <c r="M69" s="179"/>
      <c r="N69" s="179"/>
      <c r="O69" s="179"/>
      <c r="P69" s="179"/>
      <c r="Q69" s="179"/>
      <c r="R69" s="179"/>
      <c r="S69" s="179"/>
      <c r="T69" s="179"/>
      <c r="U69" s="179"/>
      <c r="V69" s="179"/>
      <c r="W69" s="179"/>
      <c r="X69" s="179"/>
      <c r="Y69" s="179"/>
      <c r="Z69" s="179"/>
      <c r="AA69" s="179"/>
      <c r="AB69" s="179"/>
      <c r="AC69" s="179"/>
      <c r="AD69" s="179"/>
      <c r="AE69" s="179"/>
      <c r="AF69" s="179"/>
      <c r="AG69" s="179"/>
      <c r="AH69" s="179"/>
      <c r="AI69" s="179"/>
      <c r="AJ69" s="179"/>
      <c r="AK69" s="179"/>
      <c r="AL69" s="179"/>
      <c r="AM69" s="179"/>
      <c r="AN69" s="179"/>
      <c r="AO69" s="179"/>
      <c r="AP69" s="179"/>
      <c r="AQ69" s="179"/>
      <c r="AR69" s="179"/>
      <c r="AS69" s="179"/>
      <c r="AT69" s="179"/>
      <c r="AU69" s="179"/>
      <c r="AV69" s="179"/>
      <c r="AW69" s="179"/>
      <c r="AX69" s="179"/>
      <c r="AY69" s="179"/>
      <c r="AZ69" s="179"/>
      <c r="BA69" s="179"/>
      <c r="BB69" s="179"/>
      <c r="BC69" s="179"/>
      <c r="BD69" s="179"/>
      <c r="BE69" s="179"/>
      <c r="BF69" s="179"/>
      <c r="BG69" s="179"/>
      <c r="BH69" s="179"/>
      <c r="BI69" s="179"/>
      <c r="BJ69" s="179"/>
      <c r="BK69" s="179"/>
      <c r="BL69" s="179"/>
      <c r="BM69" s="131" t="n">
        <f aca="false">IF($C$11="24 місяці",SUM(E69:AB69),IF($C$11="36 місяців",SUM(E69:AN69),SUM(E69:BL69)))</f>
        <v>0</v>
      </c>
    </row>
    <row r="70" s="96" customFormat="true" ht="15" hidden="false" customHeight="false" outlineLevel="0" collapsed="false">
      <c r="A70" s="162"/>
      <c r="B70" s="180" t="s">
        <v>268</v>
      </c>
      <c r="C70" s="147"/>
      <c r="D70" s="143"/>
      <c r="E70" s="169" t="n">
        <f aca="false">IF(E$13&gt;IF($C$11="24 місяці",24,IF($C$11="36 місяців",36,60)),0,SUM(E52:E54,E56:E58,E60:E61,E63:E65,E67:E69))</f>
        <v>26070.12</v>
      </c>
      <c r="F70" s="169" t="n">
        <f aca="false">IF(F$13&gt;IF($C$11="24 місяці",24,IF($C$11="36 місяців",36,60)),0,SUM(F52:F54,F56:F58,F60:F61,F63:F65,F67:F69))</f>
        <v>26070.12</v>
      </c>
      <c r="G70" s="179" t="n">
        <f aca="false">IF(G$13&gt;IF($C$11="24 місяці",24,IF($C$11="36 місяців",36,60)),0,SUM(G52:G54,G56:G58,G60:G61,G63:G65,G67:G69))</f>
        <v>26970.12</v>
      </c>
      <c r="H70" s="179" t="n">
        <f aca="false">IF(H$13&gt;IF($C$11="24 місяці",24,IF($C$11="36 місяців",36,60)),0,SUM(H52:H54,H56:H58,H60:H61,H63:H65,H67:H69))</f>
        <v>26970.12</v>
      </c>
      <c r="I70" s="179" t="n">
        <f aca="false">IF(I$13&gt;IF($C$11="24 місяці",24,IF($C$11="36 місяців",36,60)),0,SUM(I52:I54,I56:I58,I60:I61,I63:I65,I67:I69))</f>
        <v>26970.12</v>
      </c>
      <c r="J70" s="179" t="n">
        <f aca="false">IF(J$13&gt;IF($C$11="24 місяці",24,IF($C$11="36 місяців",36,60)),0,SUM(J52:J54,J56:J58,J60:J61,J63:J65,J67:J69))</f>
        <v>30570.12</v>
      </c>
      <c r="K70" s="179" t="n">
        <f aca="false">IF(K$13&gt;IF($C$11="24 місяці",24,IF($C$11="36 місяців",36,60)),0,SUM(K52:K54,K56:K58,K60:K61,K63:K65,K67:K69))</f>
        <v>30870.12</v>
      </c>
      <c r="L70" s="179" t="n">
        <f aca="false">IF(L$13&gt;IF($C$11="24 місяці",24,IF($C$11="36 місяців",36,60)),0,SUM(L52:L54,L56:L58,L60:L61,L63:L65,L67:L69))</f>
        <v>30870.12</v>
      </c>
      <c r="M70" s="179" t="n">
        <f aca="false">IF(M$13&gt;IF($C$11="24 місяці",24,IF($C$11="36 місяців",36,60)),0,SUM(M52:M54,M56:M58,M60:M61,M63:M65,M67:M69))</f>
        <v>31770.12</v>
      </c>
      <c r="N70" s="179" t="n">
        <f aca="false">IF(N$13&gt;IF($C$11="24 місяці",24,IF($C$11="36 місяців",36,60)),0,SUM(N52:N54,N56:N58,N60:N61,N63:N65,N67:N69))</f>
        <v>31770.12</v>
      </c>
      <c r="O70" s="179" t="n">
        <f aca="false">IF(O$13&gt;IF($C$11="24 місяці",24,IF($C$11="36 місяців",36,60)),0,SUM(O52:O54,O56:O58,O60:O61,O63:O65,O67:O69))</f>
        <v>31770.12</v>
      </c>
      <c r="P70" s="179" t="n">
        <f aca="false">IF(P$13&gt;IF($C$11="24 місяці",24,IF($C$11="36 місяців",36,60)),0,SUM(P52:P54,P56:P58,P60:P61,P63:P65,P67:P69))</f>
        <v>31770.12</v>
      </c>
      <c r="Q70" s="179" t="n">
        <f aca="false">IF(Q$13&gt;IF($C$11="24 місяці",24,IF($C$11="36 місяців",36,60)),0,SUM(Q52:Q54,Q56:Q58,Q60:Q61,Q63:Q65,Q67:Q69))</f>
        <v>35820.12</v>
      </c>
      <c r="R70" s="179" t="n">
        <f aca="false">IF(R$13&gt;IF($C$11="24 місяці",24,IF($C$11="36 місяців",36,60)),0,SUM(R52:R54,R56:R58,R60:R61,R63:R65,R67:R69))</f>
        <v>35820.12</v>
      </c>
      <c r="S70" s="179" t="n">
        <f aca="false">IF(S$13&gt;IF($C$11="24 місяці",24,IF($C$11="36 місяців",36,60)),0,SUM(S52:S54,S56:S58,S60:S61,S63:S65,S67:S69))</f>
        <v>35820.12</v>
      </c>
      <c r="T70" s="179" t="n">
        <f aca="false">IF(T$13&gt;IF($C$11="24 місяці",24,IF($C$11="36 місяців",36,60)),0,SUM(T52:T54,T56:T58,T60:T61,T63:T65,T67:T69))</f>
        <v>35820.12</v>
      </c>
      <c r="U70" s="179" t="n">
        <f aca="false">IF(U$13&gt;IF($C$11="24 місяці",24,IF($C$11="36 місяців",36,60)),0,SUM(U52:U54,U56:U58,U60:U61,U63:U65,U67:U69))</f>
        <v>35820.12</v>
      </c>
      <c r="V70" s="179" t="n">
        <f aca="false">IF(V$13&gt;IF($C$11="24 місяці",24,IF($C$11="36 місяців",36,60)),0,SUM(V52:V54,V56:V58,V60:V61,V63:V65,V67:V69))</f>
        <v>35820.12</v>
      </c>
      <c r="W70" s="179" t="n">
        <f aca="false">IF(W$13&gt;IF($C$11="24 місяці",24,IF($C$11="36 місяців",36,60)),0,SUM(W52:W54,W56:W58,W60:W61,W63:W65,W67:W69))</f>
        <v>36720.12</v>
      </c>
      <c r="X70" s="179" t="n">
        <f aca="false">IF(X$13&gt;IF($C$11="24 місяці",24,IF($C$11="36 місяців",36,60)),0,SUM(X52:X54,X56:X58,X60:X61,X63:X65,X67:X69))</f>
        <v>36720.12</v>
      </c>
      <c r="Y70" s="179" t="n">
        <f aca="false">IF(Y$13&gt;IF($C$11="24 місяці",24,IF($C$11="36 місяців",36,60)),0,SUM(Y52:Y54,Y56:Y58,Y60:Y61,Y63:Y65,Y67:Y69))</f>
        <v>36720.12</v>
      </c>
      <c r="Z70" s="179" t="n">
        <f aca="false">IF(Z$13&gt;IF($C$11="24 місяці",24,IF($C$11="36 місяців",36,60)),0,SUM(Z52:Z54,Z56:Z58,Z60:Z61,Z63:Z65,Z67:Z69))</f>
        <v>36720.12</v>
      </c>
      <c r="AA70" s="179" t="n">
        <f aca="false">IF(AA$13&gt;IF($C$11="24 місяці",24,IF($C$11="36 місяців",36,60)),0,SUM(AA52:AA54,AA56:AA58,AA60:AA61,AA63:AA65,AA67:AA69))</f>
        <v>36720.12</v>
      </c>
      <c r="AB70" s="179" t="n">
        <f aca="false">IF(AB$13&gt;IF($C$11="24 місяці",24,IF($C$11="36 місяців",36,60)),0,SUM(AB52:AB54,AB56:AB58,AB60:AB61,AB63:AB65,AB67:AB69))</f>
        <v>36720.12</v>
      </c>
      <c r="AC70" s="179" t="n">
        <f aca="false">IF(AC$13&gt;IF($C$11="24 місяці",24,IF($C$11="36 місяців",36,60)),0,SUM(AC52:AC54,AC56:AC58,AC60:AC61,AC63:AC65,AC67:AC69))</f>
        <v>40890.12</v>
      </c>
      <c r="AD70" s="179" t="n">
        <f aca="false">IF(AD$13&gt;IF($C$11="24 місяці",24,IF($C$11="36 місяців",36,60)),0,SUM(AD52:AD54,AD56:AD58,AD60:AD61,AD63:AD65,AD67:AD69))</f>
        <v>40890.12</v>
      </c>
      <c r="AE70" s="179" t="n">
        <f aca="false">IF(AE$13&gt;IF($C$11="24 місяці",24,IF($C$11="36 місяців",36,60)),0,SUM(AE52:AE54,AE56:AE58,AE60:AE61,AE63:AE65,AE67:AE69))</f>
        <v>40890.12</v>
      </c>
      <c r="AF70" s="179" t="n">
        <f aca="false">IF(AF$13&gt;IF($C$11="24 місяці",24,IF($C$11="36 місяців",36,60)),0,SUM(AF52:AF54,AF56:AF58,AF60:AF61,AF63:AF65,AF67:AF69))</f>
        <v>40890.12</v>
      </c>
      <c r="AG70" s="179" t="n">
        <f aca="false">IF(AG$13&gt;IF($C$11="24 місяці",24,IF($C$11="36 місяців",36,60)),0,SUM(AG52:AG54,AG56:AG58,AG60:AG61,AG63:AG65,AG67:AG69))</f>
        <v>40890.12</v>
      </c>
      <c r="AH70" s="179" t="n">
        <f aca="false">IF(AH$13&gt;IF($C$11="24 місяці",24,IF($C$11="36 місяців",36,60)),0,SUM(AH52:AH54,AH56:AH58,AH60:AH61,AH63:AH65,AH67:AH69))</f>
        <v>40890.12</v>
      </c>
      <c r="AI70" s="179" t="n">
        <f aca="false">IF(AI$13&gt;IF($C$11="24 місяці",24,IF($C$11="36 місяців",36,60)),0,SUM(AI52:AI54,AI56:AI58,AI60:AI61,AI63:AI65,AI67:AI69))</f>
        <v>40890.12</v>
      </c>
      <c r="AJ70" s="179" t="n">
        <f aca="false">IF(AJ$13&gt;IF($C$11="24 місяці",24,IF($C$11="36 місяців",36,60)),0,SUM(AJ52:AJ54,AJ56:AJ58,AJ60:AJ61,AJ63:AJ65,AJ67:AJ69))</f>
        <v>40890.12</v>
      </c>
      <c r="AK70" s="179" t="n">
        <f aca="false">IF(AK$13&gt;IF($C$11="24 місяці",24,IF($C$11="36 місяців",36,60)),0,SUM(AK52:AK54,AK56:AK58,AK60:AK61,AK63:AK65,AK67:AK69))</f>
        <v>40890.12</v>
      </c>
      <c r="AL70" s="179" t="n">
        <f aca="false">IF(AL$13&gt;IF($C$11="24 місяці",24,IF($C$11="36 місяців",36,60)),0,SUM(AL52:AL54,AL56:AL58,AL60:AL61,AL63:AL65,AL67:AL69))</f>
        <v>40890.12</v>
      </c>
      <c r="AM70" s="179" t="n">
        <f aca="false">IF(AM$13&gt;IF($C$11="24 місяці",24,IF($C$11="36 місяців",36,60)),0,SUM(AM52:AM54,AM56:AM58,AM60:AM61,AM63:AM65,AM67:AM69))</f>
        <v>40890.12</v>
      </c>
      <c r="AN70" s="179" t="n">
        <f aca="false">IF(AN$13&gt;IF($C$11="24 місяці",24,IF($C$11="36 місяців",36,60)),0,SUM(AN52:AN54,AN56:AN58,AN60:AN61,AN63:AN65,AN67:AN69))</f>
        <v>40890.12</v>
      </c>
      <c r="AO70" s="179" t="n">
        <f aca="false">IF(AO$13&gt;IF($C$11="24 місяці",24,IF($C$11="36 місяців",36,60)),0,SUM(AO52:AO54,AO56:AO58,AO60:AO61,AO63:AO65,AO67:AO69))</f>
        <v>0</v>
      </c>
      <c r="AP70" s="179" t="n">
        <f aca="false">IF(AP$13&gt;IF($C$11="24 місяці",24,IF($C$11="36 місяців",36,60)),0,SUM(AP52:AP54,AP56:AP58,AP60:AP61,AP63:AP65,AP67:AP69))</f>
        <v>0</v>
      </c>
      <c r="AQ70" s="179" t="n">
        <f aca="false">IF(AQ$13&gt;IF($C$11="24 місяці",24,IF($C$11="36 місяців",36,60)),0,SUM(AQ52:AQ54,AQ56:AQ58,AQ60:AQ61,AQ63:AQ65,AQ67:AQ69))</f>
        <v>0</v>
      </c>
      <c r="AR70" s="179" t="n">
        <f aca="false">IF(AR$13&gt;IF($C$11="24 місяці",24,IF($C$11="36 місяців",36,60)),0,SUM(AR52:AR54,AR56:AR58,AR60:AR61,AR63:AR65,AR67:AR69))</f>
        <v>0</v>
      </c>
      <c r="AS70" s="179" t="n">
        <f aca="false">IF(AS$13&gt;IF($C$11="24 місяці",24,IF($C$11="36 місяців",36,60)),0,SUM(AS52:AS54,AS56:AS58,AS60:AS61,AS63:AS65,AS67:AS69))</f>
        <v>0</v>
      </c>
      <c r="AT70" s="179" t="n">
        <f aca="false">IF(AT$13&gt;IF($C$11="24 місяці",24,IF($C$11="36 місяців",36,60)),0,SUM(AT52:AT54,AT56:AT58,AT60:AT61,AT63:AT65,AT67:AT69))</f>
        <v>0</v>
      </c>
      <c r="AU70" s="179" t="n">
        <f aca="false">IF(AU$13&gt;IF($C$11="24 місяці",24,IF($C$11="36 місяців",36,60)),0,SUM(AU52:AU54,AU56:AU58,AU60:AU61,AU63:AU65,AU67:AU69))</f>
        <v>0</v>
      </c>
      <c r="AV70" s="179" t="n">
        <f aca="false">IF(AV$13&gt;IF($C$11="24 місяці",24,IF($C$11="36 місяців",36,60)),0,SUM(AV52:AV54,AV56:AV58,AV60:AV61,AV63:AV65,AV67:AV69))</f>
        <v>0</v>
      </c>
      <c r="AW70" s="179" t="n">
        <f aca="false">IF(AW$13&gt;IF($C$11="24 місяці",24,IF($C$11="36 місяців",36,60)),0,SUM(AW52:AW54,AW56:AW58,AW60:AW61,AW63:AW65,AW67:AW69))</f>
        <v>0</v>
      </c>
      <c r="AX70" s="179" t="n">
        <f aca="false">IF(AX$13&gt;IF($C$11="24 місяці",24,IF($C$11="36 місяців",36,60)),0,SUM(AX52:AX54,AX56:AX58,AX60:AX61,AX63:AX65,AX67:AX69))</f>
        <v>0</v>
      </c>
      <c r="AY70" s="179" t="n">
        <f aca="false">IF(AY$13&gt;IF($C$11="24 місяці",24,IF($C$11="36 місяців",36,60)),0,SUM(AY52:AY54,AY56:AY58,AY60:AY61,AY63:AY65,AY67:AY69))</f>
        <v>0</v>
      </c>
      <c r="AZ70" s="179" t="n">
        <f aca="false">IF(AZ$13&gt;IF($C$11="24 місяці",24,IF($C$11="36 місяців",36,60)),0,SUM(AZ52:AZ54,AZ56:AZ58,AZ60:AZ61,AZ63:AZ65,AZ67:AZ69))</f>
        <v>0</v>
      </c>
      <c r="BA70" s="179" t="n">
        <f aca="false">IF(BA$13&gt;IF($C$11="24 місяці",24,IF($C$11="36 місяців",36,60)),0,SUM(BA52:BA54,BA56:BA58,BA60:BA61,BA63:BA65,BA67:BA69))</f>
        <v>0</v>
      </c>
      <c r="BB70" s="179" t="n">
        <f aca="false">IF(BB$13&gt;IF($C$11="24 місяці",24,IF($C$11="36 місяців",36,60)),0,SUM(BB52:BB54,BB56:BB58,BB60:BB61,BB63:BB65,BB67:BB69))</f>
        <v>0</v>
      </c>
      <c r="BC70" s="179" t="n">
        <f aca="false">IF(BC$13&gt;IF($C$11="24 місяці",24,IF($C$11="36 місяців",36,60)),0,SUM(BC52:BC54,BC56:BC58,BC60:BC61,BC63:BC65,BC67:BC69))</f>
        <v>0</v>
      </c>
      <c r="BD70" s="179" t="n">
        <f aca="false">IF(BD$13&gt;IF($C$11="24 місяці",24,IF($C$11="36 місяців",36,60)),0,SUM(BD52:BD54,BD56:BD58,BD60:BD61,BD63:BD65,BD67:BD69))</f>
        <v>0</v>
      </c>
      <c r="BE70" s="179" t="n">
        <f aca="false">IF(BE$13&gt;IF($C$11="24 місяці",24,IF($C$11="36 місяців",36,60)),0,SUM(BE52:BE54,BE56:BE58,BE60:BE61,BE63:BE65,BE67:BE69))</f>
        <v>0</v>
      </c>
      <c r="BF70" s="179" t="n">
        <f aca="false">IF(BF$13&gt;IF($C$11="24 місяці",24,IF($C$11="36 місяців",36,60)),0,SUM(BF52:BF54,BF56:BF58,BF60:BF61,BF63:BF65,BF67:BF69))</f>
        <v>0</v>
      </c>
      <c r="BG70" s="179" t="n">
        <f aca="false">IF(BG$13&gt;IF($C$11="24 місяці",24,IF($C$11="36 місяців",36,60)),0,SUM(BG52:BG54,BG56:BG58,BG60:BG61,BG63:BG65,BG67:BG69))</f>
        <v>0</v>
      </c>
      <c r="BH70" s="179" t="n">
        <f aca="false">IF(BH$13&gt;IF($C$11="24 місяці",24,IF($C$11="36 місяців",36,60)),0,SUM(BH52:BH54,BH56:BH58,BH60:BH61,BH63:BH65,BH67:BH69))</f>
        <v>0</v>
      </c>
      <c r="BI70" s="179" t="n">
        <f aca="false">IF(BI$13&gt;IF($C$11="24 місяці",24,IF($C$11="36 місяців",36,60)),0,SUM(BI52:BI54,BI56:BI58,BI60:BI61,BI63:BI65,BI67:BI69))</f>
        <v>0</v>
      </c>
      <c r="BJ70" s="179" t="n">
        <f aca="false">IF(BJ$13&gt;IF($C$11="24 місяці",24,IF($C$11="36 місяців",36,60)),0,SUM(BJ52:BJ54,BJ56:BJ58,BJ60:BJ61,BJ63:BJ65,BJ67:BJ69))</f>
        <v>0</v>
      </c>
      <c r="BK70" s="179" t="n">
        <f aca="false">IF(BK$13&gt;IF($C$11="24 місяці",24,IF($C$11="36 місяців",36,60)),0,SUM(BK52:BK54,BK56:BK58,BK60:BK61,BK63:BK65,BK67:BK69))</f>
        <v>0</v>
      </c>
      <c r="BL70" s="179" t="n">
        <f aca="false">IF(BL$13&gt;IF($C$11="24 місяці",24,IF($C$11="36 місяців",36,60)),0,SUM(BL52:BL54,BL56:BL58,BL60:BL61,BL63:BL65,BL67:BL69))</f>
        <v>0</v>
      </c>
      <c r="BM70" s="131" t="n">
        <f aca="false">IF($C$11="24 місяці",SUM(E70:AB70),IF($C$11="36 місяців",SUM(E70:AN70),SUM(E70:BL70)))</f>
        <v>1278364.32</v>
      </c>
    </row>
    <row r="71" s="96" customFormat="true" ht="15" hidden="false" customHeight="false" outlineLevel="0" collapsed="false">
      <c r="A71" s="162"/>
      <c r="B71" s="180" t="s">
        <v>269</v>
      </c>
      <c r="C71" s="147"/>
      <c r="D71" s="143"/>
      <c r="E71" s="169" t="n">
        <f aca="false">IF(E$13&gt;IF($C$11="24 місяці",24,IF($C$11="36 місяців",36,60)),0,SUM($E70:E70))</f>
        <v>26070.12</v>
      </c>
      <c r="F71" s="169" t="n">
        <f aca="false">IF(F$13&gt;IF($C$11="24 місяці",24,IF($C$11="36 місяців",36,60)),0,SUM($E70:F70))</f>
        <v>52140.24</v>
      </c>
      <c r="G71" s="179" t="n">
        <f aca="false">IF(G$13&gt;IF($C$11="24 місяці",24,IF($C$11="36 місяців",36,60)),0,SUM($E70:G70))</f>
        <v>79110.36</v>
      </c>
      <c r="H71" s="179" t="n">
        <f aca="false">IF(H$13&gt;IF($C$11="24 місяці",24,IF($C$11="36 місяців",36,60)),0,SUM($E70:H70))</f>
        <v>106080.48</v>
      </c>
      <c r="I71" s="179" t="n">
        <f aca="false">IF(I$13&gt;IF($C$11="24 місяці",24,IF($C$11="36 місяців",36,60)),0,SUM($E70:I70))</f>
        <v>133050.6</v>
      </c>
      <c r="J71" s="179" t="n">
        <f aca="false">IF(J$13&gt;IF($C$11="24 місяці",24,IF($C$11="36 місяців",36,60)),0,SUM($E70:J70))</f>
        <v>163620.72</v>
      </c>
      <c r="K71" s="179" t="n">
        <f aca="false">IF(K$13&gt;IF($C$11="24 місяці",24,IF($C$11="36 місяців",36,60)),0,SUM($E70:K70))</f>
        <v>194490.84</v>
      </c>
      <c r="L71" s="179" t="n">
        <f aca="false">IF(L$13&gt;IF($C$11="24 місяці",24,IF($C$11="36 місяців",36,60)),0,SUM($E70:L70))</f>
        <v>225360.96</v>
      </c>
      <c r="M71" s="179" t="n">
        <f aca="false">IF(M$13&gt;IF($C$11="24 місяці",24,IF($C$11="36 місяців",36,60)),0,SUM($E70:M70))</f>
        <v>257131.08</v>
      </c>
      <c r="N71" s="179" t="n">
        <f aca="false">IF(N$13&gt;IF($C$11="24 місяці",24,IF($C$11="36 місяців",36,60)),0,SUM($E70:N70))</f>
        <v>288901.2</v>
      </c>
      <c r="O71" s="179" t="n">
        <f aca="false">IF(O$13&gt;IF($C$11="24 місяці",24,IF($C$11="36 місяців",36,60)),0,SUM($E70:O70))</f>
        <v>320671.32</v>
      </c>
      <c r="P71" s="179" t="n">
        <f aca="false">IF(P$13&gt;IF($C$11="24 місяці",24,IF($C$11="36 місяців",36,60)),0,SUM($E70:P70))</f>
        <v>352441.44</v>
      </c>
      <c r="Q71" s="179" t="n">
        <f aca="false">IF(Q$13&gt;IF($C$11="24 місяці",24,IF($C$11="36 місяців",36,60)),0,SUM($E70:Q70))</f>
        <v>388261.56</v>
      </c>
      <c r="R71" s="179" t="n">
        <f aca="false">IF(R$13&gt;IF($C$11="24 місяці",24,IF($C$11="36 місяців",36,60)),0,SUM($E70:R70))</f>
        <v>424081.68</v>
      </c>
      <c r="S71" s="179" t="n">
        <f aca="false">IF(S$13&gt;IF($C$11="24 місяці",24,IF($C$11="36 місяців",36,60)),0,SUM($E70:S70))</f>
        <v>459901.8</v>
      </c>
      <c r="T71" s="179" t="n">
        <f aca="false">IF(T$13&gt;IF($C$11="24 місяці",24,IF($C$11="36 місяців",36,60)),0,SUM($E70:T70))</f>
        <v>495721.92</v>
      </c>
      <c r="U71" s="179" t="n">
        <f aca="false">IF(U$13&gt;IF($C$11="24 місяці",24,IF($C$11="36 місяців",36,60)),0,SUM($E70:U70))</f>
        <v>531542.04</v>
      </c>
      <c r="V71" s="179" t="n">
        <f aca="false">IF(V$13&gt;IF($C$11="24 місяці",24,IF($C$11="36 місяців",36,60)),0,SUM($E70:V70))</f>
        <v>567362.16</v>
      </c>
      <c r="W71" s="179" t="n">
        <f aca="false">IF(W$13&gt;IF($C$11="24 місяці",24,IF($C$11="36 місяців",36,60)),0,SUM($E70:W70))</f>
        <v>604082.28</v>
      </c>
      <c r="X71" s="179" t="n">
        <f aca="false">IF(X$13&gt;IF($C$11="24 місяці",24,IF($C$11="36 місяців",36,60)),0,SUM($E70:X70))</f>
        <v>640802.4</v>
      </c>
      <c r="Y71" s="179" t="n">
        <f aca="false">IF(Y$13&gt;IF($C$11="24 місяці",24,IF($C$11="36 місяців",36,60)),0,SUM($E70:Y70))</f>
        <v>677522.52</v>
      </c>
      <c r="Z71" s="179" t="n">
        <f aca="false">IF(Z$13&gt;IF($C$11="24 місяці",24,IF($C$11="36 місяців",36,60)),0,SUM($E70:Z70))</f>
        <v>714242.64</v>
      </c>
      <c r="AA71" s="179" t="n">
        <f aca="false">IF(AA$13&gt;IF($C$11="24 місяці",24,IF($C$11="36 місяців",36,60)),0,SUM($E70:AA70))</f>
        <v>750962.76</v>
      </c>
      <c r="AB71" s="179" t="n">
        <f aca="false">IF(AB$13&gt;IF($C$11="24 місяці",24,IF($C$11="36 місяців",36,60)),0,SUM($E70:AB70))</f>
        <v>787682.88</v>
      </c>
      <c r="AC71" s="179" t="n">
        <f aca="false">IF(AC$13&gt;IF($C$11="24 місяці",24,IF($C$11="36 місяців",36,60)),0,SUM($E70:AC70))</f>
        <v>828573</v>
      </c>
      <c r="AD71" s="179" t="n">
        <f aca="false">IF(AD$13&gt;IF($C$11="24 місяці",24,IF($C$11="36 місяців",36,60)),0,SUM($E70:AD70))</f>
        <v>869463.12</v>
      </c>
      <c r="AE71" s="179" t="n">
        <f aca="false">IF(AE$13&gt;IF($C$11="24 місяці",24,IF($C$11="36 місяців",36,60)),0,SUM($E70:AE70))</f>
        <v>910353.24</v>
      </c>
      <c r="AF71" s="179" t="n">
        <f aca="false">IF(AF$13&gt;IF($C$11="24 місяці",24,IF($C$11="36 місяців",36,60)),0,SUM($E70:AF70))</f>
        <v>951243.36</v>
      </c>
      <c r="AG71" s="179" t="n">
        <f aca="false">IF(AG$13&gt;IF($C$11="24 місяці",24,IF($C$11="36 місяців",36,60)),0,SUM($E70:AG70))</f>
        <v>992133.48</v>
      </c>
      <c r="AH71" s="179" t="n">
        <f aca="false">IF(AH$13&gt;IF($C$11="24 місяці",24,IF($C$11="36 місяців",36,60)),0,SUM($E70:AH70))</f>
        <v>1033023.6</v>
      </c>
      <c r="AI71" s="179" t="n">
        <f aca="false">IF(AI$13&gt;IF($C$11="24 місяці",24,IF($C$11="36 місяців",36,60)),0,SUM($E70:AI70))</f>
        <v>1073913.72</v>
      </c>
      <c r="AJ71" s="179" t="n">
        <f aca="false">IF(AJ$13&gt;IF($C$11="24 місяці",24,IF($C$11="36 місяців",36,60)),0,SUM($E70:AJ70))</f>
        <v>1114803.84</v>
      </c>
      <c r="AK71" s="179" t="n">
        <f aca="false">IF(AK$13&gt;IF($C$11="24 місяці",24,IF($C$11="36 місяців",36,60)),0,SUM($E70:AK70))</f>
        <v>1155693.96</v>
      </c>
      <c r="AL71" s="179" t="n">
        <f aca="false">IF(AL$13&gt;IF($C$11="24 місяці",24,IF($C$11="36 місяців",36,60)),0,SUM($E70:AL70))</f>
        <v>1196584.08</v>
      </c>
      <c r="AM71" s="179" t="n">
        <f aca="false">IF(AM$13&gt;IF($C$11="24 місяці",24,IF($C$11="36 місяців",36,60)),0,SUM($E70:AM70))</f>
        <v>1237474.2</v>
      </c>
      <c r="AN71" s="179" t="n">
        <f aca="false">IF(AN$13&gt;IF($C$11="24 місяці",24,IF($C$11="36 місяців",36,60)),0,SUM($E70:AN70))</f>
        <v>1278364.32</v>
      </c>
      <c r="AO71" s="179" t="n">
        <f aca="false">IF(AO$13&gt;IF($C$11="24 місяці",24,IF($C$11="36 місяців",36,60)),0,SUM($E70:AO70))</f>
        <v>0</v>
      </c>
      <c r="AP71" s="179" t="n">
        <f aca="false">IF(AP$13&gt;IF($C$11="24 місяці",24,IF($C$11="36 місяців",36,60)),0,SUM($E70:AP70))</f>
        <v>0</v>
      </c>
      <c r="AQ71" s="179" t="n">
        <f aca="false">IF(AQ$13&gt;IF($C$11="24 місяці",24,IF($C$11="36 місяців",36,60)),0,SUM($E70:AQ70))</f>
        <v>0</v>
      </c>
      <c r="AR71" s="179" t="n">
        <f aca="false">IF(AR$13&gt;IF($C$11="24 місяці",24,IF($C$11="36 місяців",36,60)),0,SUM($E70:AR70))</f>
        <v>0</v>
      </c>
      <c r="AS71" s="179" t="n">
        <f aca="false">IF(AS$13&gt;IF($C$11="24 місяці",24,IF($C$11="36 місяців",36,60)),0,SUM($E70:AS70))</f>
        <v>0</v>
      </c>
      <c r="AT71" s="179" t="n">
        <f aca="false">IF(AT$13&gt;IF($C$11="24 місяці",24,IF($C$11="36 місяців",36,60)),0,SUM($E70:AT70))</f>
        <v>0</v>
      </c>
      <c r="AU71" s="179" t="n">
        <f aca="false">IF(AU$13&gt;IF($C$11="24 місяці",24,IF($C$11="36 місяців",36,60)),0,SUM($E70:AU70))</f>
        <v>0</v>
      </c>
      <c r="AV71" s="179" t="n">
        <f aca="false">IF(AV$13&gt;IF($C$11="24 місяці",24,IF($C$11="36 місяців",36,60)),0,SUM($E70:AV70))</f>
        <v>0</v>
      </c>
      <c r="AW71" s="179" t="n">
        <f aca="false">IF(AW$13&gt;IF($C$11="24 місяці",24,IF($C$11="36 місяців",36,60)),0,SUM($E70:AW70))</f>
        <v>0</v>
      </c>
      <c r="AX71" s="179" t="n">
        <f aca="false">IF(AX$13&gt;IF($C$11="24 місяці",24,IF($C$11="36 місяців",36,60)),0,SUM($E70:AX70))</f>
        <v>0</v>
      </c>
      <c r="AY71" s="179" t="n">
        <f aca="false">IF(AY$13&gt;IF($C$11="24 місяці",24,IF($C$11="36 місяців",36,60)),0,SUM($E70:AY70))</f>
        <v>0</v>
      </c>
      <c r="AZ71" s="179" t="n">
        <f aca="false">IF(AZ$13&gt;IF($C$11="24 місяці",24,IF($C$11="36 місяців",36,60)),0,SUM($E70:AZ70))</f>
        <v>0</v>
      </c>
      <c r="BA71" s="179" t="n">
        <f aca="false">IF(BA$13&gt;IF($C$11="24 місяці",24,IF($C$11="36 місяців",36,60)),0,SUM($E70:BA70))</f>
        <v>0</v>
      </c>
      <c r="BB71" s="179" t="n">
        <f aca="false">IF(BB$13&gt;IF($C$11="24 місяці",24,IF($C$11="36 місяців",36,60)),0,SUM($E70:BB70))</f>
        <v>0</v>
      </c>
      <c r="BC71" s="179" t="n">
        <f aca="false">IF(BC$13&gt;IF($C$11="24 місяці",24,IF($C$11="36 місяців",36,60)),0,SUM($E70:BC70))</f>
        <v>0</v>
      </c>
      <c r="BD71" s="179" t="n">
        <f aca="false">IF(BD$13&gt;IF($C$11="24 місяці",24,IF($C$11="36 місяців",36,60)),0,SUM($E70:BD70))</f>
        <v>0</v>
      </c>
      <c r="BE71" s="179" t="n">
        <f aca="false">IF(BE$13&gt;IF($C$11="24 місяці",24,IF($C$11="36 місяців",36,60)),0,SUM($E70:BE70))</f>
        <v>0</v>
      </c>
      <c r="BF71" s="179" t="n">
        <f aca="false">IF(BF$13&gt;IF($C$11="24 місяці",24,IF($C$11="36 місяців",36,60)),0,SUM($E70:BF70))</f>
        <v>0</v>
      </c>
      <c r="BG71" s="179" t="n">
        <f aca="false">IF(BG$13&gt;IF($C$11="24 місяці",24,IF($C$11="36 місяців",36,60)),0,SUM($E70:BG70))</f>
        <v>0</v>
      </c>
      <c r="BH71" s="179" t="n">
        <f aca="false">IF(BH$13&gt;IF($C$11="24 місяці",24,IF($C$11="36 місяців",36,60)),0,SUM($E70:BH70))</f>
        <v>0</v>
      </c>
      <c r="BI71" s="179" t="n">
        <f aca="false">IF(BI$13&gt;IF($C$11="24 місяці",24,IF($C$11="36 місяців",36,60)),0,SUM($E70:BI70))</f>
        <v>0</v>
      </c>
      <c r="BJ71" s="179" t="n">
        <f aca="false">IF(BJ$13&gt;IF($C$11="24 місяці",24,IF($C$11="36 місяців",36,60)),0,SUM($E70:BJ70))</f>
        <v>0</v>
      </c>
      <c r="BK71" s="179" t="n">
        <f aca="false">IF(BK$13&gt;IF($C$11="24 місяці",24,IF($C$11="36 місяців",36,60)),0,SUM($E70:BK70))</f>
        <v>0</v>
      </c>
      <c r="BL71" s="179" t="n">
        <f aca="false">IF(BL$13&gt;IF($C$11="24 місяці",24,IF($C$11="36 місяців",36,60)),0,SUM($E70:BL70))</f>
        <v>0</v>
      </c>
      <c r="BM71" s="131" t="n">
        <f aca="false">IF($C$11="24 місяці",AB71,IF($C$11="36 місяців",AN71,BL71))</f>
        <v>1278364.32</v>
      </c>
    </row>
    <row r="72" s="184" customFormat="true" ht="12" hidden="false" customHeight="true" outlineLevel="0" collapsed="false">
      <c r="A72" s="181"/>
      <c r="B72" s="182" t="s">
        <v>270</v>
      </c>
      <c r="C72" s="182"/>
      <c r="D72" s="151" t="n">
        <f aca="false">SUM(D32:D69)</f>
        <v>0</v>
      </c>
      <c r="E72" s="131" t="n">
        <f aca="false">IF(E$13&gt;IF($C$11="24 місяці",24,IF($C$11="36 місяців",36,60)),0,E32+E46+E54+E58+SUM(E60:E61,E63:E65,E67:E69))</f>
        <v>1180720.12</v>
      </c>
      <c r="F72" s="131" t="n">
        <f aca="false">IF(F$13&gt;IF($C$11="24 місяці",24,IF($C$11="36 місяців",36,60)),0,F32+F46+F54+F58+SUM(F60:F61,F63:F65,F67:F69))</f>
        <v>73720.12</v>
      </c>
      <c r="G72" s="131" t="n">
        <f aca="false">IF(G$13&gt;IF($C$11="24 місяці",24,IF($C$11="36 місяців",36,60)),0,G32+G46+G54+G58+SUM(G60:G61,G63:G65,G67:G69))</f>
        <v>74620.12</v>
      </c>
      <c r="H72" s="131" t="n">
        <f aca="false">IF(H$13&gt;IF($C$11="24 місяці",24,IF($C$11="36 місяців",36,60)),0,H32+H46+H54+H58+SUM(H60:H61,H63:H65,H67:H69))</f>
        <v>84620.12</v>
      </c>
      <c r="I72" s="131" t="n">
        <f aca="false">IF(I$13&gt;IF($C$11="24 місяці",24,IF($C$11="36 місяців",36,60)),0,I32+I46+I54+I58+SUM(I60:I61,I63:I65,I67:I69))</f>
        <v>84620.12</v>
      </c>
      <c r="J72" s="131" t="n">
        <f aca="false">IF(J$13&gt;IF($C$11="24 місяці",24,IF($C$11="36 місяців",36,60)),0,J32+J46+J54+J58+SUM(J60:J61,J63:J65,J67:J69))</f>
        <v>88220.12</v>
      </c>
      <c r="K72" s="131" t="n">
        <f aca="false">IF(K$13&gt;IF($C$11="24 місяці",24,IF($C$11="36 місяців",36,60)),0,K32+K46+K54+K58+SUM(K60:K61,K63:K65,K67:K69))</f>
        <v>90520.12</v>
      </c>
      <c r="L72" s="131" t="n">
        <f aca="false">IF(L$13&gt;IF($C$11="24 місяці",24,IF($C$11="36 місяців",36,60)),0,L32+L46+L54+L58+SUM(L60:L61,L63:L65,L67:L69))</f>
        <v>90520.12</v>
      </c>
      <c r="M72" s="131" t="n">
        <f aca="false">IF(M$13&gt;IF($C$11="24 місяці",24,IF($C$11="36 місяців",36,60)),0,M32+M46+M54+M58+SUM(M60:M61,M63:M65,M67:M69))</f>
        <v>91420.12</v>
      </c>
      <c r="N72" s="131" t="n">
        <f aca="false">IF(N$13&gt;IF($C$11="24 місяці",24,IF($C$11="36 місяців",36,60)),0,N32+N46+N54+N58+SUM(N60:N61,N63:N65,N67:N69))</f>
        <v>91420.12</v>
      </c>
      <c r="O72" s="131" t="n">
        <f aca="false">IF(O$13&gt;IF($C$11="24 місяці",24,IF($C$11="36 місяців",36,60)),0,O32+O46+O54+O58+SUM(O60:O61,O63:O65,O67:O69))</f>
        <v>91420.12</v>
      </c>
      <c r="P72" s="131" t="n">
        <f aca="false">IF(P$13&gt;IF($C$11="24 місяці",24,IF($C$11="36 місяців",36,60)),0,P32+P46+P54+P58+SUM(P60:P61,P63:P65,P67:P69))</f>
        <v>89420.12</v>
      </c>
      <c r="Q72" s="131" t="n">
        <f aca="false">IF(Q$13&gt;IF($C$11="24 місяці",24,IF($C$11="36 місяців",36,60)),0,Q32+Q46+Q54+Q58+SUM(Q60:Q61,Q63:Q65,Q67:Q69))</f>
        <v>420180.12</v>
      </c>
      <c r="R72" s="131" t="n">
        <f aca="false">IF(R$13&gt;IF($C$11="24 місяці",24,IF($C$11="36 місяців",36,60)),0,R32+R46+R54+R58+SUM(R60:R61,R63:R65,R67:R69))</f>
        <v>144320.12</v>
      </c>
      <c r="S72" s="131" t="n">
        <f aca="false">IF(S$13&gt;IF($C$11="24 місяці",24,IF($C$11="36 місяців",36,60)),0,S32+S46+S54+S58+SUM(S60:S61,S63:S65,S67:S69))</f>
        <v>144320.12</v>
      </c>
      <c r="T72" s="131" t="n">
        <f aca="false">IF(T$13&gt;IF($C$11="24 місяці",24,IF($C$11="36 місяців",36,60)),0,T32+T46+T54+T58+SUM(T60:T61,T63:T65,T67:T69))</f>
        <v>144320.12</v>
      </c>
      <c r="U72" s="131" t="n">
        <f aca="false">IF(U$13&gt;IF($C$11="24 місяці",24,IF($C$11="36 місяців",36,60)),0,U32+U46+U54+U58+SUM(U60:U61,U63:U65,U67:U69))</f>
        <v>144320.12</v>
      </c>
      <c r="V72" s="131" t="n">
        <f aca="false">IF(V$13&gt;IF($C$11="24 місяці",24,IF($C$11="36 місяців",36,60)),0,V32+V46+V54+V58+SUM(V60:V61,V63:V65,V67:V69))</f>
        <v>144320.12</v>
      </c>
      <c r="W72" s="131" t="n">
        <f aca="false">IF(W$13&gt;IF($C$11="24 місяці",24,IF($C$11="36 місяців",36,60)),0,W32+W46+W54+W58+SUM(W60:W61,W63:W65,W67:W69))</f>
        <v>147220.12</v>
      </c>
      <c r="X72" s="131" t="n">
        <f aca="false">IF(X$13&gt;IF($C$11="24 місяці",24,IF($C$11="36 місяців",36,60)),0,X32+X46+X54+X58+SUM(X60:X61,X63:X65,X67:X69))</f>
        <v>147220.12</v>
      </c>
      <c r="Y72" s="131" t="n">
        <f aca="false">IF(Y$13&gt;IF($C$11="24 місяці",24,IF($C$11="36 місяців",36,60)),0,Y32+Y46+Y54+Y58+SUM(Y60:Y61,Y63:Y65,Y67:Y69))</f>
        <v>147220.12</v>
      </c>
      <c r="Z72" s="131" t="n">
        <f aca="false">IF(Z$13&gt;IF($C$11="24 місяці",24,IF($C$11="36 місяців",36,60)),0,Z32+Z46+Z54+Z58+SUM(Z60:Z61,Z63:Z65,Z67:Z69))</f>
        <v>147220.12</v>
      </c>
      <c r="AA72" s="131" t="n">
        <f aca="false">IF(AA$13&gt;IF($C$11="24 місяці",24,IF($C$11="36 місяців",36,60)),0,AA32+AA46+AA54+AA58+SUM(AA60:AA61,AA63:AA65,AA67:AA69))</f>
        <v>147220.12</v>
      </c>
      <c r="AB72" s="131" t="n">
        <f aca="false">IF(AB$13&gt;IF($C$11="24 місяці",24,IF($C$11="36 місяців",36,60)),0,AB32+AB46+AB54+AB58+SUM(AB60:AB61,AB63:AB65,AB67:AB69))</f>
        <v>145220.12</v>
      </c>
      <c r="AC72" s="131" t="n">
        <f aca="false">IF(AC$13&gt;IF($C$11="24 місяці",24,IF($C$11="36 місяців",36,60)),0,AC32+AC46+AC54+AC58+SUM(AC60:AC61,AC63:AC65,AC67:AC69))</f>
        <v>163240.12</v>
      </c>
      <c r="AD72" s="131" t="n">
        <f aca="false">IF(AD$13&gt;IF($C$11="24 місяці",24,IF($C$11="36 місяців",36,60)),0,AD32+AD46+AD54+AD58+SUM(AD60:AD61,AD63:AD65,AD67:AD69))</f>
        <v>163240.12</v>
      </c>
      <c r="AE72" s="131" t="n">
        <f aca="false">IF(AE$13&gt;IF($C$11="24 місяці",24,IF($C$11="36 місяців",36,60)),0,AE32+AE46+AE54+AE58+SUM(AE60:AE61,AE63:AE65,AE67:AE69))</f>
        <v>163240.12</v>
      </c>
      <c r="AF72" s="131" t="n">
        <f aca="false">IF(AF$13&gt;IF($C$11="24 місяці",24,IF($C$11="36 місяців",36,60)),0,AF32+AF46+AF54+AF58+SUM(AF60:AF61,AF63:AF65,AF67:AF69))</f>
        <v>163240.12</v>
      </c>
      <c r="AG72" s="131" t="n">
        <f aca="false">IF(AG$13&gt;IF($C$11="24 місяці",24,IF($C$11="36 місяців",36,60)),0,AG32+AG46+AG54+AG58+SUM(AG60:AG61,AG63:AG65,AG67:AG69))</f>
        <v>163240.12</v>
      </c>
      <c r="AH72" s="131" t="n">
        <f aca="false">IF(AH$13&gt;IF($C$11="24 місяці",24,IF($C$11="36 місяців",36,60)),0,AH32+AH46+AH54+AH58+SUM(AH60:AH61,AH63:AH65,AH67:AH69))</f>
        <v>163240.12</v>
      </c>
      <c r="AI72" s="131" t="n">
        <f aca="false">IF(AI$13&gt;IF($C$11="24 місяці",24,IF($C$11="36 місяців",36,60)),0,AI32+AI46+AI54+AI58+SUM(AI60:AI61,AI63:AI65,AI67:AI69))</f>
        <v>165240.12</v>
      </c>
      <c r="AJ72" s="131" t="n">
        <f aca="false">IF(AJ$13&gt;IF($C$11="24 місяці",24,IF($C$11="36 місяців",36,60)),0,AJ32+AJ46+AJ54+AJ58+SUM(AJ60:AJ61,AJ63:AJ65,AJ67:AJ69))</f>
        <v>165240.12</v>
      </c>
      <c r="AK72" s="131" t="n">
        <f aca="false">IF(AK$13&gt;IF($C$11="24 місяці",24,IF($C$11="36 місяців",36,60)),0,AK32+AK46+AK54+AK58+SUM(AK60:AK61,AK63:AK65,AK67:AK69))</f>
        <v>165240.12</v>
      </c>
      <c r="AL72" s="131" t="n">
        <f aca="false">IF(AL$13&gt;IF($C$11="24 місяці",24,IF($C$11="36 місяців",36,60)),0,AL32+AL46+AL54+AL58+SUM(AL60:AL61,AL63:AL65,AL67:AL69))</f>
        <v>165240.12</v>
      </c>
      <c r="AM72" s="131" t="n">
        <f aca="false">IF(AM$13&gt;IF($C$11="24 місяці",24,IF($C$11="36 місяців",36,60)),0,AM32+AM46+AM54+AM58+SUM(AM60:AM61,AM63:AM65,AM67:AM69))</f>
        <v>165240.12</v>
      </c>
      <c r="AN72" s="131" t="n">
        <f aca="false">IF(AN$13&gt;IF($C$11="24 місяці",24,IF($C$11="36 місяців",36,60)),0,AN32+AN46+AN54+AN58+SUM(AN60:AN61,AN63:AN65,AN67:AN69))</f>
        <v>163240.12</v>
      </c>
      <c r="AO72" s="131" t="n">
        <f aca="false">IF(AO$13&gt;IF($C$11="24 місяці",24,IF($C$11="36 місяців",36,60)),0,AO32+AO46+AO54+AO58+SUM(AO60:AO61,AO63:AO65,AO67:AO69))</f>
        <v>0</v>
      </c>
      <c r="AP72" s="131" t="n">
        <f aca="false">IF(AP$13&gt;IF($C$11="24 місяці",24,IF($C$11="36 місяців",36,60)),0,AP32+AP46+AP54+AP58+SUM(AP60:AP61,AP63:AP65,AP67:AP69))</f>
        <v>0</v>
      </c>
      <c r="AQ72" s="131" t="n">
        <f aca="false">IF(AQ$13&gt;IF($C$11="24 місяці",24,IF($C$11="36 місяців",36,60)),0,AQ32+AQ46+AQ54+AQ58+SUM(AQ60:AQ61,AQ63:AQ65,AQ67:AQ69))</f>
        <v>0</v>
      </c>
      <c r="AR72" s="131" t="n">
        <f aca="false">IF(AR$13&gt;IF($C$11="24 місяці",24,IF($C$11="36 місяців",36,60)),0,AR32+AR46+AR54+AR58+SUM(AR60:AR61,AR63:AR65,AR67:AR69))</f>
        <v>0</v>
      </c>
      <c r="AS72" s="131" t="n">
        <f aca="false">IF(AS$13&gt;IF($C$11="24 місяці",24,IF($C$11="36 місяців",36,60)),0,AS32+AS46+AS54+AS58+SUM(AS60:AS61,AS63:AS65,AS67:AS69))</f>
        <v>0</v>
      </c>
      <c r="AT72" s="131" t="n">
        <f aca="false">IF(AT$13&gt;IF($C$11="24 місяці",24,IF($C$11="36 місяців",36,60)),0,AT32+AT46+AT54+AT58+SUM(AT60:AT61,AT63:AT65,AT67:AT69))</f>
        <v>0</v>
      </c>
      <c r="AU72" s="131" t="n">
        <f aca="false">IF(AU$13&gt;IF($C$11="24 місяці",24,IF($C$11="36 місяців",36,60)),0,AU32+AU46+AU54+AU58+SUM(AU60:AU61,AU63:AU65,AU67:AU69))</f>
        <v>0</v>
      </c>
      <c r="AV72" s="131" t="n">
        <f aca="false">IF(AV$13&gt;IF($C$11="24 місяці",24,IF($C$11="36 місяців",36,60)),0,AV32+AV46+AV54+AV58+SUM(AV60:AV61,AV63:AV65,AV67:AV69))</f>
        <v>0</v>
      </c>
      <c r="AW72" s="131" t="n">
        <f aca="false">IF(AW$13&gt;IF($C$11="24 місяці",24,IF($C$11="36 місяців",36,60)),0,AW32+AW46+AW54+AW58+SUM(AW60:AW61,AW63:AW65,AW67:AW69))</f>
        <v>0</v>
      </c>
      <c r="AX72" s="131" t="n">
        <f aca="false">IF(AX$13&gt;IF($C$11="24 місяці",24,IF($C$11="36 місяців",36,60)),0,AX32+AX46+AX54+AX58+SUM(AX60:AX61,AX63:AX65,AX67:AX69))</f>
        <v>0</v>
      </c>
      <c r="AY72" s="131" t="n">
        <f aca="false">IF(AY$13&gt;IF($C$11="24 місяці",24,IF($C$11="36 місяців",36,60)),0,AY32+AY46+AY54+AY58+SUM(AY60:AY61,AY63:AY65,AY67:AY69))</f>
        <v>0</v>
      </c>
      <c r="AZ72" s="131" t="n">
        <f aca="false">IF(AZ$13&gt;IF($C$11="24 місяці",24,IF($C$11="36 місяців",36,60)),0,AZ32+AZ46+AZ54+AZ58+SUM(AZ60:AZ61,AZ63:AZ65,AZ67:AZ69))</f>
        <v>0</v>
      </c>
      <c r="BA72" s="131" t="n">
        <f aca="false">IF(BA$13&gt;IF($C$11="24 місяці",24,IF($C$11="36 місяців",36,60)),0,BA32+BA46+BA54+BA58+SUM(BA60:BA61,BA63:BA65,BA67:BA69))</f>
        <v>0</v>
      </c>
      <c r="BB72" s="131" t="n">
        <f aca="false">IF(BB$13&gt;IF($C$11="24 місяці",24,IF($C$11="36 місяців",36,60)),0,BB32+BB46+BB54+BB58+SUM(BB60:BB61,BB63:BB65,BB67:BB69))</f>
        <v>0</v>
      </c>
      <c r="BC72" s="131" t="n">
        <f aca="false">IF(BC$13&gt;IF($C$11="24 місяці",24,IF($C$11="36 місяців",36,60)),0,BC32+BC46+BC54+BC58+SUM(BC60:BC61,BC63:BC65,BC67:BC69))</f>
        <v>0</v>
      </c>
      <c r="BD72" s="131" t="n">
        <f aca="false">IF(BD$13&gt;IF($C$11="24 місяці",24,IF($C$11="36 місяців",36,60)),0,BD32+BD46+BD54+BD58+SUM(BD60:BD61,BD63:BD65,BD67:BD69))</f>
        <v>0</v>
      </c>
      <c r="BE72" s="131" t="n">
        <f aca="false">IF(BE$13&gt;IF($C$11="24 місяці",24,IF($C$11="36 місяців",36,60)),0,BE32+BE46+BE54+BE58+SUM(BE60:BE61,BE63:BE65,BE67:BE69))</f>
        <v>0</v>
      </c>
      <c r="BF72" s="131" t="n">
        <f aca="false">IF(BF$13&gt;IF($C$11="24 місяці",24,IF($C$11="36 місяців",36,60)),0,BF32+BF46+BF54+BF58+SUM(BF60:BF61,BF63:BF65,BF67:BF69))</f>
        <v>0</v>
      </c>
      <c r="BG72" s="131" t="n">
        <f aca="false">IF(BG$13&gt;IF($C$11="24 місяці",24,IF($C$11="36 місяців",36,60)),0,BG32+BG46+BG54+BG58+SUM(BG60:BG61,BG63:BG65,BG67:BG69))</f>
        <v>0</v>
      </c>
      <c r="BH72" s="131" t="n">
        <f aca="false">IF(BH$13&gt;IF($C$11="24 місяці",24,IF($C$11="36 місяців",36,60)),0,BH32+BH46+BH54+BH58+SUM(BH60:BH61,BH63:BH65,BH67:BH69))</f>
        <v>0</v>
      </c>
      <c r="BI72" s="131" t="n">
        <f aca="false">IF(BI$13&gt;IF($C$11="24 місяці",24,IF($C$11="36 місяців",36,60)),0,BI32+BI46+BI54+BI58+SUM(BI60:BI61,BI63:BI65,BI67:BI69))</f>
        <v>0</v>
      </c>
      <c r="BJ72" s="131" t="n">
        <f aca="false">IF(BJ$13&gt;IF($C$11="24 місяці",24,IF($C$11="36 місяців",36,60)),0,BJ32+BJ46+BJ54+BJ58+SUM(BJ60:BJ61,BJ63:BJ65,BJ67:BJ69))</f>
        <v>0</v>
      </c>
      <c r="BK72" s="131" t="n">
        <f aca="false">IF(BK$13&gt;IF($C$11="24 місяці",24,IF($C$11="36 місяців",36,60)),0,BK32+BK46+BK54+BK58+SUM(BK60:BK61,BK63:BK65,BK67:BK69))</f>
        <v>0</v>
      </c>
      <c r="BL72" s="131" t="n">
        <f aca="false">IF(BL$13&gt;IF($C$11="24 місяці",24,IF($C$11="36 місяців",36,60)),0,BL32+BL46+BL54+BL58+SUM(BL60:BL61,BL63:BL65,BL67:BL69))</f>
        <v>0</v>
      </c>
      <c r="BM72" s="183" t="n">
        <f aca="false">IF($C$11="24 місяці",SUM(E72:AB72),IF($C$11="36 місяців",SUM(E72:AN72),SUM(E72:BL72)))</f>
        <v>6123224.32</v>
      </c>
    </row>
    <row r="73" s="181" customFormat="true" ht="12.75" hidden="false" customHeight="true" outlineLevel="0" collapsed="false">
      <c r="A73" s="1"/>
      <c r="B73" s="185" t="s">
        <v>68</v>
      </c>
      <c r="C73" s="185"/>
      <c r="D73" s="185" t="s">
        <v>68</v>
      </c>
      <c r="E73" s="185" t="s">
        <v>68</v>
      </c>
      <c r="F73" s="185" t="s">
        <v>68</v>
      </c>
      <c r="G73" s="185" t="s">
        <v>68</v>
      </c>
      <c r="H73" s="185" t="s">
        <v>68</v>
      </c>
      <c r="I73" s="185" t="s">
        <v>68</v>
      </c>
      <c r="J73" s="185" t="s">
        <v>68</v>
      </c>
      <c r="K73" s="185" t="s">
        <v>68</v>
      </c>
      <c r="L73" s="185" t="s">
        <v>68</v>
      </c>
      <c r="M73" s="185" t="s">
        <v>68</v>
      </c>
      <c r="N73" s="185" t="s">
        <v>68</v>
      </c>
      <c r="O73" s="185" t="s">
        <v>68</v>
      </c>
      <c r="P73" s="185" t="s">
        <v>68</v>
      </c>
      <c r="Q73" s="185" t="s">
        <v>68</v>
      </c>
      <c r="R73" s="185" t="s">
        <v>68</v>
      </c>
      <c r="S73" s="185" t="s">
        <v>68</v>
      </c>
      <c r="T73" s="185" t="s">
        <v>68</v>
      </c>
      <c r="U73" s="185" t="s">
        <v>68</v>
      </c>
      <c r="V73" s="185" t="s">
        <v>68</v>
      </c>
      <c r="W73" s="185" t="s">
        <v>68</v>
      </c>
      <c r="X73" s="185" t="s">
        <v>68</v>
      </c>
      <c r="Y73" s="185" t="s">
        <v>68</v>
      </c>
      <c r="Z73" s="185" t="s">
        <v>68</v>
      </c>
      <c r="AA73" s="185" t="s">
        <v>68</v>
      </c>
      <c r="AB73" s="185" t="s">
        <v>68</v>
      </c>
      <c r="AC73" s="185" t="s">
        <v>68</v>
      </c>
      <c r="AD73" s="185" t="s">
        <v>68</v>
      </c>
      <c r="AE73" s="185" t="s">
        <v>68</v>
      </c>
      <c r="AF73" s="185" t="s">
        <v>68</v>
      </c>
      <c r="AG73" s="185" t="s">
        <v>68</v>
      </c>
      <c r="AH73" s="185" t="s">
        <v>68</v>
      </c>
      <c r="AI73" s="185" t="s">
        <v>68</v>
      </c>
      <c r="AJ73" s="185" t="s">
        <v>68</v>
      </c>
      <c r="AK73" s="185" t="s">
        <v>68</v>
      </c>
      <c r="AL73" s="185" t="s">
        <v>68</v>
      </c>
      <c r="AM73" s="185" t="s">
        <v>68</v>
      </c>
      <c r="AN73" s="185" t="s">
        <v>68</v>
      </c>
      <c r="AO73" s="185" t="s">
        <v>68</v>
      </c>
      <c r="AP73" s="185" t="s">
        <v>68</v>
      </c>
      <c r="AQ73" s="185" t="s">
        <v>68</v>
      </c>
      <c r="AR73" s="185" t="s">
        <v>68</v>
      </c>
      <c r="AS73" s="185" t="s">
        <v>68</v>
      </c>
      <c r="AT73" s="185" t="s">
        <v>68</v>
      </c>
      <c r="AU73" s="185" t="s">
        <v>68</v>
      </c>
      <c r="AV73" s="185" t="s">
        <v>68</v>
      </c>
      <c r="AW73" s="185" t="s">
        <v>68</v>
      </c>
      <c r="AX73" s="185" t="s">
        <v>68</v>
      </c>
      <c r="AY73" s="185" t="s">
        <v>68</v>
      </c>
      <c r="AZ73" s="185" t="s">
        <v>68</v>
      </c>
      <c r="BA73" s="185" t="s">
        <v>68</v>
      </c>
      <c r="BB73" s="185" t="s">
        <v>68</v>
      </c>
      <c r="BC73" s="185" t="s">
        <v>68</v>
      </c>
      <c r="BD73" s="185" t="s">
        <v>68</v>
      </c>
      <c r="BE73" s="185" t="s">
        <v>68</v>
      </c>
      <c r="BF73" s="185" t="s">
        <v>68</v>
      </c>
      <c r="BG73" s="185" t="s">
        <v>68</v>
      </c>
      <c r="BH73" s="185" t="s">
        <v>68</v>
      </c>
      <c r="BI73" s="185" t="s">
        <v>68</v>
      </c>
      <c r="BJ73" s="185" t="s">
        <v>68</v>
      </c>
      <c r="BK73" s="185" t="s">
        <v>68</v>
      </c>
      <c r="BL73" s="185" t="s">
        <v>68</v>
      </c>
      <c r="BM73" s="185" t="s">
        <v>68</v>
      </c>
    </row>
    <row r="74" s="189" customFormat="true" ht="59.25" hidden="false" customHeight="true" outlineLevel="0" collapsed="false">
      <c r="A74" s="186"/>
      <c r="B74" s="187"/>
      <c r="C74" s="188" t="s">
        <v>271</v>
      </c>
      <c r="D74" s="152" t="n">
        <f aca="false">D27-D72</f>
        <v>0</v>
      </c>
      <c r="E74" s="152" t="n">
        <f aca="false">IF(E$13&gt;IF($C$11="24 місяці",24,IF($C$11="36 місяців",36,60)),0,E27-E72)</f>
        <v>91279.8799999999</v>
      </c>
      <c r="F74" s="152" t="n">
        <f aca="false">IF(F$13&gt;IF($C$11="24 місяці",24,IF($C$11="36 місяців",36,60)),0,F27-F72)</f>
        <v>-11720.12</v>
      </c>
      <c r="G74" s="152" t="n">
        <f aca="false">IF(G$13&gt;IF($C$11="24 місяці",24,IF($C$11="36 місяців",36,60)),0,G27-G72)</f>
        <v>2379.88</v>
      </c>
      <c r="H74" s="152" t="n">
        <f aca="false">IF(H$13&gt;IF($C$11="24 місяці",24,IF($C$11="36 місяців",36,60)),0,H27-H72)</f>
        <v>-7620.12</v>
      </c>
      <c r="I74" s="152" t="n">
        <f aca="false">IF(I$13&gt;IF($C$11="24 місяці",24,IF($C$11="36 місяців",36,60)),0,I27-I72)</f>
        <v>-7620.12</v>
      </c>
      <c r="J74" s="152" t="n">
        <f aca="false">IF(J$13&gt;IF($C$11="24 місяці",24,IF($C$11="36 місяців",36,60)),0,J27-J72)</f>
        <v>48779.88</v>
      </c>
      <c r="K74" s="152" t="n">
        <f aca="false">IF(K$13&gt;IF($C$11="24 місяці",24,IF($C$11="36 місяців",36,60)),0,K27-K72)</f>
        <v>51479.88</v>
      </c>
      <c r="L74" s="152" t="n">
        <f aca="false">IF(L$13&gt;IF($C$11="24 місяці",24,IF($C$11="36 місяців",36,60)),0,L27-L72)</f>
        <v>51479.88</v>
      </c>
      <c r="M74" s="152" t="n">
        <f aca="false">IF(M$13&gt;IF($C$11="24 місяці",24,IF($C$11="36 місяців",36,60)),0,M27-M72)</f>
        <v>65579.88</v>
      </c>
      <c r="N74" s="152" t="n">
        <f aca="false">IF(N$13&gt;IF($C$11="24 місяці",24,IF($C$11="36 місяців",36,60)),0,N27-N72)</f>
        <v>65579.88</v>
      </c>
      <c r="O74" s="152" t="n">
        <f aca="false">IF(O$13&gt;IF($C$11="24 місяці",24,IF($C$11="36 місяців",36,60)),0,O27-O72)</f>
        <v>65579.88</v>
      </c>
      <c r="P74" s="152" t="n">
        <f aca="false">IF(P$13&gt;IF($C$11="24 місяці",24,IF($C$11="36 місяців",36,60)),0,P27-P72)</f>
        <v>67579.88</v>
      </c>
      <c r="Q74" s="152" t="n">
        <f aca="false">IF(Q$13&gt;IF($C$11="24 місяці",24,IF($C$11="36 місяців",36,60)),0,Q27-Q72)</f>
        <v>42679.88</v>
      </c>
      <c r="R74" s="152" t="n">
        <f aca="false">IF(R$13&gt;IF($C$11="24 місяці",24,IF($C$11="36 місяців",36,60)),0,R27-R72)</f>
        <v>42679.88</v>
      </c>
      <c r="S74" s="152" t="n">
        <f aca="false">IF(S$13&gt;IF($C$11="24 місяці",24,IF($C$11="36 місяців",36,60)),0,S27-S72)</f>
        <v>42679.88</v>
      </c>
      <c r="T74" s="152" t="n">
        <f aca="false">IF(T$13&gt;IF($C$11="24 місяці",24,IF($C$11="36 місяців",36,60)),0,T27-T72)</f>
        <v>42679.88</v>
      </c>
      <c r="U74" s="152" t="n">
        <f aca="false">IF(U$13&gt;IF($C$11="24 місяці",24,IF($C$11="36 місяців",36,60)),0,U27-U72)</f>
        <v>42679.88</v>
      </c>
      <c r="V74" s="152" t="n">
        <f aca="false">IF(V$13&gt;IF($C$11="24 місяці",24,IF($C$11="36 місяців",36,60)),0,V27-V72)</f>
        <v>42679.88</v>
      </c>
      <c r="W74" s="152" t="n">
        <f aca="false">IF(W$13&gt;IF($C$11="24 місяці",24,IF($C$11="36 місяців",36,60)),0,W27-W72)</f>
        <v>54779.88</v>
      </c>
      <c r="X74" s="152" t="n">
        <f aca="false">IF(X$13&gt;IF($C$11="24 місяці",24,IF($C$11="36 місяців",36,60)),0,X27-X72)</f>
        <v>54779.88</v>
      </c>
      <c r="Y74" s="152" t="n">
        <f aca="false">IF(Y$13&gt;IF($C$11="24 місяці",24,IF($C$11="36 місяців",36,60)),0,Y27-Y72)</f>
        <v>54779.88</v>
      </c>
      <c r="Z74" s="152" t="n">
        <f aca="false">IF(Z$13&gt;IF($C$11="24 місяці",24,IF($C$11="36 місяців",36,60)),0,Z27-Z72)</f>
        <v>54779.88</v>
      </c>
      <c r="AA74" s="152" t="n">
        <f aca="false">IF(AA$13&gt;IF($C$11="24 місяці",24,IF($C$11="36 місяців",36,60)),0,AA27-AA72)</f>
        <v>54779.88</v>
      </c>
      <c r="AB74" s="152" t="n">
        <f aca="false">IF(AB$13&gt;IF($C$11="24 місяці",24,IF($C$11="36 місяців",36,60)),0,AB27-AB72)</f>
        <v>56779.88</v>
      </c>
      <c r="AC74" s="152" t="n">
        <f aca="false">IF(AC$13&gt;IF($C$11="24 місяці",24,IF($C$11="36 місяців",36,60)),0,AC27-AC72)</f>
        <v>70759.88</v>
      </c>
      <c r="AD74" s="152" t="n">
        <f aca="false">IF(AD$13&gt;IF($C$11="24 місяці",24,IF($C$11="36 місяців",36,60)),0,AD27-AD72)</f>
        <v>70759.88</v>
      </c>
      <c r="AE74" s="152" t="n">
        <f aca="false">IF(AE$13&gt;IF($C$11="24 місяці",24,IF($C$11="36 місяців",36,60)),0,AE27-AE72)</f>
        <v>70759.88</v>
      </c>
      <c r="AF74" s="152" t="n">
        <f aca="false">IF(AF$13&gt;IF($C$11="24 місяці",24,IF($C$11="36 місяців",36,60)),0,AF27-AF72)</f>
        <v>70759.88</v>
      </c>
      <c r="AG74" s="152" t="n">
        <f aca="false">IF(AG$13&gt;IF($C$11="24 місяці",24,IF($C$11="36 місяців",36,60)),0,AG27-AG72)</f>
        <v>70759.88</v>
      </c>
      <c r="AH74" s="152" t="n">
        <f aca="false">IF(AH$13&gt;IF($C$11="24 місяці",24,IF($C$11="36 місяців",36,60)),0,AH27-AH72)</f>
        <v>70759.88</v>
      </c>
      <c r="AI74" s="152" t="n">
        <f aca="false">IF(AI$13&gt;IF($C$11="24 місяці",24,IF($C$11="36 місяців",36,60)),0,AI27-AI72)</f>
        <v>68759.88</v>
      </c>
      <c r="AJ74" s="152" t="n">
        <f aca="false">IF(AJ$13&gt;IF($C$11="24 місяці",24,IF($C$11="36 місяців",36,60)),0,AJ27-AJ72)</f>
        <v>68759.88</v>
      </c>
      <c r="AK74" s="152" t="n">
        <f aca="false">IF(AK$13&gt;IF($C$11="24 місяці",24,IF($C$11="36 місяців",36,60)),0,AK27-AK72)</f>
        <v>68759.88</v>
      </c>
      <c r="AL74" s="152" t="n">
        <f aca="false">IF(AL$13&gt;IF($C$11="24 місяці",24,IF($C$11="36 місяців",36,60)),0,AL27-AL72)</f>
        <v>68759.88</v>
      </c>
      <c r="AM74" s="152" t="n">
        <f aca="false">IF(AM$13&gt;IF($C$11="24 місяці",24,IF($C$11="36 місяців",36,60)),0,AM27-AM72)</f>
        <v>68759.88</v>
      </c>
      <c r="AN74" s="152" t="n">
        <f aca="false">IF(AN$13&gt;IF($C$11="24 місяці",24,IF($C$11="36 місяців",36,60)),0,AN27-AN72)</f>
        <v>70759.88</v>
      </c>
      <c r="AO74" s="152" t="n">
        <f aca="false">IF(AO$13&gt;IF($C$11="24 місяці",24,IF($C$11="36 місяців",36,60)),0,AO27-AO72)</f>
        <v>0</v>
      </c>
      <c r="AP74" s="152" t="n">
        <f aca="false">IF(AP$13&gt;IF($C$11="24 місяці",24,IF($C$11="36 місяців",36,60)),0,AP27-AP72)</f>
        <v>0</v>
      </c>
      <c r="AQ74" s="152" t="n">
        <f aca="false">IF(AQ$13&gt;IF($C$11="24 місяці",24,IF($C$11="36 місяців",36,60)),0,AQ27-AQ72)</f>
        <v>0</v>
      </c>
      <c r="AR74" s="152" t="n">
        <f aca="false">IF(AR$13&gt;IF($C$11="24 місяці",24,IF($C$11="36 місяців",36,60)),0,AR27-AR72)</f>
        <v>0</v>
      </c>
      <c r="AS74" s="152" t="n">
        <f aca="false">IF(AS$13&gt;IF($C$11="24 місяці",24,IF($C$11="36 місяців",36,60)),0,AS27-AS72)</f>
        <v>0</v>
      </c>
      <c r="AT74" s="152" t="n">
        <f aca="false">IF(AT$13&gt;IF($C$11="24 місяці",24,IF($C$11="36 місяців",36,60)),0,AT27-AT72)</f>
        <v>0</v>
      </c>
      <c r="AU74" s="152" t="n">
        <f aca="false">IF(AU$13&gt;IF($C$11="24 місяці",24,IF($C$11="36 місяців",36,60)),0,AU27-AU72)</f>
        <v>0</v>
      </c>
      <c r="AV74" s="152" t="n">
        <f aca="false">IF(AV$13&gt;IF($C$11="24 місяці",24,IF($C$11="36 місяців",36,60)),0,AV27-AV72)</f>
        <v>0</v>
      </c>
      <c r="AW74" s="152" t="n">
        <f aca="false">IF(AW$13&gt;IF($C$11="24 місяці",24,IF($C$11="36 місяців",36,60)),0,AW27-AW72)</f>
        <v>0</v>
      </c>
      <c r="AX74" s="152" t="n">
        <f aca="false">IF(AX$13&gt;IF($C$11="24 місяці",24,IF($C$11="36 місяців",36,60)),0,AX27-AX72)</f>
        <v>0</v>
      </c>
      <c r="AY74" s="152" t="n">
        <f aca="false">IF(AY$13&gt;IF($C$11="24 місяці",24,IF($C$11="36 місяців",36,60)),0,AY27-AY72)</f>
        <v>0</v>
      </c>
      <c r="AZ74" s="152" t="n">
        <f aca="false">IF(AZ$13&gt;IF($C$11="24 місяці",24,IF($C$11="36 місяців",36,60)),0,AZ27-AZ72)</f>
        <v>0</v>
      </c>
      <c r="BA74" s="152" t="n">
        <f aca="false">IF(BA$13&gt;IF($C$11="24 місяці",24,IF($C$11="36 місяців",36,60)),0,BA27-BA72)</f>
        <v>0</v>
      </c>
      <c r="BB74" s="152" t="n">
        <f aca="false">IF(BB$13&gt;IF($C$11="24 місяці",24,IF($C$11="36 місяців",36,60)),0,BB27-BB72)</f>
        <v>0</v>
      </c>
      <c r="BC74" s="152" t="n">
        <f aca="false">IF(BC$13&gt;IF($C$11="24 місяці",24,IF($C$11="36 місяців",36,60)),0,BC27-BC72)</f>
        <v>0</v>
      </c>
      <c r="BD74" s="152" t="n">
        <f aca="false">IF(BD$13&gt;IF($C$11="24 місяці",24,IF($C$11="36 місяців",36,60)),0,BD27-BD72)</f>
        <v>0</v>
      </c>
      <c r="BE74" s="152" t="n">
        <f aca="false">IF(BE$13&gt;IF($C$11="24 місяці",24,IF($C$11="36 місяців",36,60)),0,BE27-BE72)</f>
        <v>0</v>
      </c>
      <c r="BF74" s="152" t="n">
        <f aca="false">IF(BF$13&gt;IF($C$11="24 місяці",24,IF($C$11="36 місяців",36,60)),0,BF27-BF72)</f>
        <v>0</v>
      </c>
      <c r="BG74" s="152" t="n">
        <f aca="false">IF(BG$13&gt;IF($C$11="24 місяці",24,IF($C$11="36 місяців",36,60)),0,BG27-BG72)</f>
        <v>0</v>
      </c>
      <c r="BH74" s="152" t="n">
        <f aca="false">IF(BH$13&gt;IF($C$11="24 місяці",24,IF($C$11="36 місяців",36,60)),0,BH27-BH72)</f>
        <v>0</v>
      </c>
      <c r="BI74" s="152" t="n">
        <f aca="false">IF(BI$13&gt;IF($C$11="24 місяці",24,IF($C$11="36 місяців",36,60)),0,BI27-BI72)</f>
        <v>0</v>
      </c>
      <c r="BJ74" s="152" t="n">
        <f aca="false">IF(BJ$13&gt;IF($C$11="24 місяці",24,IF($C$11="36 місяців",36,60)),0,BJ27-BJ72)</f>
        <v>0</v>
      </c>
      <c r="BK74" s="152" t="n">
        <f aca="false">IF(BK$13&gt;IF($C$11="24 місяці",24,IF($C$11="36 місяців",36,60)),0,BK27-BK72)</f>
        <v>0</v>
      </c>
      <c r="BL74" s="152" t="n">
        <f aca="false">IF(BL$13&gt;IF($C$11="24 місяці",24,IF($C$11="36 місяців",36,60)),0,BL27-BL72)</f>
        <v>0</v>
      </c>
      <c r="BM74" s="152" t="n">
        <f aca="false">BM27-BM72</f>
        <v>1908635.68</v>
      </c>
    </row>
    <row r="75" s="186" customFormat="true" ht="12.75" hidden="false" customHeight="true" outlineLevel="0" collapsed="false">
      <c r="A75" s="1"/>
      <c r="B75" s="190" t="s">
        <v>68</v>
      </c>
      <c r="C75" s="190"/>
      <c r="D75" s="191" t="s">
        <v>68</v>
      </c>
      <c r="E75" s="191" t="s">
        <v>272</v>
      </c>
      <c r="F75" s="191" t="s">
        <v>68</v>
      </c>
      <c r="G75" s="191"/>
      <c r="H75" s="191"/>
      <c r="I75" s="191"/>
      <c r="J75" s="191"/>
      <c r="K75" s="191"/>
      <c r="L75" s="191"/>
      <c r="M75" s="191"/>
      <c r="N75" s="191"/>
      <c r="O75" s="191"/>
      <c r="P75" s="191"/>
      <c r="Q75" s="191"/>
      <c r="R75" s="191"/>
      <c r="S75" s="191"/>
      <c r="T75" s="191"/>
      <c r="U75" s="191"/>
      <c r="V75" s="191"/>
      <c r="W75" s="191"/>
      <c r="X75" s="191"/>
      <c r="Y75" s="191"/>
      <c r="Z75" s="191"/>
      <c r="AA75" s="191"/>
      <c r="AB75" s="191"/>
      <c r="AC75" s="191"/>
      <c r="AD75" s="191"/>
      <c r="AE75" s="191"/>
      <c r="AF75" s="191"/>
      <c r="AG75" s="191"/>
      <c r="AH75" s="191"/>
      <c r="AI75" s="191"/>
      <c r="AJ75" s="191"/>
      <c r="AK75" s="191"/>
      <c r="AL75" s="191"/>
      <c r="AM75" s="191"/>
      <c r="AN75" s="191"/>
      <c r="AO75" s="191"/>
      <c r="AP75" s="191"/>
      <c r="AQ75" s="191"/>
      <c r="AR75" s="191"/>
      <c r="AS75" s="191"/>
      <c r="AT75" s="191"/>
      <c r="AU75" s="191"/>
      <c r="AV75" s="191"/>
      <c r="AW75" s="191"/>
      <c r="AX75" s="191"/>
      <c r="AY75" s="191"/>
      <c r="AZ75" s="191"/>
      <c r="BA75" s="191"/>
      <c r="BB75" s="191"/>
      <c r="BC75" s="191"/>
      <c r="BD75" s="191"/>
      <c r="BE75" s="191"/>
      <c r="BF75" s="191"/>
      <c r="BG75" s="191"/>
      <c r="BH75" s="191"/>
      <c r="BI75" s="191"/>
      <c r="BJ75" s="191"/>
      <c r="BK75" s="191"/>
      <c r="BL75" s="191"/>
      <c r="BM75" s="191"/>
    </row>
    <row r="76" s="189" customFormat="true" ht="62.25" hidden="false" customHeight="true" outlineLevel="0" collapsed="false">
      <c r="A76" s="186"/>
      <c r="B76" s="187"/>
      <c r="C76" s="188" t="s">
        <v>273</v>
      </c>
      <c r="D76" s="152" t="n">
        <v>0</v>
      </c>
      <c r="E76" s="131" t="n">
        <f aca="false">IF(E$13&gt;IF($C$11="24 місяці",24,IF($C$11="36 місяців",36,60)),0,$D$76)</f>
        <v>0</v>
      </c>
      <c r="F76" s="131" t="n">
        <f aca="false">IF(F$13&gt;IF($C$11="24 місяці",24,IF($C$11="36 місяців",36,60)),0,E78)</f>
        <v>91279.8799999999</v>
      </c>
      <c r="G76" s="131" t="n">
        <f aca="false">IF(G$13&gt;IF($C$11="24 місяці",24,IF($C$11="36 місяців",36,60)),0,F78)</f>
        <v>79559.7599999999</v>
      </c>
      <c r="H76" s="131" t="n">
        <f aca="false">IF(H$13&gt;IF($C$11="24 місяці",24,IF($C$11="36 місяців",36,60)),0,G78)</f>
        <v>81939.6399999999</v>
      </c>
      <c r="I76" s="131" t="n">
        <f aca="false">IF(I$13&gt;IF($C$11="24 місяці",24,IF($C$11="36 місяців",36,60)),0,H78)</f>
        <v>74319.5199999999</v>
      </c>
      <c r="J76" s="131" t="n">
        <f aca="false">IF(J$13&gt;IF($C$11="24 місяці",24,IF($C$11="36 місяців",36,60)),0,I78)</f>
        <v>66699.3999999999</v>
      </c>
      <c r="K76" s="131" t="n">
        <f aca="false">IF(K$13&gt;IF($C$11="24 місяці",24,IF($C$11="36 місяців",36,60)),0,J78)</f>
        <v>115479.28</v>
      </c>
      <c r="L76" s="131" t="n">
        <f aca="false">IF(L$13&gt;IF($C$11="24 місяці",24,IF($C$11="36 місяців",36,60)),0,K78)</f>
        <v>166959.16</v>
      </c>
      <c r="M76" s="131" t="n">
        <f aca="false">IF(M$13&gt;IF($C$11="24 місяці",24,IF($C$11="36 місяців",36,60)),0,L78)</f>
        <v>218439.04</v>
      </c>
      <c r="N76" s="131" t="n">
        <f aca="false">IF(N$13&gt;IF($C$11="24 місяці",24,IF($C$11="36 місяців",36,60)),0,M78)</f>
        <v>284018.92</v>
      </c>
      <c r="O76" s="131" t="n">
        <f aca="false">IF(O$13&gt;IF($C$11="24 місяці",24,IF($C$11="36 місяців",36,60)),0,N78)</f>
        <v>349598.8</v>
      </c>
      <c r="P76" s="131" t="n">
        <f aca="false">IF(P$13&gt;IF($C$11="24 місяці",24,IF($C$11="36 місяців",36,60)),0,O78)</f>
        <v>415178.68</v>
      </c>
      <c r="Q76" s="131" t="n">
        <f aca="false">IF(Q$13&gt;IF($C$11="24 місяці",24,IF($C$11="36 місяців",36,60)),0,P78)</f>
        <v>482758.56</v>
      </c>
      <c r="R76" s="131" t="n">
        <f aca="false">IF(R$13&gt;IF($C$11="24 місяці",24,IF($C$11="36 місяців",36,60)),0,Q78)</f>
        <v>525438.44</v>
      </c>
      <c r="S76" s="131" t="n">
        <f aca="false">IF(S$13&gt;IF($C$11="24 місяці",24,IF($C$11="36 місяців",36,60)),0,R78)</f>
        <v>568118.32</v>
      </c>
      <c r="T76" s="131" t="n">
        <f aca="false">IF(T$13&gt;IF($C$11="24 місяці",24,IF($C$11="36 місяців",36,60)),0,S78)</f>
        <v>610798.2</v>
      </c>
      <c r="U76" s="131" t="n">
        <f aca="false">IF(U$13&gt;IF($C$11="24 місяці",24,IF($C$11="36 місяців",36,60)),0,T78)</f>
        <v>653478.08</v>
      </c>
      <c r="V76" s="131" t="n">
        <f aca="false">IF(V$13&gt;IF($C$11="24 місяці",24,IF($C$11="36 місяців",36,60)),0,U78)</f>
        <v>696157.96</v>
      </c>
      <c r="W76" s="131" t="n">
        <f aca="false">IF(W$13&gt;IF($C$11="24 місяці",24,IF($C$11="36 місяців",36,60)),0,V78)</f>
        <v>738837.84</v>
      </c>
      <c r="X76" s="131" t="n">
        <f aca="false">IF(X$13&gt;IF($C$11="24 місяці",24,IF($C$11="36 місяців",36,60)),0,W78)</f>
        <v>793617.72</v>
      </c>
      <c r="Y76" s="131" t="n">
        <f aca="false">IF(Y$13&gt;IF($C$11="24 місяці",24,IF($C$11="36 місяців",36,60)),0,X78)</f>
        <v>848397.6</v>
      </c>
      <c r="Z76" s="131" t="n">
        <f aca="false">IF(Z$13&gt;IF($C$11="24 місяці",24,IF($C$11="36 місяців",36,60)),0,Y78)</f>
        <v>903177.48</v>
      </c>
      <c r="AA76" s="131" t="n">
        <f aca="false">IF(AA$13&gt;IF($C$11="24 місяці",24,IF($C$11="36 місяців",36,60)),0,Z78)</f>
        <v>957957.36</v>
      </c>
      <c r="AB76" s="131" t="n">
        <f aca="false">IF(AB$13&gt;IF($C$11="24 місяці",24,IF($C$11="36 місяців",36,60)),0,AA78)</f>
        <v>1012737.24</v>
      </c>
      <c r="AC76" s="131" t="n">
        <f aca="false">IF(AC$13&gt;IF($C$11="24 місяці",24,IF($C$11="36 місяців",36,60)),0,AB78)</f>
        <v>1069517.12</v>
      </c>
      <c r="AD76" s="131" t="n">
        <f aca="false">IF(AD$13&gt;IF($C$11="24 місяці",24,IF($C$11="36 місяців",36,60)),0,AC78)</f>
        <v>1140277</v>
      </c>
      <c r="AE76" s="131" t="n">
        <f aca="false">IF(AE$13&gt;IF($C$11="24 місяці",24,IF($C$11="36 місяців",36,60)),0,AD78)</f>
        <v>1211036.88</v>
      </c>
      <c r="AF76" s="131" t="n">
        <f aca="false">IF(AF$13&gt;IF($C$11="24 місяці",24,IF($C$11="36 місяців",36,60)),0,AE78)</f>
        <v>1281796.76</v>
      </c>
      <c r="AG76" s="131" t="n">
        <f aca="false">IF(AG$13&gt;IF($C$11="24 місяці",24,IF($C$11="36 місяців",36,60)),0,AF78)</f>
        <v>1352556.64</v>
      </c>
      <c r="AH76" s="131" t="n">
        <f aca="false">IF(AH$13&gt;IF($C$11="24 місяці",24,IF($C$11="36 місяців",36,60)),0,AG78)</f>
        <v>1423316.52</v>
      </c>
      <c r="AI76" s="131" t="n">
        <f aca="false">IF(AI$13&gt;IF($C$11="24 місяці",24,IF($C$11="36 місяців",36,60)),0,AH78)</f>
        <v>1494076.4</v>
      </c>
      <c r="AJ76" s="131" t="n">
        <f aca="false">IF(AJ$13&gt;IF($C$11="24 місяці",24,IF($C$11="36 місяців",36,60)),0,AI78)</f>
        <v>1562836.28</v>
      </c>
      <c r="AK76" s="131" t="n">
        <f aca="false">IF(AK$13&gt;IF($C$11="24 місяці",24,IF($C$11="36 місяців",36,60)),0,AJ78)</f>
        <v>1631596.16</v>
      </c>
      <c r="AL76" s="131" t="n">
        <f aca="false">IF(AL$13&gt;IF($C$11="24 місяці",24,IF($C$11="36 місяців",36,60)),0,AK78)</f>
        <v>1700356.04</v>
      </c>
      <c r="AM76" s="131" t="n">
        <f aca="false">IF(AM$13&gt;IF($C$11="24 місяці",24,IF($C$11="36 місяців",36,60)),0,AL78)</f>
        <v>1769115.92</v>
      </c>
      <c r="AN76" s="131" t="n">
        <f aca="false">IF(AN$13&gt;IF($C$11="24 місяці",24,IF($C$11="36 місяців",36,60)),0,AM78)</f>
        <v>1837875.8</v>
      </c>
      <c r="AO76" s="131" t="n">
        <f aca="false">IF(AO$13&gt;IF($C$11="24 місяці",24,IF($C$11="36 місяців",36,60)),0,AN78)</f>
        <v>0</v>
      </c>
      <c r="AP76" s="131" t="n">
        <f aca="false">IF(AP$13&gt;IF($C$11="24 місяці",24,IF($C$11="36 місяців",36,60)),0,AO78)</f>
        <v>0</v>
      </c>
      <c r="AQ76" s="131" t="n">
        <f aca="false">IF(AQ$13&gt;IF($C$11="24 місяці",24,IF($C$11="36 місяців",36,60)),0,AP78)</f>
        <v>0</v>
      </c>
      <c r="AR76" s="131" t="n">
        <f aca="false">IF(AR$13&gt;IF($C$11="24 місяці",24,IF($C$11="36 місяців",36,60)),0,AQ78)</f>
        <v>0</v>
      </c>
      <c r="AS76" s="131" t="n">
        <f aca="false">IF(AS$13&gt;IF($C$11="24 місяці",24,IF($C$11="36 місяців",36,60)),0,AR78)</f>
        <v>0</v>
      </c>
      <c r="AT76" s="131" t="n">
        <f aca="false">IF(AT$13&gt;IF($C$11="24 місяці",24,IF($C$11="36 місяців",36,60)),0,AS78)</f>
        <v>0</v>
      </c>
      <c r="AU76" s="131" t="n">
        <f aca="false">IF(AU$13&gt;IF($C$11="24 місяці",24,IF($C$11="36 місяців",36,60)),0,AT78)</f>
        <v>0</v>
      </c>
      <c r="AV76" s="131" t="n">
        <f aca="false">IF(AV$13&gt;IF($C$11="24 місяці",24,IF($C$11="36 місяців",36,60)),0,AU78)</f>
        <v>0</v>
      </c>
      <c r="AW76" s="131" t="n">
        <f aca="false">IF(AW$13&gt;IF($C$11="24 місяці",24,IF($C$11="36 місяців",36,60)),0,AV78)</f>
        <v>0</v>
      </c>
      <c r="AX76" s="131" t="n">
        <f aca="false">IF(AX$13&gt;IF($C$11="24 місяці",24,IF($C$11="36 місяців",36,60)),0,AW78)</f>
        <v>0</v>
      </c>
      <c r="AY76" s="131" t="n">
        <f aca="false">IF(AY$13&gt;IF($C$11="24 місяці",24,IF($C$11="36 місяців",36,60)),0,AX78)</f>
        <v>0</v>
      </c>
      <c r="AZ76" s="131" t="n">
        <f aca="false">IF(AZ$13&gt;IF($C$11="24 місяці",24,IF($C$11="36 місяців",36,60)),0,AY78)</f>
        <v>0</v>
      </c>
      <c r="BA76" s="131" t="n">
        <f aca="false">IF(BA$13&gt;IF($C$11="24 місяці",24,IF($C$11="36 місяців",36,60)),0,AZ78)</f>
        <v>0</v>
      </c>
      <c r="BB76" s="131" t="n">
        <f aca="false">IF(BB$13&gt;IF($C$11="24 місяці",24,IF($C$11="36 місяців",36,60)),0,BA78)</f>
        <v>0</v>
      </c>
      <c r="BC76" s="131" t="n">
        <f aca="false">IF(BC$13&gt;IF($C$11="24 місяці",24,IF($C$11="36 місяців",36,60)),0,BB78)</f>
        <v>0</v>
      </c>
      <c r="BD76" s="131" t="n">
        <f aca="false">IF(BD$13&gt;IF($C$11="24 місяці",24,IF($C$11="36 місяців",36,60)),0,BC78)</f>
        <v>0</v>
      </c>
      <c r="BE76" s="131" t="n">
        <f aca="false">IF(BE$13&gt;IF($C$11="24 місяці",24,IF($C$11="36 місяців",36,60)),0,BD78)</f>
        <v>0</v>
      </c>
      <c r="BF76" s="131" t="n">
        <f aca="false">IF(BF$13&gt;IF($C$11="24 місяці",24,IF($C$11="36 місяців",36,60)),0,BE78)</f>
        <v>0</v>
      </c>
      <c r="BG76" s="131" t="n">
        <f aca="false">IF(BG$13&gt;IF($C$11="24 місяці",24,IF($C$11="36 місяців",36,60)),0,BF78)</f>
        <v>0</v>
      </c>
      <c r="BH76" s="131" t="n">
        <f aca="false">IF(BH$13&gt;IF($C$11="24 місяці",24,IF($C$11="36 місяців",36,60)),0,BG78)</f>
        <v>0</v>
      </c>
      <c r="BI76" s="131" t="n">
        <f aca="false">IF(BI$13&gt;IF($C$11="24 місяці",24,IF($C$11="36 місяців",36,60)),0,BH78)</f>
        <v>0</v>
      </c>
      <c r="BJ76" s="131" t="n">
        <f aca="false">IF(BJ$13&gt;IF($C$11="24 місяці",24,IF($C$11="36 місяців",36,60)),0,BI78)</f>
        <v>0</v>
      </c>
      <c r="BK76" s="131" t="n">
        <f aca="false">IF(BK$13&gt;IF($C$11="24 місяці",24,IF($C$11="36 місяців",36,60)),0,BJ78)</f>
        <v>0</v>
      </c>
      <c r="BL76" s="131" t="n">
        <f aca="false">IF(BL$13&gt;IF($C$11="24 місяці",24,IF($C$11="36 місяців",36,60)),0,BK78)</f>
        <v>0</v>
      </c>
      <c r="BM76" s="152" t="n">
        <f aca="false">IF($C$11="24 місяці",AB76,IF($C$11="36 місяців",AN76,BL76))</f>
        <v>1837875.8</v>
      </c>
    </row>
    <row r="77" s="192" customFormat="true" ht="15" hidden="false" customHeight="false" outlineLevel="0" collapsed="false">
      <c r="B77" s="193"/>
      <c r="C77" s="193"/>
      <c r="D77" s="191"/>
      <c r="E77" s="191"/>
      <c r="F77" s="191"/>
      <c r="G77" s="191"/>
      <c r="H77" s="191"/>
      <c r="I77" s="191"/>
      <c r="J77" s="191"/>
      <c r="K77" s="191"/>
      <c r="L77" s="191"/>
      <c r="M77" s="191"/>
      <c r="N77" s="191"/>
      <c r="O77" s="191"/>
      <c r="P77" s="191"/>
      <c r="Q77" s="191"/>
      <c r="R77" s="191"/>
      <c r="S77" s="191"/>
      <c r="T77" s="191"/>
      <c r="U77" s="191"/>
      <c r="V77" s="191"/>
      <c r="W77" s="191"/>
      <c r="X77" s="191"/>
      <c r="Y77" s="191"/>
      <c r="Z77" s="191"/>
      <c r="AA77" s="191"/>
      <c r="AB77" s="191"/>
      <c r="AC77" s="191"/>
      <c r="AD77" s="191"/>
      <c r="AE77" s="191"/>
      <c r="AF77" s="191"/>
      <c r="AG77" s="191"/>
      <c r="AH77" s="191"/>
      <c r="AI77" s="191"/>
      <c r="AJ77" s="191"/>
      <c r="AK77" s="191"/>
      <c r="AL77" s="191"/>
      <c r="AM77" s="191"/>
      <c r="AN77" s="191"/>
      <c r="AO77" s="191"/>
      <c r="AP77" s="191"/>
      <c r="AQ77" s="191"/>
      <c r="AR77" s="191"/>
      <c r="AS77" s="191"/>
      <c r="AT77" s="191"/>
      <c r="AU77" s="191"/>
      <c r="AV77" s="191"/>
      <c r="AW77" s="191"/>
      <c r="AX77" s="191"/>
      <c r="AY77" s="191"/>
      <c r="AZ77" s="191"/>
      <c r="BA77" s="191"/>
      <c r="BB77" s="191"/>
      <c r="BC77" s="191"/>
      <c r="BD77" s="191"/>
      <c r="BE77" s="191"/>
      <c r="BF77" s="191"/>
      <c r="BG77" s="191"/>
      <c r="BH77" s="191"/>
      <c r="BI77" s="191"/>
      <c r="BJ77" s="191"/>
      <c r="BK77" s="191"/>
      <c r="BL77" s="191"/>
      <c r="BM77" s="191"/>
    </row>
    <row r="78" s="196" customFormat="true" ht="65.25" hidden="false" customHeight="true" outlineLevel="0" collapsed="false">
      <c r="A78" s="192"/>
      <c r="B78" s="194"/>
      <c r="C78" s="195" t="s">
        <v>274</v>
      </c>
      <c r="D78" s="152" t="n">
        <f aca="false">D74+D76</f>
        <v>0</v>
      </c>
      <c r="E78" s="152" t="n">
        <f aca="false">IF(E$13&gt;IF($C$11="24 місяці",24,IF($C$11="36 місяців",36,60)),0,E74+E76)</f>
        <v>91279.8799999999</v>
      </c>
      <c r="F78" s="131" t="n">
        <f aca="false">IF(F$13&gt;IF($C$11="24 місяці",24,IF($C$11="36 місяців",36,60)),0,F74+F76)</f>
        <v>79559.7599999999</v>
      </c>
      <c r="G78" s="152" t="n">
        <f aca="false">IF(G$13&gt;IF($C$11="24 місяці",24,IF($C$11="36 місяців",36,60)),0,G74+G76)</f>
        <v>81939.6399999999</v>
      </c>
      <c r="H78" s="152" t="n">
        <f aca="false">IF(H$13&gt;IF($C$11="24 місяці",24,IF($C$11="36 місяців",36,60)),0,H74+H76)</f>
        <v>74319.5199999999</v>
      </c>
      <c r="I78" s="152" t="n">
        <f aca="false">IF(I$13&gt;IF($C$11="24 місяці",24,IF($C$11="36 місяців",36,60)),0,I74+I76)</f>
        <v>66699.3999999999</v>
      </c>
      <c r="J78" s="152" t="n">
        <f aca="false">IF(J$13&gt;IF($C$11="24 місяці",24,IF($C$11="36 місяців",36,60)),0,J74+J76)</f>
        <v>115479.28</v>
      </c>
      <c r="K78" s="152" t="n">
        <f aca="false">IF(K$13&gt;IF($C$11="24 місяці",24,IF($C$11="36 місяців",36,60)),0,K74+K76)</f>
        <v>166959.16</v>
      </c>
      <c r="L78" s="152" t="n">
        <f aca="false">IF(L$13&gt;IF($C$11="24 місяці",24,IF($C$11="36 місяців",36,60)),0,L74+L76)</f>
        <v>218439.04</v>
      </c>
      <c r="M78" s="152" t="n">
        <f aca="false">IF(M$13&gt;IF($C$11="24 місяці",24,IF($C$11="36 місяців",36,60)),0,M74+M76)</f>
        <v>284018.92</v>
      </c>
      <c r="N78" s="152" t="n">
        <f aca="false">IF(N$13&gt;IF($C$11="24 місяці",24,IF($C$11="36 місяців",36,60)),0,N74+N76)</f>
        <v>349598.8</v>
      </c>
      <c r="O78" s="152" t="n">
        <f aca="false">IF(O$13&gt;IF($C$11="24 місяці",24,IF($C$11="36 місяців",36,60)),0,O74+O76)</f>
        <v>415178.68</v>
      </c>
      <c r="P78" s="152" t="n">
        <f aca="false">IF(P$13&gt;IF($C$11="24 місяці",24,IF($C$11="36 місяців",36,60)),0,P74+P76)</f>
        <v>482758.56</v>
      </c>
      <c r="Q78" s="152" t="n">
        <f aca="false">IF(Q$13&gt;IF($C$11="24 місяці",24,IF($C$11="36 місяців",36,60)),0,Q74+Q76)</f>
        <v>525438.44</v>
      </c>
      <c r="R78" s="152" t="n">
        <f aca="false">IF(R$13&gt;IF($C$11="24 місяці",24,IF($C$11="36 місяців",36,60)),0,R74+R76)</f>
        <v>568118.32</v>
      </c>
      <c r="S78" s="152" t="n">
        <f aca="false">IF(S$13&gt;IF($C$11="24 місяці",24,IF($C$11="36 місяців",36,60)),0,S74+S76)</f>
        <v>610798.2</v>
      </c>
      <c r="T78" s="152" t="n">
        <f aca="false">IF(T$13&gt;IF($C$11="24 місяці",24,IF($C$11="36 місяців",36,60)),0,T74+T76)</f>
        <v>653478.08</v>
      </c>
      <c r="U78" s="152" t="n">
        <f aca="false">IF(U$13&gt;IF($C$11="24 місяці",24,IF($C$11="36 місяців",36,60)),0,U74+U76)</f>
        <v>696157.96</v>
      </c>
      <c r="V78" s="152" t="n">
        <f aca="false">IF(V$13&gt;IF($C$11="24 місяці",24,IF($C$11="36 місяців",36,60)),0,V74+V76)</f>
        <v>738837.84</v>
      </c>
      <c r="W78" s="152" t="n">
        <f aca="false">IF(W$13&gt;IF($C$11="24 місяці",24,IF($C$11="36 місяців",36,60)),0,W74+W76)</f>
        <v>793617.72</v>
      </c>
      <c r="X78" s="152" t="n">
        <f aca="false">IF(X$13&gt;IF($C$11="24 місяці",24,IF($C$11="36 місяців",36,60)),0,X74+X76)</f>
        <v>848397.6</v>
      </c>
      <c r="Y78" s="152" t="n">
        <f aca="false">IF(Y$13&gt;IF($C$11="24 місяці",24,IF($C$11="36 місяців",36,60)),0,Y74+Y76)</f>
        <v>903177.48</v>
      </c>
      <c r="Z78" s="152" t="n">
        <f aca="false">IF(Z$13&gt;IF($C$11="24 місяці",24,IF($C$11="36 місяців",36,60)),0,Z74+Z76)</f>
        <v>957957.36</v>
      </c>
      <c r="AA78" s="152" t="n">
        <f aca="false">IF(AA$13&gt;IF($C$11="24 місяці",24,IF($C$11="36 місяців",36,60)),0,AA74+AA76)</f>
        <v>1012737.24</v>
      </c>
      <c r="AB78" s="152" t="n">
        <f aca="false">IF(AB$13&gt;IF($C$11="24 місяці",24,IF($C$11="36 місяців",36,60)),0,AB74+AB76)</f>
        <v>1069517.12</v>
      </c>
      <c r="AC78" s="152" t="n">
        <f aca="false">IF(AC$13&gt;IF($C$11="24 місяці",24,IF($C$11="36 місяців",36,60)),0,AC74+AC76)</f>
        <v>1140277</v>
      </c>
      <c r="AD78" s="152" t="n">
        <f aca="false">IF(AD$13&gt;IF($C$11="24 місяці",24,IF($C$11="36 місяців",36,60)),0,AD74+AD76)</f>
        <v>1211036.88</v>
      </c>
      <c r="AE78" s="152" t="n">
        <f aca="false">IF(AE$13&gt;IF($C$11="24 місяці",24,IF($C$11="36 місяців",36,60)),0,AE74+AE76)</f>
        <v>1281796.76</v>
      </c>
      <c r="AF78" s="152" t="n">
        <f aca="false">IF(AF$13&gt;IF($C$11="24 місяці",24,IF($C$11="36 місяців",36,60)),0,AF74+AF76)</f>
        <v>1352556.64</v>
      </c>
      <c r="AG78" s="152" t="n">
        <f aca="false">IF(AG$13&gt;IF($C$11="24 місяці",24,IF($C$11="36 місяців",36,60)),0,AG74+AG76)</f>
        <v>1423316.52</v>
      </c>
      <c r="AH78" s="152" t="n">
        <f aca="false">IF(AH$13&gt;IF($C$11="24 місяці",24,IF($C$11="36 місяців",36,60)),0,AH74+AH76)</f>
        <v>1494076.4</v>
      </c>
      <c r="AI78" s="152" t="n">
        <f aca="false">IF(AI$13&gt;IF($C$11="24 місяці",24,IF($C$11="36 місяців",36,60)),0,AI74+AI76)</f>
        <v>1562836.28</v>
      </c>
      <c r="AJ78" s="152" t="n">
        <f aca="false">IF(AJ$13&gt;IF($C$11="24 місяці",24,IF($C$11="36 місяців",36,60)),0,AJ74+AJ76)</f>
        <v>1631596.16</v>
      </c>
      <c r="AK78" s="152" t="n">
        <f aca="false">IF(AK$13&gt;IF($C$11="24 місяці",24,IF($C$11="36 місяців",36,60)),0,AK74+AK76)</f>
        <v>1700356.04</v>
      </c>
      <c r="AL78" s="152" t="n">
        <f aca="false">IF(AL$13&gt;IF($C$11="24 місяці",24,IF($C$11="36 місяців",36,60)),0,AL74+AL76)</f>
        <v>1769115.92</v>
      </c>
      <c r="AM78" s="152" t="n">
        <f aca="false">IF(AM$13&gt;IF($C$11="24 місяці",24,IF($C$11="36 місяців",36,60)),0,AM74+AM76)</f>
        <v>1837875.8</v>
      </c>
      <c r="AN78" s="152" t="n">
        <f aca="false">IF(AN$13&gt;IF($C$11="24 місяці",24,IF($C$11="36 місяців",36,60)),0,AN74+AN76)</f>
        <v>1908635.68</v>
      </c>
      <c r="AO78" s="152" t="n">
        <f aca="false">IF(AO$13&gt;IF($C$11="24 місяці",24,IF($C$11="36 місяців",36,60)),0,AO74+AO76)</f>
        <v>0</v>
      </c>
      <c r="AP78" s="152" t="n">
        <f aca="false">IF(AP$13&gt;IF($C$11="24 місяці",24,IF($C$11="36 місяців",36,60)),0,AP74+AP76)</f>
        <v>0</v>
      </c>
      <c r="AQ78" s="152" t="n">
        <f aca="false">IF(AQ$13&gt;IF($C$11="24 місяці",24,IF($C$11="36 місяців",36,60)),0,AQ74+AQ76)</f>
        <v>0</v>
      </c>
      <c r="AR78" s="152" t="n">
        <f aca="false">IF(AR$13&gt;IF($C$11="24 місяці",24,IF($C$11="36 місяців",36,60)),0,AR74+AR76)</f>
        <v>0</v>
      </c>
      <c r="AS78" s="152" t="n">
        <f aca="false">IF(AS$13&gt;IF($C$11="24 місяці",24,IF($C$11="36 місяців",36,60)),0,AS74+AS76)</f>
        <v>0</v>
      </c>
      <c r="AT78" s="152" t="n">
        <f aca="false">IF(AT$13&gt;IF($C$11="24 місяці",24,IF($C$11="36 місяців",36,60)),0,AT74+AT76)</f>
        <v>0</v>
      </c>
      <c r="AU78" s="152" t="n">
        <f aca="false">IF(AU$13&gt;IF($C$11="24 місяці",24,IF($C$11="36 місяців",36,60)),0,AU74+AU76)</f>
        <v>0</v>
      </c>
      <c r="AV78" s="152" t="n">
        <f aca="false">IF(AV$13&gt;IF($C$11="24 місяці",24,IF($C$11="36 місяців",36,60)),0,AV74+AV76)</f>
        <v>0</v>
      </c>
      <c r="AW78" s="152" t="n">
        <f aca="false">IF(AW$13&gt;IF($C$11="24 місяці",24,IF($C$11="36 місяців",36,60)),0,AW74+AW76)</f>
        <v>0</v>
      </c>
      <c r="AX78" s="152" t="n">
        <f aca="false">IF(AX$13&gt;IF($C$11="24 місяці",24,IF($C$11="36 місяців",36,60)),0,AX74+AX76)</f>
        <v>0</v>
      </c>
      <c r="AY78" s="152" t="n">
        <f aca="false">IF(AY$13&gt;IF($C$11="24 місяці",24,IF($C$11="36 місяців",36,60)),0,AY74+AY76)</f>
        <v>0</v>
      </c>
      <c r="AZ78" s="152" t="n">
        <f aca="false">IF(AZ$13&gt;IF($C$11="24 місяці",24,IF($C$11="36 місяців",36,60)),0,AZ74+AZ76)</f>
        <v>0</v>
      </c>
      <c r="BA78" s="152" t="n">
        <f aca="false">IF(BA$13&gt;IF($C$11="24 місяці",24,IF($C$11="36 місяців",36,60)),0,BA74+BA76)</f>
        <v>0</v>
      </c>
      <c r="BB78" s="152" t="n">
        <f aca="false">IF(BB$13&gt;IF($C$11="24 місяці",24,IF($C$11="36 місяців",36,60)),0,BB74+BB76)</f>
        <v>0</v>
      </c>
      <c r="BC78" s="152" t="n">
        <f aca="false">IF(BC$13&gt;IF($C$11="24 місяці",24,IF($C$11="36 місяців",36,60)),0,BC74+BC76)</f>
        <v>0</v>
      </c>
      <c r="BD78" s="152" t="n">
        <f aca="false">IF(BD$13&gt;IF($C$11="24 місяці",24,IF($C$11="36 місяців",36,60)),0,BD74+BD76)</f>
        <v>0</v>
      </c>
      <c r="BE78" s="152" t="n">
        <f aca="false">IF(BE$13&gt;IF($C$11="24 місяці",24,IF($C$11="36 місяців",36,60)),0,BE74+BE76)</f>
        <v>0</v>
      </c>
      <c r="BF78" s="152" t="n">
        <f aca="false">IF(BF$13&gt;IF($C$11="24 місяці",24,IF($C$11="36 місяців",36,60)),0,BF74+BF76)</f>
        <v>0</v>
      </c>
      <c r="BG78" s="152" t="n">
        <f aca="false">IF(BG$13&gt;IF($C$11="24 місяці",24,IF($C$11="36 місяців",36,60)),0,BG74+BG76)</f>
        <v>0</v>
      </c>
      <c r="BH78" s="152" t="n">
        <f aca="false">IF(BH$13&gt;IF($C$11="24 місяці",24,IF($C$11="36 місяців",36,60)),0,BH74+BH76)</f>
        <v>0</v>
      </c>
      <c r="BI78" s="152" t="n">
        <f aca="false">IF(BI$13&gt;IF($C$11="24 місяці",24,IF($C$11="36 місяців",36,60)),0,BI74+BI76)</f>
        <v>0</v>
      </c>
      <c r="BJ78" s="152" t="n">
        <f aca="false">IF(BJ$13&gt;IF($C$11="24 місяці",24,IF($C$11="36 місяців",36,60)),0,BJ74+BJ76)</f>
        <v>0</v>
      </c>
      <c r="BK78" s="152" t="n">
        <f aca="false">IF(BK$13&gt;IF($C$11="24 місяці",24,IF($C$11="36 місяців",36,60)),0,BK74+BK76)</f>
        <v>0</v>
      </c>
      <c r="BL78" s="152" t="n">
        <f aca="false">IF(BL$13&gt;IF($C$11="24 місяці",24,IF($C$11="36 місяців",36,60)),0,BL74+BL76)</f>
        <v>0</v>
      </c>
      <c r="BM78" s="152" t="n">
        <f aca="false">IF($C$11="24 місяці",AB78,IF($C$11="36 місяців",AN78,BL78))</f>
        <v>1908635.68</v>
      </c>
    </row>
    <row r="79" customFormat="false" ht="16.5" hidden="false" customHeight="true" outlineLevel="0" collapsed="false">
      <c r="A79" s="96"/>
      <c r="D79" s="197"/>
      <c r="E79" s="197"/>
      <c r="F79" s="197"/>
      <c r="G79" s="197"/>
      <c r="H79" s="197"/>
      <c r="I79" s="197"/>
      <c r="J79" s="197"/>
      <c r="K79" s="197"/>
      <c r="L79" s="197"/>
      <c r="M79" s="197"/>
      <c r="N79" s="197"/>
      <c r="O79" s="197"/>
      <c r="P79" s="197"/>
      <c r="Q79" s="197"/>
      <c r="R79" s="197"/>
      <c r="S79" s="197"/>
      <c r="T79" s="197"/>
      <c r="U79" s="197"/>
      <c r="V79" s="197"/>
      <c r="W79" s="197"/>
      <c r="X79" s="197"/>
      <c r="Y79" s="197"/>
      <c r="Z79" s="197"/>
      <c r="AA79" s="197"/>
      <c r="AB79" s="197"/>
      <c r="AC79" s="197"/>
      <c r="AD79" s="197"/>
      <c r="AE79" s="197"/>
      <c r="AF79" s="197"/>
      <c r="AG79" s="197"/>
      <c r="AH79" s="197"/>
      <c r="AI79" s="197"/>
      <c r="AJ79" s="197"/>
      <c r="AK79" s="197"/>
      <c r="AL79" s="197"/>
      <c r="AM79" s="197"/>
      <c r="AN79" s="197"/>
      <c r="AO79" s="197"/>
      <c r="AP79" s="197"/>
      <c r="AQ79" s="197"/>
      <c r="AR79" s="197"/>
      <c r="AS79" s="197"/>
      <c r="AT79" s="197"/>
      <c r="AU79" s="197"/>
      <c r="AV79" s="197"/>
      <c r="AW79" s="197"/>
      <c r="AX79" s="197"/>
      <c r="AY79" s="197"/>
      <c r="AZ79" s="197"/>
      <c r="BA79" s="197"/>
      <c r="BB79" s="197"/>
      <c r="BC79" s="197"/>
      <c r="BD79" s="197"/>
      <c r="BE79" s="197"/>
      <c r="BF79" s="197"/>
      <c r="BG79" s="197"/>
      <c r="BH79" s="197"/>
      <c r="BI79" s="197"/>
      <c r="BJ79" s="197"/>
      <c r="BK79" s="197"/>
      <c r="BL79" s="197"/>
      <c r="BM79" s="197"/>
      <c r="BN79" s="96"/>
      <c r="BO79" s="96"/>
      <c r="BP79" s="96"/>
      <c r="BQ79" s="96"/>
      <c r="BR79" s="96"/>
      <c r="BS79" s="96"/>
      <c r="BT79" s="96"/>
      <c r="BU79" s="96"/>
      <c r="BV79" s="96"/>
      <c r="BW79" s="96"/>
      <c r="BX79" s="96"/>
      <c r="BY79" s="96"/>
      <c r="BZ79" s="96"/>
      <c r="CA79" s="96"/>
      <c r="CB79" s="96"/>
      <c r="CC79" s="96"/>
      <c r="CD79" s="96"/>
      <c r="CE79" s="96"/>
      <c r="CF79" s="96"/>
      <c r="CG79" s="96"/>
    </row>
    <row r="80" customFormat="false" ht="16.5" hidden="false" customHeight="true" outlineLevel="0" collapsed="false">
      <c r="A80" s="96"/>
      <c r="BN80" s="96"/>
      <c r="BO80" s="96"/>
      <c r="BP80" s="96"/>
      <c r="BQ80" s="96"/>
      <c r="BR80" s="96"/>
      <c r="BS80" s="96"/>
      <c r="BT80" s="96"/>
      <c r="BU80" s="96"/>
      <c r="BV80" s="96"/>
      <c r="BW80" s="96"/>
      <c r="BX80" s="96"/>
      <c r="BY80" s="96"/>
      <c r="BZ80" s="96"/>
      <c r="CA80" s="96"/>
      <c r="CB80" s="96"/>
      <c r="CC80" s="96"/>
      <c r="CD80" s="96"/>
      <c r="CE80" s="96"/>
      <c r="CF80" s="96"/>
      <c r="CG80" s="96"/>
    </row>
    <row r="81" s="96" customFormat="true" ht="18" hidden="false" customHeight="true" outlineLevel="0" collapsed="false">
      <c r="A81" s="162"/>
      <c r="B81" s="48"/>
      <c r="C81" s="198" t="s">
        <v>275</v>
      </c>
      <c r="D81" s="198"/>
      <c r="E81" s="198"/>
      <c r="F81" s="198"/>
      <c r="G81" s="198"/>
      <c r="H81" s="198"/>
      <c r="I81" s="198"/>
      <c r="J81" s="198"/>
      <c r="K81" s="198"/>
      <c r="L81" s="198"/>
      <c r="M81" s="198"/>
      <c r="N81" s="48"/>
      <c r="O81" s="48"/>
      <c r="P81" s="48"/>
      <c r="Q81" s="48"/>
      <c r="R81" s="48"/>
      <c r="S81" s="48"/>
      <c r="T81" s="48"/>
      <c r="U81" s="48"/>
      <c r="V81" s="48"/>
      <c r="W81" s="48"/>
      <c r="X81" s="48"/>
      <c r="Y81" s="48"/>
      <c r="Z81" s="48"/>
      <c r="AA81" s="48"/>
      <c r="AB81" s="48"/>
      <c r="AC81" s="48"/>
      <c r="AD81" s="48"/>
      <c r="AE81" s="48"/>
      <c r="AF81" s="48"/>
      <c r="AG81" s="48"/>
      <c r="AH81" s="48"/>
      <c r="AI81" s="48"/>
      <c r="AJ81" s="48"/>
      <c r="AK81" s="48"/>
      <c r="AL81" s="16"/>
      <c r="AM81" s="16"/>
      <c r="AN81" s="16"/>
      <c r="AO81" s="16"/>
      <c r="AP81" s="16"/>
      <c r="AQ81" s="16"/>
      <c r="AR81" s="16"/>
      <c r="AS81" s="16"/>
      <c r="AT81" s="16"/>
      <c r="AU81" s="16"/>
      <c r="AV81" s="16"/>
      <c r="AW81" s="16"/>
      <c r="AX81" s="16"/>
      <c r="AY81" s="16"/>
      <c r="AZ81" s="16"/>
      <c r="BA81" s="16"/>
      <c r="BB81" s="16"/>
      <c r="BC81" s="16"/>
      <c r="BD81" s="16"/>
      <c r="BE81" s="16"/>
      <c r="BF81" s="16"/>
      <c r="BG81" s="16"/>
      <c r="BH81" s="16"/>
      <c r="BI81" s="16"/>
      <c r="BJ81" s="16"/>
      <c r="BK81" s="16"/>
      <c r="BL81" s="16"/>
      <c r="BM81" s="95"/>
    </row>
    <row r="82" s="96" customFormat="true" ht="18" hidden="false" customHeight="true" outlineLevel="0" collapsed="false">
      <c r="A82" s="162"/>
      <c r="B82" s="48"/>
      <c r="C82" s="199" t="s">
        <v>276</v>
      </c>
      <c r="D82" s="199"/>
      <c r="E82" s="199"/>
      <c r="F82" s="199"/>
      <c r="G82" s="199"/>
      <c r="H82" s="199"/>
      <c r="I82" s="199"/>
      <c r="J82" s="199"/>
      <c r="K82" s="199"/>
      <c r="L82" s="199"/>
      <c r="M82" s="199"/>
      <c r="N82" s="48"/>
      <c r="O82" s="48"/>
      <c r="P82" s="48"/>
      <c r="Q82" s="48"/>
      <c r="R82" s="48"/>
      <c r="S82" s="48"/>
      <c r="T82" s="48"/>
      <c r="U82" s="48"/>
      <c r="V82" s="48"/>
      <c r="W82" s="48"/>
      <c r="X82" s="48"/>
      <c r="Y82" s="48"/>
      <c r="Z82" s="48"/>
      <c r="AA82" s="48"/>
      <c r="AB82" s="48"/>
      <c r="AC82" s="48"/>
      <c r="AD82" s="48"/>
      <c r="AE82" s="48"/>
      <c r="AF82" s="48"/>
      <c r="AG82" s="48"/>
      <c r="AH82" s="48"/>
      <c r="AI82" s="48"/>
      <c r="AJ82" s="48"/>
      <c r="AK82" s="48"/>
      <c r="AL82" s="16"/>
      <c r="AM82" s="16"/>
      <c r="AN82" s="16"/>
      <c r="AO82" s="16"/>
      <c r="AP82" s="16"/>
      <c r="AQ82" s="16"/>
      <c r="AR82" s="16"/>
      <c r="AS82" s="16"/>
      <c r="AT82" s="16"/>
      <c r="AU82" s="16"/>
      <c r="AV82" s="16"/>
      <c r="AW82" s="16"/>
      <c r="AX82" s="16"/>
      <c r="AY82" s="16"/>
      <c r="AZ82" s="16"/>
      <c r="BA82" s="16"/>
      <c r="BB82" s="16"/>
      <c r="BC82" s="16"/>
      <c r="BD82" s="16"/>
      <c r="BE82" s="16"/>
      <c r="BF82" s="16"/>
      <c r="BG82" s="16"/>
      <c r="BH82" s="16"/>
      <c r="BI82" s="16"/>
      <c r="BJ82" s="16"/>
      <c r="BK82" s="16"/>
      <c r="BL82" s="16"/>
      <c r="BM82" s="95"/>
    </row>
    <row r="83" s="96" customFormat="true" ht="26.25" hidden="false" customHeight="true" outlineLevel="0" collapsed="false">
      <c r="A83" s="162"/>
      <c r="B83" s="48"/>
      <c r="C83" s="200"/>
      <c r="D83" s="200"/>
      <c r="E83" s="200"/>
      <c r="F83" s="200"/>
      <c r="G83" s="200"/>
      <c r="H83" s="200"/>
      <c r="I83" s="200"/>
      <c r="J83" s="200"/>
      <c r="K83" s="200"/>
      <c r="L83" s="200"/>
      <c r="M83" s="200"/>
      <c r="N83" s="48"/>
      <c r="O83" s="48"/>
      <c r="P83" s="48"/>
      <c r="Q83" s="48"/>
      <c r="R83" s="48"/>
      <c r="S83" s="48"/>
      <c r="T83" s="48"/>
      <c r="U83" s="48"/>
      <c r="V83" s="48"/>
      <c r="W83" s="48"/>
      <c r="X83" s="48"/>
      <c r="Y83" s="48"/>
      <c r="Z83" s="48"/>
      <c r="AA83" s="48"/>
      <c r="AB83" s="48"/>
      <c r="AC83" s="48"/>
      <c r="AD83" s="48"/>
      <c r="AE83" s="48"/>
      <c r="AF83" s="48"/>
      <c r="AG83" s="48"/>
      <c r="AH83" s="48"/>
      <c r="AI83" s="48"/>
      <c r="AJ83" s="48"/>
      <c r="AK83" s="48"/>
      <c r="AL83" s="16"/>
      <c r="AM83" s="16"/>
      <c r="AN83" s="16"/>
      <c r="AO83" s="16"/>
      <c r="AP83" s="16"/>
      <c r="AQ83" s="16"/>
      <c r="AR83" s="16"/>
      <c r="AS83" s="16"/>
      <c r="AT83" s="16"/>
      <c r="AU83" s="16"/>
      <c r="AV83" s="16"/>
      <c r="AW83" s="16"/>
      <c r="AX83" s="16"/>
      <c r="AY83" s="16"/>
      <c r="AZ83" s="16"/>
      <c r="BA83" s="16"/>
      <c r="BB83" s="16"/>
      <c r="BC83" s="16"/>
      <c r="BD83" s="16"/>
      <c r="BE83" s="16"/>
      <c r="BF83" s="16"/>
      <c r="BG83" s="16"/>
      <c r="BH83" s="16"/>
      <c r="BI83" s="16"/>
      <c r="BJ83" s="16"/>
      <c r="BK83" s="16"/>
      <c r="BL83" s="16"/>
      <c r="BM83" s="95"/>
    </row>
    <row r="84" customFormat="false" ht="8.25" hidden="false" customHeight="true" outlineLevel="0" collapsed="false">
      <c r="A84" s="96"/>
      <c r="BN84" s="96"/>
      <c r="BO84" s="96"/>
      <c r="BP84" s="96"/>
      <c r="BQ84" s="96"/>
      <c r="BR84" s="96"/>
      <c r="BS84" s="96"/>
      <c r="BT84" s="96"/>
      <c r="BU84" s="96"/>
      <c r="BV84" s="96"/>
      <c r="BW84" s="96"/>
      <c r="BX84" s="96"/>
      <c r="BY84" s="96"/>
      <c r="BZ84" s="96"/>
      <c r="CA84" s="96"/>
      <c r="CB84" s="96"/>
      <c r="CC84" s="96"/>
      <c r="CD84" s="96"/>
      <c r="CE84" s="96"/>
      <c r="CF84" s="96"/>
      <c r="CG84" s="96"/>
    </row>
    <row r="85" customFormat="false" ht="8.25" hidden="false" customHeight="true" outlineLevel="0" collapsed="false">
      <c r="A85" s="96"/>
      <c r="B85" s="16" t="s">
        <v>277</v>
      </c>
      <c r="BN85" s="96"/>
      <c r="BO85" s="96"/>
      <c r="BP85" s="96"/>
      <c r="BQ85" s="96"/>
      <c r="BR85" s="96"/>
      <c r="BS85" s="96"/>
      <c r="BT85" s="96"/>
      <c r="BU85" s="96"/>
      <c r="BV85" s="96"/>
      <c r="BW85" s="96"/>
      <c r="BX85" s="96"/>
      <c r="BY85" s="96"/>
      <c r="BZ85" s="96"/>
      <c r="CA85" s="96"/>
      <c r="CB85" s="96"/>
      <c r="CC85" s="96"/>
      <c r="CD85" s="96"/>
      <c r="CE85" s="96"/>
      <c r="CF85" s="96"/>
      <c r="CG85" s="96"/>
    </row>
    <row r="86" customFormat="false" ht="8.25" hidden="false" customHeight="true" outlineLevel="0" collapsed="false">
      <c r="A86" s="96"/>
      <c r="B86" s="16" t="s">
        <v>278</v>
      </c>
      <c r="BN86" s="96"/>
      <c r="BO86" s="96"/>
      <c r="BP86" s="96"/>
      <c r="BQ86" s="96"/>
      <c r="BR86" s="96"/>
      <c r="BS86" s="96"/>
      <c r="BT86" s="96"/>
      <c r="BU86" s="96"/>
      <c r="BV86" s="96"/>
      <c r="BW86" s="96"/>
      <c r="BX86" s="96"/>
      <c r="BY86" s="96"/>
      <c r="BZ86" s="96"/>
      <c r="CA86" s="96"/>
      <c r="CB86" s="96"/>
      <c r="CC86" s="96"/>
      <c r="CD86" s="96"/>
      <c r="CE86" s="96"/>
      <c r="CF86" s="96"/>
      <c r="CG86" s="96"/>
    </row>
    <row r="87" customFormat="false" ht="8.25" hidden="false" customHeight="true" outlineLevel="0" collapsed="false">
      <c r="A87" s="96"/>
      <c r="B87" s="16" t="s">
        <v>279</v>
      </c>
      <c r="BN87" s="96"/>
      <c r="BO87" s="96"/>
      <c r="BP87" s="96"/>
      <c r="BQ87" s="96"/>
      <c r="BR87" s="96"/>
      <c r="BS87" s="96"/>
      <c r="BT87" s="96"/>
      <c r="BU87" s="96"/>
      <c r="BV87" s="96"/>
      <c r="BW87" s="96"/>
      <c r="BX87" s="96"/>
      <c r="BY87" s="96"/>
      <c r="BZ87" s="96"/>
      <c r="CA87" s="96"/>
      <c r="CB87" s="96"/>
      <c r="CC87" s="96"/>
      <c r="CD87" s="96"/>
      <c r="CE87" s="96"/>
      <c r="CF87" s="96"/>
      <c r="CG87" s="96"/>
    </row>
    <row r="88" customFormat="false" ht="16.5" hidden="false" customHeight="true" outlineLevel="0" collapsed="false">
      <c r="A88" s="201" t="s">
        <v>4</v>
      </c>
      <c r="B88" s="202" t="s">
        <v>280</v>
      </c>
      <c r="C88" s="202"/>
      <c r="D88" s="202"/>
      <c r="E88" s="202"/>
      <c r="F88" s="202"/>
      <c r="G88" s="202"/>
      <c r="H88" s="202"/>
      <c r="I88" s="202"/>
      <c r="J88" s="202"/>
      <c r="K88" s="202"/>
      <c r="BN88" s="96"/>
      <c r="BO88" s="96"/>
      <c r="BP88" s="96"/>
      <c r="BQ88" s="96"/>
      <c r="BR88" s="96"/>
      <c r="BS88" s="96"/>
      <c r="BT88" s="96"/>
      <c r="BU88" s="96"/>
      <c r="BV88" s="96"/>
      <c r="BW88" s="96"/>
      <c r="BX88" s="96"/>
      <c r="BY88" s="96"/>
      <c r="BZ88" s="96"/>
      <c r="CA88" s="96"/>
      <c r="CB88" s="96"/>
      <c r="CC88" s="96"/>
      <c r="CD88" s="96"/>
      <c r="CE88" s="96"/>
      <c r="CF88" s="96"/>
      <c r="CG88" s="96"/>
    </row>
    <row r="89" customFormat="false" ht="19.5" hidden="false" customHeight="true" outlineLevel="0" collapsed="false">
      <c r="A89" s="201" t="s">
        <v>281</v>
      </c>
      <c r="B89" s="202" t="s">
        <v>282</v>
      </c>
      <c r="C89" s="202"/>
      <c r="D89" s="202"/>
      <c r="E89" s="202"/>
      <c r="BN89" s="96"/>
      <c r="BO89" s="96"/>
      <c r="BP89" s="96"/>
      <c r="BQ89" s="96"/>
      <c r="BR89" s="96"/>
      <c r="BS89" s="96"/>
      <c r="BT89" s="96"/>
      <c r="BU89" s="96"/>
      <c r="BV89" s="96"/>
      <c r="BW89" s="96"/>
      <c r="BX89" s="96"/>
      <c r="BY89" s="96"/>
      <c r="BZ89" s="96"/>
      <c r="CA89" s="96"/>
      <c r="CB89" s="96"/>
      <c r="CC89" s="96"/>
      <c r="CD89" s="96"/>
      <c r="CE89" s="96"/>
      <c r="CF89" s="96"/>
      <c r="CG89" s="96"/>
    </row>
    <row r="90" customFormat="false" ht="19.5" hidden="false" customHeight="true" outlineLevel="0" collapsed="false">
      <c r="A90" s="201" t="s">
        <v>283</v>
      </c>
      <c r="B90" s="202" t="s">
        <v>284</v>
      </c>
      <c r="C90" s="202"/>
      <c r="D90" s="202"/>
      <c r="E90" s="202"/>
      <c r="F90" s="202"/>
      <c r="G90" s="202"/>
      <c r="H90" s="202"/>
      <c r="I90" s="202"/>
      <c r="J90" s="202"/>
      <c r="K90" s="202"/>
      <c r="BN90" s="96"/>
      <c r="BO90" s="96"/>
      <c r="BP90" s="96"/>
      <c r="BQ90" s="96"/>
      <c r="BR90" s="96"/>
      <c r="BS90" s="96"/>
      <c r="BT90" s="96"/>
      <c r="BU90" s="96"/>
      <c r="BV90" s="96"/>
      <c r="BW90" s="96"/>
      <c r="BX90" s="96"/>
      <c r="BY90" s="96"/>
      <c r="BZ90" s="96"/>
      <c r="CA90" s="96"/>
      <c r="CB90" s="96"/>
      <c r="CC90" s="96"/>
      <c r="CD90" s="96"/>
      <c r="CE90" s="96"/>
      <c r="CF90" s="96"/>
      <c r="CG90" s="96"/>
    </row>
    <row r="91" customFormat="false" ht="61.5" hidden="false" customHeight="true" outlineLevel="0" collapsed="false">
      <c r="A91" s="201" t="s">
        <v>68</v>
      </c>
      <c r="B91" s="203" t="s">
        <v>285</v>
      </c>
      <c r="C91" s="203"/>
      <c r="D91" s="203"/>
      <c r="E91" s="203"/>
      <c r="F91" s="203"/>
      <c r="G91" s="203"/>
      <c r="H91" s="203"/>
      <c r="I91" s="203"/>
      <c r="J91" s="203"/>
      <c r="K91" s="203"/>
      <c r="L91" s="203"/>
      <c r="M91" s="203"/>
      <c r="N91" s="203"/>
      <c r="O91" s="203"/>
      <c r="P91" s="203"/>
      <c r="Q91" s="203"/>
      <c r="R91" s="203"/>
      <c r="S91" s="203"/>
      <c r="T91" s="204"/>
      <c r="U91" s="204"/>
      <c r="V91" s="204"/>
      <c r="W91" s="204"/>
      <c r="X91" s="204"/>
      <c r="Y91" s="204"/>
      <c r="Z91" s="204"/>
      <c r="AA91" s="204"/>
      <c r="AB91" s="204"/>
      <c r="AC91" s="204"/>
      <c r="AD91" s="204"/>
      <c r="AE91" s="204"/>
      <c r="AF91" s="204"/>
      <c r="AG91" s="204"/>
      <c r="AH91" s="204"/>
      <c r="AI91" s="204"/>
      <c r="AJ91" s="204"/>
      <c r="AK91" s="204"/>
      <c r="AL91" s="204"/>
      <c r="AM91" s="204"/>
      <c r="AN91" s="204"/>
      <c r="AO91" s="204"/>
      <c r="AP91" s="204"/>
      <c r="AQ91" s="204"/>
      <c r="AR91" s="204"/>
      <c r="AS91" s="204"/>
      <c r="AT91" s="204"/>
      <c r="AU91" s="204"/>
      <c r="AV91" s="204"/>
      <c r="AW91" s="204"/>
      <c r="AX91" s="204"/>
      <c r="AY91" s="204"/>
      <c r="AZ91" s="204"/>
      <c r="BA91" s="204"/>
      <c r="BB91" s="204"/>
      <c r="BC91" s="204"/>
      <c r="BD91" s="204"/>
      <c r="BE91" s="204"/>
      <c r="BF91" s="204"/>
      <c r="BG91" s="204"/>
      <c r="BH91" s="204"/>
      <c r="BI91" s="204"/>
      <c r="BJ91" s="204"/>
      <c r="BK91" s="204"/>
      <c r="BL91" s="204"/>
      <c r="BM91" s="204"/>
      <c r="BN91" s="96"/>
      <c r="BO91" s="96"/>
      <c r="BP91" s="96"/>
      <c r="BQ91" s="96"/>
      <c r="BR91" s="96"/>
      <c r="BS91" s="96"/>
      <c r="BT91" s="96"/>
      <c r="BU91" s="96"/>
      <c r="BV91" s="96"/>
      <c r="BW91" s="96"/>
      <c r="BX91" s="96"/>
      <c r="BY91" s="96"/>
      <c r="BZ91" s="96"/>
      <c r="CA91" s="96"/>
      <c r="CB91" s="96"/>
      <c r="CC91" s="96"/>
      <c r="CD91" s="96"/>
      <c r="CE91" s="96"/>
      <c r="CF91" s="96"/>
      <c r="CG91" s="96"/>
    </row>
    <row r="92" customFormat="false" ht="24" hidden="false" customHeight="true" outlineLevel="0" collapsed="false">
      <c r="A92" s="96"/>
      <c r="B92" s="202" t="s">
        <v>286</v>
      </c>
      <c r="C92" s="202"/>
      <c r="D92" s="202"/>
      <c r="E92" s="202"/>
      <c r="F92" s="202"/>
      <c r="G92" s="202"/>
      <c r="H92" s="202"/>
      <c r="BN92" s="96"/>
      <c r="BO92" s="96"/>
      <c r="BP92" s="96"/>
      <c r="BQ92" s="96"/>
      <c r="BR92" s="96"/>
      <c r="BS92" s="96"/>
      <c r="BT92" s="96"/>
      <c r="BU92" s="96"/>
      <c r="BV92" s="96"/>
      <c r="BW92" s="96"/>
      <c r="BX92" s="96"/>
      <c r="BY92" s="96"/>
      <c r="BZ92" s="96"/>
      <c r="CA92" s="96"/>
      <c r="CB92" s="96"/>
      <c r="CC92" s="96"/>
      <c r="CD92" s="96"/>
      <c r="CE92" s="96"/>
      <c r="CF92" s="96"/>
      <c r="CG92" s="96"/>
    </row>
    <row r="93" customFormat="false" ht="8.25" hidden="false" customHeight="true" outlineLevel="0" collapsed="false">
      <c r="A93" s="96"/>
      <c r="BN93" s="96"/>
      <c r="BO93" s="96"/>
      <c r="BP93" s="96"/>
      <c r="BQ93" s="96"/>
      <c r="BR93" s="96"/>
      <c r="BS93" s="96"/>
      <c r="BT93" s="96"/>
      <c r="BU93" s="96"/>
      <c r="BV93" s="96"/>
      <c r="BW93" s="96"/>
      <c r="BX93" s="96"/>
      <c r="BY93" s="96"/>
      <c r="BZ93" s="96"/>
      <c r="CA93" s="96"/>
      <c r="CB93" s="96"/>
      <c r="CC93" s="96"/>
      <c r="CD93" s="96"/>
      <c r="CE93" s="96"/>
      <c r="CF93" s="96"/>
      <c r="CG93" s="96"/>
    </row>
    <row r="94" customFormat="false" ht="8.25" hidden="false" customHeight="true" outlineLevel="0" collapsed="false">
      <c r="A94" s="96"/>
      <c r="BN94" s="96"/>
      <c r="BO94" s="96"/>
      <c r="BP94" s="96"/>
      <c r="BQ94" s="96"/>
      <c r="BR94" s="96"/>
      <c r="BS94" s="96"/>
      <c r="BT94" s="96"/>
      <c r="BU94" s="96"/>
      <c r="BV94" s="96"/>
      <c r="BW94" s="96"/>
      <c r="BX94" s="96"/>
      <c r="BY94" s="96"/>
      <c r="BZ94" s="96"/>
      <c r="CA94" s="96"/>
      <c r="CB94" s="96"/>
      <c r="CC94" s="96"/>
      <c r="CD94" s="96"/>
      <c r="CE94" s="96"/>
      <c r="CF94" s="96"/>
      <c r="CG94" s="96"/>
    </row>
    <row r="95" customFormat="false" ht="8.25" hidden="false" customHeight="true" outlineLevel="0" collapsed="false">
      <c r="A95" s="96"/>
      <c r="BN95" s="96"/>
      <c r="BO95" s="96"/>
      <c r="BP95" s="96"/>
      <c r="BQ95" s="96"/>
      <c r="BR95" s="96"/>
      <c r="BS95" s="96"/>
      <c r="BT95" s="96"/>
      <c r="BU95" s="96"/>
      <c r="BV95" s="96"/>
      <c r="BW95" s="96"/>
      <c r="BX95" s="96"/>
      <c r="BY95" s="96"/>
      <c r="BZ95" s="96"/>
      <c r="CA95" s="96"/>
      <c r="CB95" s="96"/>
      <c r="CC95" s="96"/>
      <c r="CD95" s="96"/>
      <c r="CE95" s="96"/>
      <c r="CF95" s="96"/>
      <c r="CG95" s="96"/>
    </row>
    <row r="96" customFormat="false" ht="8.25" hidden="false" customHeight="true" outlineLevel="0" collapsed="false">
      <c r="A96" s="96"/>
      <c r="BN96" s="96"/>
      <c r="BO96" s="96"/>
      <c r="BP96" s="96"/>
      <c r="BQ96" s="96"/>
      <c r="BR96" s="96"/>
      <c r="BS96" s="96"/>
      <c r="BT96" s="96"/>
      <c r="BU96" s="96"/>
      <c r="BV96" s="96"/>
      <c r="BW96" s="96"/>
      <c r="BX96" s="96"/>
      <c r="BY96" s="96"/>
      <c r="BZ96" s="96"/>
      <c r="CA96" s="96"/>
      <c r="CB96" s="96"/>
      <c r="CC96" s="96"/>
      <c r="CD96" s="96"/>
      <c r="CE96" s="96"/>
      <c r="CF96" s="96"/>
      <c r="CG96" s="96"/>
    </row>
    <row r="97" customFormat="false" ht="8.25" hidden="false" customHeight="true" outlineLevel="0" collapsed="false">
      <c r="A97" s="96"/>
      <c r="BN97" s="96"/>
      <c r="BO97" s="96"/>
      <c r="BP97" s="96"/>
      <c r="BQ97" s="96"/>
      <c r="BR97" s="96"/>
      <c r="BS97" s="96"/>
      <c r="BT97" s="96"/>
      <c r="BU97" s="96"/>
      <c r="BV97" s="96"/>
      <c r="BW97" s="96"/>
      <c r="BX97" s="96"/>
      <c r="BY97" s="96"/>
      <c r="BZ97" s="96"/>
      <c r="CA97" s="96"/>
      <c r="CB97" s="96"/>
      <c r="CC97" s="96"/>
      <c r="CD97" s="96"/>
      <c r="CE97" s="96"/>
      <c r="CF97" s="96"/>
      <c r="CG97" s="96"/>
    </row>
    <row r="98" customFormat="false" ht="8.25" hidden="false" customHeight="true" outlineLevel="0" collapsed="false">
      <c r="A98" s="96"/>
      <c r="BN98" s="96"/>
      <c r="BO98" s="96"/>
      <c r="BP98" s="96"/>
      <c r="BQ98" s="96"/>
      <c r="BR98" s="96"/>
      <c r="BS98" s="96"/>
      <c r="BT98" s="96"/>
      <c r="BU98" s="96"/>
      <c r="BV98" s="96"/>
      <c r="BW98" s="96"/>
      <c r="BX98" s="96"/>
      <c r="BY98" s="96"/>
      <c r="BZ98" s="96"/>
      <c r="CA98" s="96"/>
      <c r="CB98" s="96"/>
      <c r="CC98" s="96"/>
      <c r="CD98" s="96"/>
      <c r="CE98" s="96"/>
      <c r="CF98" s="96"/>
      <c r="CG98" s="96"/>
    </row>
    <row r="99" customFormat="false" ht="8.25" hidden="false" customHeight="true" outlineLevel="0" collapsed="false">
      <c r="A99" s="96"/>
      <c r="BN99" s="96"/>
      <c r="BO99" s="96"/>
      <c r="BP99" s="96"/>
      <c r="BQ99" s="96"/>
      <c r="BR99" s="96"/>
      <c r="BS99" s="96"/>
      <c r="BT99" s="96"/>
      <c r="BU99" s="96"/>
      <c r="BV99" s="96"/>
      <c r="BW99" s="96"/>
      <c r="BX99" s="96"/>
      <c r="BY99" s="96"/>
      <c r="BZ99" s="96"/>
      <c r="CA99" s="96"/>
      <c r="CB99" s="96"/>
      <c r="CC99" s="96"/>
      <c r="CD99" s="96"/>
      <c r="CE99" s="96"/>
      <c r="CF99" s="96"/>
      <c r="CG99" s="96"/>
    </row>
    <row r="100" customFormat="false" ht="8.25" hidden="false" customHeight="true" outlineLevel="0" collapsed="false">
      <c r="A100" s="96"/>
      <c r="BN100" s="96"/>
      <c r="BO100" s="96"/>
      <c r="BP100" s="96"/>
      <c r="BQ100" s="96"/>
      <c r="BR100" s="96"/>
      <c r="BS100" s="96"/>
      <c r="BT100" s="96"/>
      <c r="BU100" s="96"/>
      <c r="BV100" s="96"/>
      <c r="BW100" s="96"/>
      <c r="BX100" s="96"/>
      <c r="BY100" s="96"/>
      <c r="BZ100" s="96"/>
      <c r="CA100" s="96"/>
      <c r="CB100" s="96"/>
      <c r="CC100" s="96"/>
      <c r="CD100" s="96"/>
      <c r="CE100" s="96"/>
      <c r="CF100" s="96"/>
      <c r="CG100" s="96"/>
    </row>
    <row r="101" customFormat="false" ht="8.25" hidden="false" customHeight="true" outlineLevel="0" collapsed="false">
      <c r="A101" s="96"/>
      <c r="BN101" s="96"/>
      <c r="BO101" s="96"/>
      <c r="BP101" s="96"/>
      <c r="BQ101" s="96"/>
      <c r="BR101" s="96"/>
      <c r="BS101" s="96"/>
      <c r="BT101" s="96"/>
      <c r="BU101" s="96"/>
      <c r="BV101" s="96"/>
      <c r="BW101" s="96"/>
      <c r="BX101" s="96"/>
      <c r="BY101" s="96"/>
      <c r="BZ101" s="96"/>
      <c r="CA101" s="96"/>
      <c r="CB101" s="96"/>
      <c r="CC101" s="96"/>
      <c r="CD101" s="96"/>
      <c r="CE101" s="96"/>
      <c r="CF101" s="96"/>
      <c r="CG101" s="96"/>
    </row>
    <row r="102" customFormat="false" ht="8.25" hidden="false" customHeight="true" outlineLevel="0" collapsed="false">
      <c r="A102" s="96"/>
      <c r="BN102" s="96"/>
      <c r="BO102" s="96"/>
      <c r="BP102" s="96"/>
      <c r="BQ102" s="96"/>
      <c r="BR102" s="96"/>
      <c r="BS102" s="96"/>
      <c r="BT102" s="96"/>
      <c r="BU102" s="96"/>
      <c r="BV102" s="96"/>
      <c r="BW102" s="96"/>
      <c r="BX102" s="96"/>
      <c r="BY102" s="96"/>
      <c r="BZ102" s="96"/>
      <c r="CA102" s="96"/>
      <c r="CB102" s="96"/>
      <c r="CC102" s="96"/>
      <c r="CD102" s="96"/>
      <c r="CE102" s="96"/>
      <c r="CF102" s="96"/>
      <c r="CG102" s="96"/>
    </row>
    <row r="103" customFormat="false" ht="8.25" hidden="false" customHeight="true" outlineLevel="0" collapsed="false">
      <c r="A103" s="96"/>
      <c r="BN103" s="96"/>
      <c r="BO103" s="96"/>
      <c r="BP103" s="96"/>
      <c r="BQ103" s="96"/>
      <c r="BR103" s="96"/>
      <c r="BS103" s="96"/>
      <c r="BT103" s="96"/>
      <c r="BU103" s="96"/>
      <c r="BV103" s="96"/>
      <c r="BW103" s="96"/>
      <c r="BX103" s="96"/>
      <c r="BY103" s="96"/>
      <c r="BZ103" s="96"/>
      <c r="CA103" s="96"/>
      <c r="CB103" s="96"/>
      <c r="CC103" s="96"/>
      <c r="CD103" s="96"/>
      <c r="CE103" s="96"/>
      <c r="CF103" s="96"/>
      <c r="CG103" s="96"/>
    </row>
    <row r="104" customFormat="false" ht="8.25" hidden="false" customHeight="true" outlineLevel="0" collapsed="false">
      <c r="A104" s="96"/>
      <c r="BN104" s="96"/>
      <c r="BO104" s="96"/>
      <c r="BP104" s="96"/>
      <c r="BQ104" s="96"/>
      <c r="BR104" s="96"/>
      <c r="BS104" s="96"/>
      <c r="BT104" s="96"/>
      <c r="BU104" s="96"/>
      <c r="BV104" s="96"/>
      <c r="BW104" s="96"/>
      <c r="BX104" s="96"/>
      <c r="BY104" s="96"/>
      <c r="BZ104" s="96"/>
      <c r="CA104" s="96"/>
      <c r="CB104" s="96"/>
      <c r="CC104" s="96"/>
      <c r="CD104" s="96"/>
      <c r="CE104" s="96"/>
      <c r="CF104" s="96"/>
      <c r="CG104" s="96"/>
    </row>
    <row r="105" customFormat="false" ht="8.25" hidden="false" customHeight="true" outlineLevel="0" collapsed="false">
      <c r="A105" s="96"/>
      <c r="BN105" s="96"/>
      <c r="BO105" s="96"/>
      <c r="BP105" s="96"/>
      <c r="BQ105" s="96"/>
      <c r="BR105" s="96"/>
      <c r="BS105" s="96"/>
      <c r="BT105" s="96"/>
      <c r="BU105" s="96"/>
      <c r="BV105" s="96"/>
      <c r="BW105" s="96"/>
      <c r="BX105" s="96"/>
      <c r="BY105" s="96"/>
      <c r="BZ105" s="96"/>
      <c r="CA105" s="96"/>
      <c r="CB105" s="96"/>
      <c r="CC105" s="96"/>
      <c r="CD105" s="96"/>
      <c r="CE105" s="96"/>
      <c r="CF105" s="96"/>
      <c r="CG105" s="96"/>
    </row>
    <row r="106" customFormat="false" ht="8.25" hidden="false" customHeight="true" outlineLevel="0" collapsed="false">
      <c r="A106" s="96"/>
      <c r="BN106" s="96"/>
      <c r="BO106" s="96"/>
      <c r="BP106" s="96"/>
      <c r="BQ106" s="96"/>
      <c r="BR106" s="96"/>
      <c r="BS106" s="96"/>
      <c r="BT106" s="96"/>
      <c r="BU106" s="96"/>
      <c r="BV106" s="96"/>
      <c r="BW106" s="96"/>
      <c r="BX106" s="96"/>
      <c r="BY106" s="96"/>
      <c r="BZ106" s="96"/>
      <c r="CA106" s="96"/>
      <c r="CB106" s="96"/>
      <c r="CC106" s="96"/>
      <c r="CD106" s="96"/>
      <c r="CE106" s="96"/>
      <c r="CF106" s="96"/>
      <c r="CG106" s="96"/>
    </row>
    <row r="107" customFormat="false" ht="8.25" hidden="false" customHeight="true" outlineLevel="0" collapsed="false">
      <c r="A107" s="96"/>
      <c r="BN107" s="96"/>
      <c r="BO107" s="96"/>
      <c r="BP107" s="96"/>
      <c r="BQ107" s="96"/>
      <c r="BR107" s="96"/>
      <c r="BS107" s="96"/>
      <c r="BT107" s="96"/>
      <c r="BU107" s="96"/>
      <c r="BV107" s="96"/>
      <c r="BW107" s="96"/>
      <c r="BX107" s="96"/>
      <c r="BY107" s="96"/>
      <c r="BZ107" s="96"/>
      <c r="CA107" s="96"/>
      <c r="CB107" s="96"/>
      <c r="CC107" s="96"/>
      <c r="CD107" s="96"/>
      <c r="CE107" s="96"/>
      <c r="CF107" s="96"/>
      <c r="CG107" s="96"/>
    </row>
    <row r="108" customFormat="false" ht="8.25" hidden="false" customHeight="true" outlineLevel="0" collapsed="false"/>
    <row r="109" customFormat="false" ht="8.25" hidden="false" customHeight="true" outlineLevel="0" collapsed="false"/>
    <row r="110" customFormat="false" ht="8.25" hidden="false" customHeight="true" outlineLevel="0" collapsed="false"/>
    <row r="111" customFormat="false" ht="8.25" hidden="false" customHeight="true" outlineLevel="0" collapsed="false"/>
    <row r="112" customFormat="false" ht="8.25" hidden="false" customHeight="true" outlineLevel="0" collapsed="false"/>
    <row r="113" customFormat="false" ht="8.25" hidden="false" customHeight="true" outlineLevel="0" collapsed="false"/>
    <row r="114" customFormat="false" ht="8.25" hidden="false" customHeight="true" outlineLevel="0" collapsed="false"/>
    <row r="115" customFormat="false" ht="8.25" hidden="false" customHeight="true" outlineLevel="0" collapsed="false"/>
    <row r="116" customFormat="false" ht="8.25" hidden="false" customHeight="true" outlineLevel="0" collapsed="false"/>
    <row r="117" customFormat="false" ht="8.25" hidden="false" customHeight="true" outlineLevel="0" collapsed="false"/>
    <row r="118" customFormat="false" ht="8.25" hidden="false" customHeight="true" outlineLevel="0" collapsed="false"/>
    <row r="119" customFormat="false" ht="8.25" hidden="false" customHeight="true" outlineLevel="0" collapsed="false"/>
    <row r="120" customFormat="false" ht="8.25" hidden="false" customHeight="true" outlineLevel="0" collapsed="false"/>
    <row r="121" customFormat="false" ht="8.25" hidden="false" customHeight="true" outlineLevel="0" collapsed="false"/>
    <row r="122" customFormat="false" ht="8.25" hidden="false" customHeight="true" outlineLevel="0" collapsed="false"/>
    <row r="123" customFormat="false" ht="8.25" hidden="false" customHeight="true" outlineLevel="0" collapsed="false"/>
    <row r="124" customFormat="false" ht="8.25" hidden="false" customHeight="true" outlineLevel="0" collapsed="false"/>
    <row r="125" customFormat="false" ht="8.25" hidden="false" customHeight="true" outlineLevel="0" collapsed="false"/>
    <row r="126" customFormat="false" ht="8.25" hidden="false" customHeight="true" outlineLevel="0" collapsed="false"/>
    <row r="127" customFormat="false" ht="8.25" hidden="false" customHeight="true" outlineLevel="0" collapsed="false"/>
    <row r="128" customFormat="false" ht="8.25" hidden="false" customHeight="true" outlineLevel="0" collapsed="false"/>
    <row r="129" customFormat="false" ht="8.25" hidden="false" customHeight="true" outlineLevel="0" collapsed="false"/>
    <row r="130" customFormat="false" ht="8.25" hidden="false" customHeight="true" outlineLevel="0" collapsed="false"/>
    <row r="131" customFormat="false" ht="8.25" hidden="false" customHeight="true" outlineLevel="0" collapsed="false"/>
    <row r="132" customFormat="false" ht="8.25" hidden="false" customHeight="true" outlineLevel="0" collapsed="false"/>
    <row r="133" customFormat="false" ht="8.25" hidden="false" customHeight="true" outlineLevel="0" collapsed="false"/>
    <row r="134" customFormat="false" ht="8.25" hidden="false" customHeight="true" outlineLevel="0" collapsed="false"/>
    <row r="135" customFormat="false" ht="8.25" hidden="false" customHeight="true" outlineLevel="0" collapsed="false"/>
    <row r="136" customFormat="false" ht="8.25" hidden="false" customHeight="true" outlineLevel="0" collapsed="false"/>
    <row r="137" customFormat="false" ht="8.25" hidden="false" customHeight="true" outlineLevel="0" collapsed="false"/>
    <row r="138" customFormat="false" ht="8.25" hidden="false" customHeight="true" outlineLevel="0" collapsed="false"/>
    <row r="139" customFormat="false" ht="8.25" hidden="false" customHeight="true" outlineLevel="0" collapsed="false"/>
    <row r="140" customFormat="false" ht="8.25" hidden="false" customHeight="true" outlineLevel="0" collapsed="false"/>
    <row r="141" customFormat="false" ht="8.25" hidden="false" customHeight="true" outlineLevel="0" collapsed="false"/>
    <row r="142" customFormat="false" ht="8.25" hidden="false" customHeight="true" outlineLevel="0" collapsed="false"/>
    <row r="143" customFormat="false" ht="8.25" hidden="false" customHeight="true" outlineLevel="0" collapsed="false"/>
    <row r="144" customFormat="false" ht="8.25" hidden="false" customHeight="true" outlineLevel="0" collapsed="false"/>
    <row r="145" customFormat="false" ht="8.25" hidden="false" customHeight="true" outlineLevel="0" collapsed="false"/>
    <row r="146" customFormat="false" ht="8.25" hidden="false" customHeight="true" outlineLevel="0" collapsed="false"/>
    <row r="147" customFormat="false" ht="8.25" hidden="false" customHeight="true" outlineLevel="0" collapsed="false"/>
    <row r="148" customFormat="false" ht="8.25" hidden="false" customHeight="true" outlineLevel="0" collapsed="false"/>
    <row r="149" customFormat="false" ht="8.25" hidden="false" customHeight="true" outlineLevel="0" collapsed="false"/>
    <row r="150" customFormat="false" ht="8.25" hidden="false" customHeight="true" outlineLevel="0" collapsed="false"/>
    <row r="151" customFormat="false" ht="8.25" hidden="false" customHeight="true" outlineLevel="0" collapsed="false"/>
    <row r="152" customFormat="false" ht="8.25" hidden="false" customHeight="true" outlineLevel="0" collapsed="false"/>
    <row r="153" customFormat="false" ht="8.25" hidden="false" customHeight="true" outlineLevel="0" collapsed="false"/>
    <row r="154" customFormat="false" ht="8.25" hidden="false" customHeight="true" outlineLevel="0" collapsed="false"/>
    <row r="155" customFormat="false" ht="8.25" hidden="false" customHeight="true" outlineLevel="0" collapsed="false"/>
    <row r="156" customFormat="false" ht="8.25" hidden="false" customHeight="true" outlineLevel="0" collapsed="false"/>
    <row r="157" customFormat="false" ht="8.25" hidden="false" customHeight="true" outlineLevel="0" collapsed="false"/>
    <row r="158" customFormat="false" ht="8.25" hidden="false" customHeight="true" outlineLevel="0" collapsed="false"/>
    <row r="159" customFormat="false" ht="8.25" hidden="false" customHeight="true" outlineLevel="0" collapsed="false"/>
    <row r="160" customFormat="false" ht="8.25" hidden="false" customHeight="true" outlineLevel="0" collapsed="false"/>
    <row r="161" customFormat="false" ht="8.25" hidden="false" customHeight="true" outlineLevel="0" collapsed="false"/>
    <row r="162" customFormat="false" ht="8.25" hidden="false" customHeight="true" outlineLevel="0" collapsed="false"/>
    <row r="163" customFormat="false" ht="8.25" hidden="false" customHeight="true" outlineLevel="0" collapsed="false"/>
    <row r="164" customFormat="false" ht="8.25" hidden="false" customHeight="true" outlineLevel="0" collapsed="false"/>
    <row r="165" customFormat="false" ht="8.25" hidden="false" customHeight="true" outlineLevel="0" collapsed="false"/>
    <row r="166" customFormat="false" ht="8.25" hidden="false" customHeight="true" outlineLevel="0" collapsed="false"/>
    <row r="167" customFormat="false" ht="8.25" hidden="false" customHeight="true" outlineLevel="0" collapsed="false"/>
    <row r="168" customFormat="false" ht="8.25" hidden="false" customHeight="true" outlineLevel="0" collapsed="false"/>
    <row r="169" customFormat="false" ht="8.25" hidden="false" customHeight="true" outlineLevel="0" collapsed="false"/>
    <row r="170" customFormat="false" ht="8.25" hidden="false" customHeight="true" outlineLevel="0" collapsed="false"/>
    <row r="171" customFormat="false" ht="8.25" hidden="false" customHeight="true" outlineLevel="0" collapsed="false"/>
    <row r="172" customFormat="false" ht="8.25" hidden="false" customHeight="true" outlineLevel="0" collapsed="false"/>
    <row r="173" customFormat="false" ht="8.25" hidden="false" customHeight="true" outlineLevel="0" collapsed="false"/>
    <row r="174" customFormat="false" ht="8.25" hidden="false" customHeight="true" outlineLevel="0" collapsed="false"/>
    <row r="175" customFormat="false" ht="8.25" hidden="false" customHeight="true" outlineLevel="0" collapsed="false"/>
    <row r="176" customFormat="false" ht="8.25" hidden="false" customHeight="true" outlineLevel="0" collapsed="false"/>
    <row r="177" customFormat="false" ht="8.25" hidden="false" customHeight="true" outlineLevel="0" collapsed="false"/>
    <row r="178" customFormat="false" ht="8.25" hidden="false" customHeight="true" outlineLevel="0" collapsed="false"/>
    <row r="179" customFormat="false" ht="8.25" hidden="false" customHeight="true" outlineLevel="0" collapsed="false"/>
    <row r="180" customFormat="false" ht="8.25" hidden="false" customHeight="true" outlineLevel="0" collapsed="false"/>
    <row r="181" customFormat="false" ht="8.25" hidden="false" customHeight="true" outlineLevel="0" collapsed="false"/>
    <row r="182" customFormat="false" ht="8.25" hidden="false" customHeight="true" outlineLevel="0" collapsed="false"/>
    <row r="183" customFormat="false" ht="8.25" hidden="false" customHeight="true" outlineLevel="0" collapsed="false"/>
    <row r="184" customFormat="false" ht="8.25" hidden="false" customHeight="true" outlineLevel="0" collapsed="false"/>
    <row r="185" customFormat="false" ht="8.25" hidden="false" customHeight="true" outlineLevel="0" collapsed="false"/>
    <row r="186" customFormat="false" ht="8.25" hidden="false" customHeight="true" outlineLevel="0" collapsed="false"/>
    <row r="187" customFormat="false" ht="8.25" hidden="false" customHeight="true" outlineLevel="0" collapsed="false"/>
    <row r="188" customFormat="false" ht="8.25" hidden="false" customHeight="true" outlineLevel="0" collapsed="false"/>
    <row r="189" customFormat="false" ht="8.25" hidden="false" customHeight="true" outlineLevel="0" collapsed="false"/>
    <row r="190" customFormat="false" ht="8.25" hidden="false" customHeight="true" outlineLevel="0" collapsed="false"/>
    <row r="191" customFormat="false" ht="8.25" hidden="false" customHeight="true" outlineLevel="0" collapsed="false"/>
    <row r="192" customFormat="false" ht="8.25" hidden="false" customHeight="true" outlineLevel="0" collapsed="false"/>
    <row r="193" customFormat="false" ht="8.25" hidden="false" customHeight="true" outlineLevel="0" collapsed="false"/>
    <row r="194" customFormat="false" ht="8.25" hidden="false" customHeight="true" outlineLevel="0" collapsed="false"/>
    <row r="195" customFormat="false" ht="8.25" hidden="false" customHeight="true" outlineLevel="0" collapsed="false"/>
    <row r="196" customFormat="false" ht="8.25" hidden="false" customHeight="true" outlineLevel="0" collapsed="false"/>
    <row r="197" customFormat="false" ht="8.25" hidden="false" customHeight="true" outlineLevel="0" collapsed="false"/>
    <row r="198" customFormat="false" ht="8.25" hidden="false" customHeight="true" outlineLevel="0" collapsed="false"/>
    <row r="199" customFormat="false" ht="8.25" hidden="false" customHeight="true" outlineLevel="0" collapsed="false"/>
    <row r="200" customFormat="false" ht="8.25" hidden="false" customHeight="true" outlineLevel="0" collapsed="false"/>
    <row r="201" customFormat="false" ht="8.25" hidden="false" customHeight="true" outlineLevel="0" collapsed="false"/>
    <row r="202" customFormat="false" ht="8.25" hidden="false" customHeight="true" outlineLevel="0" collapsed="false"/>
    <row r="203" customFormat="false" ht="8.25" hidden="false" customHeight="true" outlineLevel="0" collapsed="false"/>
    <row r="204" customFormat="false" ht="8.25" hidden="false" customHeight="true" outlineLevel="0" collapsed="false"/>
    <row r="205" customFormat="false" ht="8.25" hidden="false" customHeight="true" outlineLevel="0" collapsed="false"/>
    <row r="206" customFormat="false" ht="8.25" hidden="false" customHeight="true" outlineLevel="0" collapsed="false"/>
    <row r="207" customFormat="false" ht="8.25" hidden="false" customHeight="true" outlineLevel="0" collapsed="false"/>
    <row r="208" customFormat="false" ht="8.25" hidden="false" customHeight="true" outlineLevel="0" collapsed="false"/>
    <row r="209" customFormat="false" ht="8.25" hidden="false" customHeight="true" outlineLevel="0" collapsed="false"/>
    <row r="210" customFormat="false" ht="8.25" hidden="false" customHeight="true" outlineLevel="0" collapsed="false"/>
    <row r="211" customFormat="false" ht="8.25" hidden="false" customHeight="true" outlineLevel="0" collapsed="false"/>
    <row r="212" customFormat="false" ht="8.25" hidden="false" customHeight="true" outlineLevel="0" collapsed="false"/>
    <row r="213" customFormat="false" ht="8.25" hidden="false" customHeight="true" outlineLevel="0" collapsed="false"/>
    <row r="214" customFormat="false" ht="8.25" hidden="false" customHeight="true" outlineLevel="0" collapsed="false"/>
    <row r="215" customFormat="false" ht="8.25" hidden="false" customHeight="true" outlineLevel="0" collapsed="false"/>
    <row r="216" customFormat="false" ht="8.25" hidden="false" customHeight="true" outlineLevel="0" collapsed="false"/>
    <row r="217" customFormat="false" ht="8.25" hidden="false" customHeight="true" outlineLevel="0" collapsed="false"/>
    <row r="218" customFormat="false" ht="8.25" hidden="false" customHeight="true" outlineLevel="0" collapsed="false"/>
    <row r="219" customFormat="false" ht="8.25" hidden="false" customHeight="true" outlineLevel="0" collapsed="false"/>
    <row r="220" customFormat="false" ht="8.25" hidden="false" customHeight="true" outlineLevel="0" collapsed="false"/>
    <row r="221" customFormat="false" ht="8.25" hidden="false" customHeight="true" outlineLevel="0" collapsed="false"/>
    <row r="222" customFormat="false" ht="8.25" hidden="false" customHeight="true" outlineLevel="0" collapsed="false"/>
    <row r="223" customFormat="false" ht="8.25" hidden="false" customHeight="true" outlineLevel="0" collapsed="false"/>
    <row r="224" customFormat="false" ht="8.25" hidden="false" customHeight="true" outlineLevel="0" collapsed="false"/>
    <row r="225" customFormat="false" ht="8.25" hidden="false" customHeight="true" outlineLevel="0" collapsed="false"/>
    <row r="226" customFormat="false" ht="8.25" hidden="false" customHeight="true" outlineLevel="0" collapsed="false"/>
    <row r="227" customFormat="false" ht="8.25" hidden="false" customHeight="true" outlineLevel="0" collapsed="false"/>
    <row r="228" customFormat="false" ht="8.25" hidden="false" customHeight="true" outlineLevel="0" collapsed="false"/>
    <row r="229" customFormat="false" ht="8.25" hidden="false" customHeight="true" outlineLevel="0" collapsed="false"/>
    <row r="230" customFormat="false" ht="8.25" hidden="false" customHeight="true" outlineLevel="0" collapsed="false"/>
    <row r="231" customFormat="false" ht="8.25" hidden="false" customHeight="true" outlineLevel="0" collapsed="false"/>
    <row r="232" customFormat="false" ht="8.25" hidden="false" customHeight="true" outlineLevel="0" collapsed="false"/>
    <row r="233" customFormat="false" ht="8.25" hidden="false" customHeight="true" outlineLevel="0" collapsed="false"/>
    <row r="234" customFormat="false" ht="8.25" hidden="false" customHeight="true" outlineLevel="0" collapsed="false"/>
    <row r="235" customFormat="false" ht="8.25" hidden="false" customHeight="true" outlineLevel="0" collapsed="false"/>
    <row r="236" customFormat="false" ht="8.25" hidden="false" customHeight="true" outlineLevel="0" collapsed="false"/>
    <row r="237" customFormat="false" ht="8.25" hidden="false" customHeight="true" outlineLevel="0" collapsed="false"/>
    <row r="238" customFormat="false" ht="8.25" hidden="false" customHeight="true" outlineLevel="0" collapsed="false"/>
    <row r="239" customFormat="false" ht="8.25" hidden="false" customHeight="true" outlineLevel="0" collapsed="false"/>
    <row r="240" customFormat="false" ht="8.25" hidden="false" customHeight="true" outlineLevel="0" collapsed="false"/>
    <row r="241" customFormat="false" ht="8.25" hidden="false" customHeight="true" outlineLevel="0" collapsed="false"/>
    <row r="242" customFormat="false" ht="8.25" hidden="false" customHeight="true" outlineLevel="0" collapsed="false"/>
    <row r="243" customFormat="false" ht="8.25" hidden="false" customHeight="true" outlineLevel="0" collapsed="false"/>
    <row r="244" customFormat="false" ht="8.25" hidden="false" customHeight="true" outlineLevel="0" collapsed="false"/>
    <row r="245" customFormat="false" ht="8.25" hidden="false" customHeight="true" outlineLevel="0" collapsed="false"/>
    <row r="246" customFormat="false" ht="8.25" hidden="false" customHeight="true" outlineLevel="0" collapsed="false"/>
    <row r="247" customFormat="false" ht="8.25" hidden="false" customHeight="true" outlineLevel="0" collapsed="false"/>
    <row r="248" customFormat="false" ht="8.25" hidden="false" customHeight="true" outlineLevel="0" collapsed="false"/>
    <row r="249" customFormat="false" ht="8.25" hidden="false" customHeight="true" outlineLevel="0" collapsed="false"/>
    <row r="250" customFormat="false" ht="8.25" hidden="false" customHeight="true" outlineLevel="0" collapsed="false"/>
    <row r="251" customFormat="false" ht="8.25" hidden="false" customHeight="true" outlineLevel="0" collapsed="false"/>
    <row r="252" customFormat="false" ht="8.25" hidden="false" customHeight="true" outlineLevel="0" collapsed="false"/>
    <row r="253" customFormat="false" ht="8.25" hidden="false" customHeight="true" outlineLevel="0" collapsed="false"/>
    <row r="254" customFormat="false" ht="8.25" hidden="false" customHeight="true" outlineLevel="0" collapsed="false"/>
    <row r="255" customFormat="false" ht="8.25" hidden="false" customHeight="true" outlineLevel="0" collapsed="false"/>
    <row r="256" customFormat="false" ht="8.25" hidden="false" customHeight="true" outlineLevel="0" collapsed="false"/>
    <row r="257" customFormat="false" ht="8.25" hidden="false" customHeight="true" outlineLevel="0" collapsed="false"/>
    <row r="258" customFormat="false" ht="8.25" hidden="false" customHeight="true" outlineLevel="0" collapsed="false"/>
    <row r="259" customFormat="false" ht="8.25" hidden="false" customHeight="true" outlineLevel="0" collapsed="false"/>
    <row r="260" customFormat="false" ht="8.25" hidden="false" customHeight="true" outlineLevel="0" collapsed="false"/>
    <row r="261" customFormat="false" ht="8.25" hidden="false" customHeight="true" outlineLevel="0" collapsed="false"/>
    <row r="262" customFormat="false" ht="8.25" hidden="false" customHeight="true" outlineLevel="0" collapsed="false"/>
    <row r="263" customFormat="false" ht="8.25" hidden="false" customHeight="true" outlineLevel="0" collapsed="false"/>
    <row r="264" customFormat="false" ht="8.25" hidden="false" customHeight="true" outlineLevel="0" collapsed="false"/>
    <row r="265" customFormat="false" ht="8.25" hidden="false" customHeight="true" outlineLevel="0" collapsed="false"/>
    <row r="266" customFormat="false" ht="8.25" hidden="false" customHeight="true" outlineLevel="0" collapsed="false"/>
    <row r="267" customFormat="false" ht="8.25" hidden="false" customHeight="true" outlineLevel="0" collapsed="false"/>
    <row r="268" customFormat="false" ht="8.25" hidden="false" customHeight="true" outlineLevel="0" collapsed="false"/>
    <row r="269" customFormat="false" ht="8.25" hidden="false" customHeight="true" outlineLevel="0" collapsed="false"/>
    <row r="270" customFormat="false" ht="8.25" hidden="false" customHeight="true" outlineLevel="0" collapsed="false"/>
    <row r="271" customFormat="false" ht="8.25" hidden="false" customHeight="true" outlineLevel="0" collapsed="false"/>
    <row r="272" customFormat="false" ht="8.25" hidden="false" customHeight="true" outlineLevel="0" collapsed="false"/>
    <row r="273" customFormat="false" ht="8.25" hidden="false" customHeight="true" outlineLevel="0" collapsed="false"/>
    <row r="274" customFormat="false" ht="8.25" hidden="false" customHeight="true" outlineLevel="0" collapsed="false"/>
    <row r="275" customFormat="false" ht="8.25" hidden="false" customHeight="true" outlineLevel="0" collapsed="false"/>
    <row r="276" customFormat="false" ht="8.25" hidden="false" customHeight="true" outlineLevel="0" collapsed="false"/>
    <row r="277" customFormat="false" ht="8.25" hidden="false" customHeight="true" outlineLevel="0" collapsed="false"/>
    <row r="278" customFormat="false" ht="8.25" hidden="false" customHeight="true" outlineLevel="0" collapsed="false"/>
    <row r="279" customFormat="false" ht="8.25" hidden="false" customHeight="true" outlineLevel="0" collapsed="false"/>
    <row r="280" customFormat="false" ht="8.25" hidden="false" customHeight="true" outlineLevel="0" collapsed="false"/>
    <row r="281" customFormat="false" ht="8.25" hidden="false" customHeight="true" outlineLevel="0" collapsed="false"/>
    <row r="282" customFormat="false" ht="8.25" hidden="false" customHeight="true" outlineLevel="0" collapsed="false"/>
    <row r="283" customFormat="false" ht="8.25" hidden="false" customHeight="true" outlineLevel="0" collapsed="false"/>
    <row r="284" customFormat="false" ht="8.25" hidden="false" customHeight="true" outlineLevel="0" collapsed="false"/>
    <row r="285" customFormat="false" ht="8.25" hidden="false" customHeight="true" outlineLevel="0" collapsed="false"/>
    <row r="286" customFormat="false" ht="8.25" hidden="false" customHeight="true" outlineLevel="0" collapsed="false"/>
    <row r="287" customFormat="false" ht="8.25" hidden="false" customHeight="true" outlineLevel="0" collapsed="false"/>
    <row r="288" customFormat="false" ht="8.25" hidden="false" customHeight="true" outlineLevel="0" collapsed="false"/>
    <row r="289" customFormat="false" ht="8.25" hidden="false" customHeight="true" outlineLevel="0" collapsed="false"/>
    <row r="290" customFormat="false" ht="8.25" hidden="false" customHeight="true" outlineLevel="0" collapsed="false"/>
    <row r="291" customFormat="false" ht="8.25" hidden="false" customHeight="true" outlineLevel="0" collapsed="false"/>
    <row r="292" customFormat="false" ht="8.25" hidden="false" customHeight="true" outlineLevel="0" collapsed="false"/>
    <row r="293" customFormat="false" ht="8.25" hidden="false" customHeight="true" outlineLevel="0" collapsed="false"/>
    <row r="294" customFormat="false" ht="8.25" hidden="false" customHeight="true" outlineLevel="0" collapsed="false"/>
    <row r="295" customFormat="false" ht="8.25" hidden="false" customHeight="true" outlineLevel="0" collapsed="false"/>
    <row r="296" customFormat="false" ht="8.25" hidden="false" customHeight="true" outlineLevel="0" collapsed="false"/>
    <row r="297" customFormat="false" ht="8.25" hidden="false" customHeight="true" outlineLevel="0" collapsed="false"/>
    <row r="298" customFormat="false" ht="8.25" hidden="false" customHeight="true" outlineLevel="0" collapsed="false"/>
    <row r="299" customFormat="false" ht="8.25" hidden="false" customHeight="true" outlineLevel="0" collapsed="false"/>
    <row r="300" customFormat="false" ht="8.25" hidden="false" customHeight="true" outlineLevel="0" collapsed="false"/>
    <row r="301" customFormat="false" ht="8.25" hidden="false" customHeight="true" outlineLevel="0" collapsed="false"/>
    <row r="302" customFormat="false" ht="8.25" hidden="false" customHeight="true" outlineLevel="0" collapsed="false"/>
    <row r="303" customFormat="false" ht="8.25" hidden="false" customHeight="true" outlineLevel="0" collapsed="false"/>
    <row r="304" customFormat="false" ht="8.25" hidden="false" customHeight="true" outlineLevel="0" collapsed="false"/>
    <row r="305" customFormat="false" ht="8.25" hidden="false" customHeight="true" outlineLevel="0" collapsed="false"/>
    <row r="306" customFormat="false" ht="8.25" hidden="false" customHeight="true" outlineLevel="0" collapsed="false"/>
    <row r="307" customFormat="false" ht="8.25" hidden="false" customHeight="true" outlineLevel="0" collapsed="false"/>
    <row r="308" customFormat="false" ht="8.25" hidden="false" customHeight="true" outlineLevel="0" collapsed="false"/>
    <row r="309" customFormat="false" ht="8.25" hidden="false" customHeight="true" outlineLevel="0" collapsed="false"/>
    <row r="310" customFormat="false" ht="8.25" hidden="false" customHeight="true" outlineLevel="0" collapsed="false"/>
    <row r="311" customFormat="false" ht="8.25" hidden="false" customHeight="true" outlineLevel="0" collapsed="false"/>
    <row r="312" customFormat="false" ht="8.25" hidden="false" customHeight="true" outlineLevel="0" collapsed="false"/>
    <row r="313" customFormat="false" ht="8.25" hidden="false" customHeight="true" outlineLevel="0" collapsed="false"/>
    <row r="314" customFormat="false" ht="8.25" hidden="false" customHeight="true" outlineLevel="0" collapsed="false"/>
    <row r="315" customFormat="false" ht="8.25" hidden="false" customHeight="true" outlineLevel="0" collapsed="false"/>
    <row r="316" customFormat="false" ht="8.25" hidden="false" customHeight="true" outlineLevel="0" collapsed="false"/>
    <row r="317" customFormat="false" ht="8.25" hidden="false" customHeight="true" outlineLevel="0" collapsed="false"/>
    <row r="318" customFormat="false" ht="8.25" hidden="false" customHeight="true" outlineLevel="0" collapsed="false"/>
    <row r="319" customFormat="false" ht="8.25" hidden="false" customHeight="true" outlineLevel="0" collapsed="false"/>
    <row r="320" customFormat="false" ht="8.25" hidden="false" customHeight="true" outlineLevel="0" collapsed="false"/>
    <row r="321" customFormat="false" ht="8.25" hidden="false" customHeight="true" outlineLevel="0" collapsed="false"/>
    <row r="322" customFormat="false" ht="8.25" hidden="false" customHeight="true" outlineLevel="0" collapsed="false"/>
    <row r="323" customFormat="false" ht="8.25" hidden="false" customHeight="true" outlineLevel="0" collapsed="false"/>
    <row r="324" customFormat="false" ht="8.25" hidden="false" customHeight="true" outlineLevel="0" collapsed="false"/>
    <row r="325" customFormat="false" ht="8.25" hidden="false" customHeight="true" outlineLevel="0" collapsed="false"/>
    <row r="326" customFormat="false" ht="8.25" hidden="false" customHeight="true" outlineLevel="0" collapsed="false"/>
    <row r="327" customFormat="false" ht="8.25" hidden="false" customHeight="true" outlineLevel="0" collapsed="false"/>
    <row r="328" customFormat="false" ht="8.25" hidden="false" customHeight="true" outlineLevel="0" collapsed="false"/>
    <row r="329" customFormat="false" ht="8.25" hidden="false" customHeight="true" outlineLevel="0" collapsed="false"/>
    <row r="330" customFormat="false" ht="8.25" hidden="false" customHeight="true" outlineLevel="0" collapsed="false"/>
    <row r="331" customFormat="false" ht="8.25" hidden="false" customHeight="true" outlineLevel="0" collapsed="false"/>
    <row r="332" customFormat="false" ht="8.25" hidden="false" customHeight="true" outlineLevel="0" collapsed="false"/>
    <row r="333" customFormat="false" ht="8.25" hidden="false" customHeight="true" outlineLevel="0" collapsed="false"/>
    <row r="334" customFormat="false" ht="8.25" hidden="false" customHeight="true" outlineLevel="0" collapsed="false"/>
    <row r="335" customFormat="false" ht="8.25" hidden="false" customHeight="true" outlineLevel="0" collapsed="false"/>
    <row r="336" customFormat="false" ht="8.25" hidden="false" customHeight="true" outlineLevel="0" collapsed="false"/>
    <row r="337" customFormat="false" ht="8.25" hidden="false" customHeight="true" outlineLevel="0" collapsed="false"/>
    <row r="338" customFormat="false" ht="8.25" hidden="false" customHeight="true" outlineLevel="0" collapsed="false"/>
    <row r="339" customFormat="false" ht="8.25" hidden="false" customHeight="true" outlineLevel="0" collapsed="false"/>
    <row r="340" customFormat="false" ht="8.25" hidden="false" customHeight="true" outlineLevel="0" collapsed="false"/>
    <row r="341" customFormat="false" ht="8.25" hidden="false" customHeight="true" outlineLevel="0" collapsed="false"/>
    <row r="342" customFormat="false" ht="8.25" hidden="false" customHeight="true" outlineLevel="0" collapsed="false"/>
    <row r="343" customFormat="false" ht="8.25" hidden="false" customHeight="true" outlineLevel="0" collapsed="false"/>
    <row r="344" customFormat="false" ht="8.25" hidden="false" customHeight="true" outlineLevel="0" collapsed="false"/>
    <row r="345" customFormat="false" ht="8.25" hidden="false" customHeight="true" outlineLevel="0" collapsed="false"/>
    <row r="346" customFormat="false" ht="8.25" hidden="false" customHeight="true" outlineLevel="0" collapsed="false"/>
    <row r="347" customFormat="false" ht="8.25" hidden="false" customHeight="true" outlineLevel="0" collapsed="false"/>
    <row r="348" customFormat="false" ht="8.25" hidden="false" customHeight="true" outlineLevel="0" collapsed="false"/>
    <row r="349" customFormat="false" ht="8.25" hidden="false" customHeight="true" outlineLevel="0" collapsed="false"/>
    <row r="350" customFormat="false" ht="8.25" hidden="false" customHeight="true" outlineLevel="0" collapsed="false"/>
    <row r="351" customFormat="false" ht="8.25" hidden="false" customHeight="true" outlineLevel="0" collapsed="false"/>
    <row r="352" customFormat="false" ht="8.25" hidden="false" customHeight="true" outlineLevel="0" collapsed="false"/>
    <row r="353" customFormat="false" ht="8.25" hidden="false" customHeight="true" outlineLevel="0" collapsed="false"/>
    <row r="354" customFormat="false" ht="8.25" hidden="false" customHeight="true" outlineLevel="0" collapsed="false"/>
    <row r="355" customFormat="false" ht="8.25" hidden="false" customHeight="true" outlineLevel="0" collapsed="false"/>
    <row r="356" customFormat="false" ht="8.25" hidden="false" customHeight="true" outlineLevel="0" collapsed="false"/>
    <row r="357" customFormat="false" ht="8.25" hidden="false" customHeight="true" outlineLevel="0" collapsed="false"/>
    <row r="358" customFormat="false" ht="8.25" hidden="false" customHeight="true" outlineLevel="0" collapsed="false"/>
    <row r="359" customFormat="false" ht="8.25" hidden="false" customHeight="true" outlineLevel="0" collapsed="false"/>
    <row r="360" customFormat="false" ht="8.25" hidden="false" customHeight="true" outlineLevel="0" collapsed="false"/>
    <row r="361" customFormat="false" ht="8.25" hidden="false" customHeight="true" outlineLevel="0" collapsed="false"/>
    <row r="362" customFormat="false" ht="8.25" hidden="false" customHeight="true" outlineLevel="0" collapsed="false"/>
    <row r="363" customFormat="false" ht="8.25" hidden="false" customHeight="true" outlineLevel="0" collapsed="false"/>
    <row r="364" customFormat="false" ht="8.25" hidden="false" customHeight="true" outlineLevel="0" collapsed="false"/>
    <row r="365" customFormat="false" ht="8.25" hidden="false" customHeight="true" outlineLevel="0" collapsed="false"/>
    <row r="366" customFormat="false" ht="8.25" hidden="false" customHeight="true" outlineLevel="0" collapsed="false"/>
    <row r="367" customFormat="false" ht="8.25" hidden="false" customHeight="true" outlineLevel="0" collapsed="false"/>
    <row r="368" customFormat="false" ht="8.25" hidden="false" customHeight="true" outlineLevel="0" collapsed="false"/>
    <row r="369" customFormat="false" ht="8.25" hidden="false" customHeight="true" outlineLevel="0" collapsed="false"/>
    <row r="370" customFormat="false" ht="8.25" hidden="false" customHeight="true" outlineLevel="0" collapsed="false"/>
    <row r="371" customFormat="false" ht="8.25" hidden="false" customHeight="true" outlineLevel="0" collapsed="false"/>
    <row r="372" customFormat="false" ht="8.25" hidden="false" customHeight="true" outlineLevel="0" collapsed="false"/>
    <row r="373" customFormat="false" ht="8.25" hidden="false" customHeight="true" outlineLevel="0" collapsed="false"/>
    <row r="374" customFormat="false" ht="8.25" hidden="false" customHeight="true" outlineLevel="0" collapsed="false"/>
    <row r="375" customFormat="false" ht="8.25" hidden="false" customHeight="true" outlineLevel="0" collapsed="false"/>
    <row r="376" customFormat="false" ht="8.25" hidden="false" customHeight="true" outlineLevel="0" collapsed="false"/>
    <row r="377" customFormat="false" ht="8.25" hidden="false" customHeight="true" outlineLevel="0" collapsed="false"/>
    <row r="378" customFormat="false" ht="8.25" hidden="false" customHeight="true" outlineLevel="0" collapsed="false"/>
    <row r="379" customFormat="false" ht="8.25" hidden="false" customHeight="true" outlineLevel="0" collapsed="false"/>
    <row r="380" customFormat="false" ht="8.25" hidden="false" customHeight="true" outlineLevel="0" collapsed="false"/>
    <row r="381" customFormat="false" ht="8.25" hidden="false" customHeight="true" outlineLevel="0" collapsed="false"/>
    <row r="382" customFormat="false" ht="8.25" hidden="false" customHeight="true" outlineLevel="0" collapsed="false"/>
    <row r="383" customFormat="false" ht="8.25" hidden="false" customHeight="true" outlineLevel="0" collapsed="false"/>
    <row r="384" customFormat="false" ht="8.25" hidden="false" customHeight="true" outlineLevel="0" collapsed="false"/>
    <row r="385" customFormat="false" ht="8.25" hidden="false" customHeight="true" outlineLevel="0" collapsed="false"/>
    <row r="386" customFormat="false" ht="8.25" hidden="false" customHeight="true" outlineLevel="0" collapsed="false"/>
    <row r="387" customFormat="false" ht="8.25" hidden="false" customHeight="true" outlineLevel="0" collapsed="false"/>
    <row r="388" customFormat="false" ht="8.25" hidden="false" customHeight="true" outlineLevel="0" collapsed="false"/>
    <row r="389" customFormat="false" ht="8.25" hidden="false" customHeight="true" outlineLevel="0" collapsed="false"/>
    <row r="390" customFormat="false" ht="8.25" hidden="false" customHeight="true" outlineLevel="0" collapsed="false"/>
    <row r="391" customFormat="false" ht="8.25" hidden="false" customHeight="true" outlineLevel="0" collapsed="false"/>
    <row r="392" customFormat="false" ht="8.25" hidden="false" customHeight="true" outlineLevel="0" collapsed="false"/>
    <row r="393" customFormat="false" ht="8.25" hidden="false" customHeight="true" outlineLevel="0" collapsed="false"/>
    <row r="394" customFormat="false" ht="8.25" hidden="false" customHeight="true" outlineLevel="0" collapsed="false"/>
    <row r="395" customFormat="false" ht="8.25" hidden="false" customHeight="true" outlineLevel="0" collapsed="false"/>
    <row r="396" customFormat="false" ht="8.25" hidden="false" customHeight="true" outlineLevel="0" collapsed="false"/>
    <row r="397" customFormat="false" ht="8.25" hidden="false" customHeight="true" outlineLevel="0" collapsed="false"/>
    <row r="398" customFormat="false" ht="8.25" hidden="false" customHeight="true" outlineLevel="0" collapsed="false"/>
    <row r="399" customFormat="false" ht="8.25" hidden="false" customHeight="true" outlineLevel="0" collapsed="false"/>
    <row r="400" customFormat="false" ht="8.25" hidden="false" customHeight="true" outlineLevel="0" collapsed="false"/>
    <row r="401" customFormat="false" ht="8.25" hidden="false" customHeight="true" outlineLevel="0" collapsed="false"/>
    <row r="402" customFormat="false" ht="8.25" hidden="false" customHeight="true" outlineLevel="0" collapsed="false"/>
    <row r="403" customFormat="false" ht="8.25" hidden="false" customHeight="true" outlineLevel="0" collapsed="false"/>
    <row r="404" customFormat="false" ht="8.25" hidden="false" customHeight="true" outlineLevel="0" collapsed="false"/>
    <row r="405" customFormat="false" ht="8.25" hidden="false" customHeight="true" outlineLevel="0" collapsed="false"/>
    <row r="406" customFormat="false" ht="8.25" hidden="false" customHeight="true" outlineLevel="0" collapsed="false"/>
    <row r="407" customFormat="false" ht="8.25" hidden="false" customHeight="true" outlineLevel="0" collapsed="false"/>
    <row r="408" customFormat="false" ht="8.25" hidden="false" customHeight="true" outlineLevel="0" collapsed="false"/>
    <row r="409" customFormat="false" ht="8.25" hidden="false" customHeight="true" outlineLevel="0" collapsed="false"/>
    <row r="410" customFormat="false" ht="8.25" hidden="false" customHeight="true" outlineLevel="0" collapsed="false"/>
    <row r="411" customFormat="false" ht="8.25" hidden="false" customHeight="true" outlineLevel="0" collapsed="false"/>
    <row r="412" customFormat="false" ht="8.25" hidden="false" customHeight="true" outlineLevel="0" collapsed="false"/>
    <row r="413" customFormat="false" ht="8.25" hidden="false" customHeight="true" outlineLevel="0" collapsed="false"/>
    <row r="414" customFormat="false" ht="8.25" hidden="false" customHeight="true" outlineLevel="0" collapsed="false"/>
    <row r="415" customFormat="false" ht="8.25" hidden="false" customHeight="true" outlineLevel="0" collapsed="false"/>
    <row r="416" customFormat="false" ht="8.25" hidden="false" customHeight="true" outlineLevel="0" collapsed="false"/>
    <row r="417" customFormat="false" ht="8.25" hidden="false" customHeight="true" outlineLevel="0" collapsed="false"/>
    <row r="418" customFormat="false" ht="8.25" hidden="false" customHeight="true" outlineLevel="0" collapsed="false"/>
    <row r="419" customFormat="false" ht="8.25" hidden="false" customHeight="true" outlineLevel="0" collapsed="false"/>
    <row r="420" customFormat="false" ht="8.25" hidden="false" customHeight="true" outlineLevel="0" collapsed="false"/>
    <row r="421" customFormat="false" ht="8.25" hidden="false" customHeight="true" outlineLevel="0" collapsed="false"/>
    <row r="422" customFormat="false" ht="8.25" hidden="false" customHeight="true" outlineLevel="0" collapsed="false"/>
    <row r="423" customFormat="false" ht="8.25" hidden="false" customHeight="true" outlineLevel="0" collapsed="false"/>
    <row r="424" customFormat="false" ht="8.25" hidden="false" customHeight="true" outlineLevel="0" collapsed="false"/>
    <row r="425" customFormat="false" ht="8.25" hidden="false" customHeight="true" outlineLevel="0" collapsed="false"/>
    <row r="426" customFormat="false" ht="8.25" hidden="false" customHeight="true" outlineLevel="0" collapsed="false"/>
    <row r="427" customFormat="false" ht="8.25" hidden="false" customHeight="true" outlineLevel="0" collapsed="false"/>
    <row r="428" customFormat="false" ht="8.25" hidden="false" customHeight="true" outlineLevel="0" collapsed="false"/>
    <row r="429" customFormat="false" ht="8.25" hidden="false" customHeight="true" outlineLevel="0" collapsed="false"/>
    <row r="430" customFormat="false" ht="8.25" hidden="false" customHeight="true" outlineLevel="0" collapsed="false"/>
    <row r="431" customFormat="false" ht="8.25" hidden="false" customHeight="true" outlineLevel="0" collapsed="false"/>
    <row r="432" customFormat="false" ht="8.25" hidden="false" customHeight="true" outlineLevel="0" collapsed="false"/>
    <row r="433" customFormat="false" ht="8.25" hidden="false" customHeight="true" outlineLevel="0" collapsed="false"/>
    <row r="434" customFormat="false" ht="8.25" hidden="false" customHeight="true" outlineLevel="0" collapsed="false"/>
    <row r="435" customFormat="false" ht="8.25" hidden="false" customHeight="true" outlineLevel="0" collapsed="false"/>
    <row r="436" customFormat="false" ht="8.25" hidden="false" customHeight="true" outlineLevel="0" collapsed="false"/>
    <row r="437" customFormat="false" ht="8.25" hidden="false" customHeight="true" outlineLevel="0" collapsed="false"/>
    <row r="438" customFormat="false" ht="8.25" hidden="false" customHeight="true" outlineLevel="0" collapsed="false"/>
    <row r="439" customFormat="false" ht="8.25" hidden="false" customHeight="true" outlineLevel="0" collapsed="false"/>
    <row r="440" customFormat="false" ht="8.25" hidden="false" customHeight="true" outlineLevel="0" collapsed="false"/>
    <row r="441" customFormat="false" ht="8.25" hidden="false" customHeight="true" outlineLevel="0" collapsed="false"/>
    <row r="442" customFormat="false" ht="8.25" hidden="false" customHeight="true" outlineLevel="0" collapsed="false"/>
    <row r="443" customFormat="false" ht="8.25" hidden="false" customHeight="true" outlineLevel="0" collapsed="false"/>
    <row r="444" customFormat="false" ht="8.25" hidden="false" customHeight="true" outlineLevel="0" collapsed="false"/>
    <row r="445" customFormat="false" ht="8.25" hidden="false" customHeight="true" outlineLevel="0" collapsed="false"/>
    <row r="446" customFormat="false" ht="8.25" hidden="false" customHeight="true" outlineLevel="0" collapsed="false"/>
    <row r="447" customFormat="false" ht="8.25" hidden="false" customHeight="true" outlineLevel="0" collapsed="false"/>
    <row r="448" customFormat="false" ht="8.25" hidden="false" customHeight="true" outlineLevel="0" collapsed="false"/>
    <row r="449" customFormat="false" ht="8.25" hidden="false" customHeight="true" outlineLevel="0" collapsed="false"/>
    <row r="450" customFormat="false" ht="8.25" hidden="false" customHeight="true" outlineLevel="0" collapsed="false"/>
    <row r="451" customFormat="false" ht="8.25" hidden="false" customHeight="true" outlineLevel="0" collapsed="false"/>
    <row r="452" customFormat="false" ht="8.25" hidden="false" customHeight="true" outlineLevel="0" collapsed="false"/>
    <row r="453" customFormat="false" ht="8.25" hidden="false" customHeight="true" outlineLevel="0" collapsed="false"/>
    <row r="454" customFormat="false" ht="8.25" hidden="false" customHeight="true" outlineLevel="0" collapsed="false"/>
    <row r="455" customFormat="false" ht="8.25" hidden="false" customHeight="true" outlineLevel="0" collapsed="false"/>
    <row r="456" customFormat="false" ht="8.25" hidden="false" customHeight="true" outlineLevel="0" collapsed="false"/>
    <row r="457" customFormat="false" ht="8.25" hidden="false" customHeight="true" outlineLevel="0" collapsed="false"/>
    <row r="458" customFormat="false" ht="8.25" hidden="false" customHeight="true" outlineLevel="0" collapsed="false"/>
    <row r="459" customFormat="false" ht="8.25" hidden="false" customHeight="true" outlineLevel="0" collapsed="false"/>
    <row r="460" customFormat="false" ht="8.25" hidden="false" customHeight="true" outlineLevel="0" collapsed="false"/>
    <row r="461" customFormat="false" ht="8.25" hidden="false" customHeight="true" outlineLevel="0" collapsed="false"/>
    <row r="462" customFormat="false" ht="8.25" hidden="false" customHeight="true" outlineLevel="0" collapsed="false"/>
    <row r="463" customFormat="false" ht="8.25" hidden="false" customHeight="true" outlineLevel="0" collapsed="false"/>
    <row r="464" customFormat="false" ht="8.25" hidden="false" customHeight="true" outlineLevel="0" collapsed="false"/>
    <row r="465" customFormat="false" ht="8.25" hidden="false" customHeight="true" outlineLevel="0" collapsed="false"/>
    <row r="466" customFormat="false" ht="8.25" hidden="false" customHeight="true" outlineLevel="0" collapsed="false"/>
    <row r="467" customFormat="false" ht="8.25" hidden="false" customHeight="true" outlineLevel="0" collapsed="false"/>
    <row r="468" customFormat="false" ht="8.25" hidden="false" customHeight="true" outlineLevel="0" collapsed="false"/>
    <row r="469" customFormat="false" ht="8.25" hidden="false" customHeight="true" outlineLevel="0" collapsed="false"/>
    <row r="470" customFormat="false" ht="8.25" hidden="false" customHeight="true" outlineLevel="0" collapsed="false"/>
    <row r="471" customFormat="false" ht="8.25" hidden="false" customHeight="true" outlineLevel="0" collapsed="false"/>
    <row r="472" customFormat="false" ht="8.25" hidden="false" customHeight="true" outlineLevel="0" collapsed="false"/>
    <row r="473" customFormat="false" ht="8.25" hidden="false" customHeight="true" outlineLevel="0" collapsed="false"/>
    <row r="474" customFormat="false" ht="8.25" hidden="false" customHeight="true" outlineLevel="0" collapsed="false"/>
    <row r="475" customFormat="false" ht="8.25" hidden="false" customHeight="true" outlineLevel="0" collapsed="false"/>
    <row r="476" customFormat="false" ht="8.25" hidden="false" customHeight="true" outlineLevel="0" collapsed="false"/>
    <row r="477" customFormat="false" ht="8.25" hidden="false" customHeight="true" outlineLevel="0" collapsed="false"/>
    <row r="478" customFormat="false" ht="8.25" hidden="false" customHeight="true" outlineLevel="0" collapsed="false"/>
    <row r="479" customFormat="false" ht="8.25" hidden="false" customHeight="true" outlineLevel="0" collapsed="false"/>
    <row r="480" customFormat="false" ht="8.25" hidden="false" customHeight="true" outlineLevel="0" collapsed="false"/>
    <row r="481" customFormat="false" ht="8.25" hidden="false" customHeight="true" outlineLevel="0" collapsed="false"/>
    <row r="482" customFormat="false" ht="8.25" hidden="false" customHeight="true" outlineLevel="0" collapsed="false"/>
    <row r="483" customFormat="false" ht="8.25" hidden="false" customHeight="true" outlineLevel="0" collapsed="false"/>
    <row r="484" customFormat="false" ht="8.25" hidden="false" customHeight="true" outlineLevel="0" collapsed="false"/>
    <row r="485" customFormat="false" ht="8.25" hidden="false" customHeight="true" outlineLevel="0" collapsed="false"/>
    <row r="486" customFormat="false" ht="8.25" hidden="false" customHeight="true" outlineLevel="0" collapsed="false"/>
    <row r="487" customFormat="false" ht="8.25" hidden="false" customHeight="true" outlineLevel="0" collapsed="false"/>
    <row r="488" customFormat="false" ht="8.25" hidden="false" customHeight="true" outlineLevel="0" collapsed="false"/>
    <row r="489" customFormat="false" ht="8.25" hidden="false" customHeight="true" outlineLevel="0" collapsed="false"/>
    <row r="490" customFormat="false" ht="8.25" hidden="false" customHeight="true" outlineLevel="0" collapsed="false"/>
    <row r="491" customFormat="false" ht="8.25" hidden="false" customHeight="true" outlineLevel="0" collapsed="false"/>
    <row r="492" customFormat="false" ht="8.25" hidden="false" customHeight="true" outlineLevel="0" collapsed="false"/>
    <row r="493" customFormat="false" ht="8.25" hidden="false" customHeight="true" outlineLevel="0" collapsed="false"/>
    <row r="494" customFormat="false" ht="8.25" hidden="false" customHeight="true" outlineLevel="0" collapsed="false"/>
    <row r="495" customFormat="false" ht="8.25" hidden="false" customHeight="true" outlineLevel="0" collapsed="false"/>
    <row r="496" customFormat="false" ht="8.25" hidden="false" customHeight="true" outlineLevel="0" collapsed="false"/>
    <row r="497" customFormat="false" ht="8.25" hidden="false" customHeight="true" outlineLevel="0" collapsed="false"/>
    <row r="498" customFormat="false" ht="8.25" hidden="false" customHeight="true" outlineLevel="0" collapsed="false"/>
    <row r="499" customFormat="false" ht="8.25" hidden="false" customHeight="true" outlineLevel="0" collapsed="false"/>
    <row r="500" customFormat="false" ht="8.25" hidden="false" customHeight="true" outlineLevel="0" collapsed="false"/>
    <row r="501" customFormat="false" ht="8.25" hidden="false" customHeight="true" outlineLevel="0" collapsed="false"/>
    <row r="502" customFormat="false" ht="8.25" hidden="false" customHeight="true" outlineLevel="0" collapsed="false"/>
    <row r="503" customFormat="false" ht="8.25" hidden="false" customHeight="true" outlineLevel="0" collapsed="false"/>
    <row r="504" customFormat="false" ht="8.25" hidden="false" customHeight="true" outlineLevel="0" collapsed="false"/>
    <row r="505" customFormat="false" ht="8.25" hidden="false" customHeight="true" outlineLevel="0" collapsed="false"/>
    <row r="506" customFormat="false" ht="8.25" hidden="false" customHeight="true" outlineLevel="0" collapsed="false"/>
    <row r="507" customFormat="false" ht="8.25" hidden="false" customHeight="true" outlineLevel="0" collapsed="false"/>
    <row r="508" customFormat="false" ht="8.25" hidden="false" customHeight="true" outlineLevel="0" collapsed="false"/>
    <row r="509" customFormat="false" ht="8.25" hidden="false" customHeight="true" outlineLevel="0" collapsed="false"/>
    <row r="510" customFormat="false" ht="8.25" hidden="false" customHeight="true" outlineLevel="0" collapsed="false"/>
    <row r="511" customFormat="false" ht="8.25" hidden="false" customHeight="true" outlineLevel="0" collapsed="false"/>
    <row r="512" customFormat="false" ht="8.25" hidden="false" customHeight="true" outlineLevel="0" collapsed="false"/>
    <row r="513" customFormat="false" ht="8.25" hidden="false" customHeight="true" outlineLevel="0" collapsed="false"/>
    <row r="514" customFormat="false" ht="8.25" hidden="false" customHeight="true" outlineLevel="0" collapsed="false"/>
    <row r="515" customFormat="false" ht="8.25" hidden="false" customHeight="true" outlineLevel="0" collapsed="false"/>
    <row r="516" customFormat="false" ht="8.25" hidden="false" customHeight="true" outlineLevel="0" collapsed="false"/>
    <row r="517" customFormat="false" ht="8.25" hidden="false" customHeight="true" outlineLevel="0" collapsed="false"/>
    <row r="518" customFormat="false" ht="8.25" hidden="false" customHeight="true" outlineLevel="0" collapsed="false"/>
    <row r="519" customFormat="false" ht="8.25" hidden="false" customHeight="true" outlineLevel="0" collapsed="false"/>
    <row r="520" customFormat="false" ht="8.25" hidden="false" customHeight="true" outlineLevel="0" collapsed="false"/>
    <row r="521" customFormat="false" ht="8.25" hidden="false" customHeight="true" outlineLevel="0" collapsed="false"/>
    <row r="522" customFormat="false" ht="8.25" hidden="false" customHeight="true" outlineLevel="0" collapsed="false"/>
    <row r="523" customFormat="false" ht="8.25" hidden="false" customHeight="true" outlineLevel="0" collapsed="false"/>
    <row r="524" customFormat="false" ht="8.25" hidden="false" customHeight="true" outlineLevel="0" collapsed="false"/>
    <row r="525" customFormat="false" ht="8.25" hidden="false" customHeight="true" outlineLevel="0" collapsed="false"/>
    <row r="526" customFormat="false" ht="8.25" hidden="false" customHeight="true" outlineLevel="0" collapsed="false"/>
    <row r="527" customFormat="false" ht="8.25" hidden="false" customHeight="true" outlineLevel="0" collapsed="false"/>
    <row r="528" customFormat="false" ht="8.25" hidden="false" customHeight="true" outlineLevel="0" collapsed="false"/>
    <row r="529" customFormat="false" ht="8.25" hidden="false" customHeight="true" outlineLevel="0" collapsed="false"/>
    <row r="530" customFormat="false" ht="8.25" hidden="false" customHeight="true" outlineLevel="0" collapsed="false"/>
    <row r="531" customFormat="false" ht="8.25" hidden="false" customHeight="true" outlineLevel="0" collapsed="false"/>
    <row r="532" customFormat="false" ht="8.25" hidden="false" customHeight="true" outlineLevel="0" collapsed="false"/>
    <row r="533" customFormat="false" ht="8.25" hidden="false" customHeight="true" outlineLevel="0" collapsed="false"/>
    <row r="534" customFormat="false" ht="8.25" hidden="false" customHeight="true" outlineLevel="0" collapsed="false"/>
    <row r="535" customFormat="false" ht="8.25" hidden="false" customHeight="true" outlineLevel="0" collapsed="false"/>
    <row r="536" customFormat="false" ht="8.25" hidden="false" customHeight="true" outlineLevel="0" collapsed="false"/>
    <row r="537" customFormat="false" ht="8.25" hidden="false" customHeight="true" outlineLevel="0" collapsed="false"/>
    <row r="538" customFormat="false" ht="8.25" hidden="false" customHeight="true" outlineLevel="0" collapsed="false"/>
    <row r="539" customFormat="false" ht="8.25" hidden="false" customHeight="true" outlineLevel="0" collapsed="false"/>
    <row r="540" customFormat="false" ht="8.25" hidden="false" customHeight="true" outlineLevel="0" collapsed="false"/>
    <row r="541" customFormat="false" ht="8.25" hidden="false" customHeight="true" outlineLevel="0" collapsed="false"/>
    <row r="542" customFormat="false" ht="8.25" hidden="false" customHeight="true" outlineLevel="0" collapsed="false"/>
    <row r="543" customFormat="false" ht="8.25" hidden="false" customHeight="true" outlineLevel="0" collapsed="false"/>
    <row r="544" customFormat="false" ht="8.25" hidden="false" customHeight="true" outlineLevel="0" collapsed="false"/>
    <row r="545" customFormat="false" ht="8.25" hidden="false" customHeight="true" outlineLevel="0" collapsed="false"/>
    <row r="546" customFormat="false" ht="8.25" hidden="false" customHeight="true" outlineLevel="0" collapsed="false"/>
    <row r="547" customFormat="false" ht="8.25" hidden="false" customHeight="true" outlineLevel="0" collapsed="false"/>
    <row r="548" customFormat="false" ht="8.25" hidden="false" customHeight="true" outlineLevel="0" collapsed="false"/>
    <row r="549" customFormat="false" ht="8.25" hidden="false" customHeight="true" outlineLevel="0" collapsed="false"/>
    <row r="550" customFormat="false" ht="8.25" hidden="false" customHeight="true" outlineLevel="0" collapsed="false"/>
    <row r="551" customFormat="false" ht="8.25" hidden="false" customHeight="true" outlineLevel="0" collapsed="false"/>
    <row r="552" customFormat="false" ht="8.25" hidden="false" customHeight="true" outlineLevel="0" collapsed="false"/>
    <row r="553" customFormat="false" ht="8.25" hidden="false" customHeight="true" outlineLevel="0" collapsed="false"/>
    <row r="554" customFormat="false" ht="8.25" hidden="false" customHeight="true" outlineLevel="0" collapsed="false"/>
    <row r="555" customFormat="false" ht="8.25" hidden="false" customHeight="true" outlineLevel="0" collapsed="false"/>
    <row r="556" customFormat="false" ht="8.25" hidden="false" customHeight="true" outlineLevel="0" collapsed="false"/>
    <row r="557" customFormat="false" ht="8.25" hidden="false" customHeight="true" outlineLevel="0" collapsed="false"/>
    <row r="558" customFormat="false" ht="8.25" hidden="false" customHeight="true" outlineLevel="0" collapsed="false"/>
    <row r="559" customFormat="false" ht="8.25" hidden="false" customHeight="true" outlineLevel="0" collapsed="false"/>
    <row r="560" customFormat="false" ht="8.25" hidden="false" customHeight="true" outlineLevel="0" collapsed="false"/>
    <row r="561" customFormat="false" ht="8.25" hidden="false" customHeight="true" outlineLevel="0" collapsed="false"/>
    <row r="562" customFormat="false" ht="8.25" hidden="false" customHeight="true" outlineLevel="0" collapsed="false"/>
    <row r="563" customFormat="false" ht="8.25" hidden="false" customHeight="true" outlineLevel="0" collapsed="false"/>
    <row r="564" customFormat="false" ht="8.25" hidden="false" customHeight="true" outlineLevel="0" collapsed="false"/>
    <row r="565" customFormat="false" ht="8.25" hidden="false" customHeight="true" outlineLevel="0" collapsed="false"/>
    <row r="566" customFormat="false" ht="8.25" hidden="false" customHeight="true" outlineLevel="0" collapsed="false"/>
    <row r="567" customFormat="false" ht="8.25" hidden="false" customHeight="true" outlineLevel="0" collapsed="false"/>
    <row r="568" customFormat="false" ht="8.25" hidden="false" customHeight="true" outlineLevel="0" collapsed="false"/>
    <row r="569" customFormat="false" ht="8.25" hidden="false" customHeight="true" outlineLevel="0" collapsed="false"/>
    <row r="570" customFormat="false" ht="8.25" hidden="false" customHeight="true" outlineLevel="0" collapsed="false"/>
    <row r="571" customFormat="false" ht="8.25" hidden="false" customHeight="true" outlineLevel="0" collapsed="false"/>
    <row r="572" customFormat="false" ht="8.25" hidden="false" customHeight="true" outlineLevel="0" collapsed="false"/>
    <row r="573" customFormat="false" ht="8.25" hidden="false" customHeight="true" outlineLevel="0" collapsed="false"/>
    <row r="574" customFormat="false" ht="8.25" hidden="false" customHeight="true" outlineLevel="0" collapsed="false"/>
    <row r="575" customFormat="false" ht="8.25" hidden="false" customHeight="true" outlineLevel="0" collapsed="false"/>
    <row r="576" customFormat="false" ht="8.25" hidden="false" customHeight="true" outlineLevel="0" collapsed="false"/>
    <row r="577" customFormat="false" ht="8.25" hidden="false" customHeight="true" outlineLevel="0" collapsed="false"/>
    <row r="578" customFormat="false" ht="8.25" hidden="false" customHeight="true" outlineLevel="0" collapsed="false"/>
    <row r="579" customFormat="false" ht="8.25" hidden="false" customHeight="true" outlineLevel="0" collapsed="false"/>
    <row r="580" customFormat="false" ht="8.25" hidden="false" customHeight="true" outlineLevel="0" collapsed="false"/>
    <row r="581" customFormat="false" ht="8.25" hidden="false" customHeight="true" outlineLevel="0" collapsed="false"/>
    <row r="582" customFormat="false" ht="8.25" hidden="false" customHeight="true" outlineLevel="0" collapsed="false"/>
    <row r="583" customFormat="false" ht="8.25" hidden="false" customHeight="true" outlineLevel="0" collapsed="false"/>
    <row r="584" customFormat="false" ht="8.25" hidden="false" customHeight="true" outlineLevel="0" collapsed="false"/>
    <row r="585" customFormat="false" ht="8.25" hidden="false" customHeight="true" outlineLevel="0" collapsed="false"/>
    <row r="586" customFormat="false" ht="8.25" hidden="false" customHeight="true" outlineLevel="0" collapsed="false"/>
    <row r="587" customFormat="false" ht="8.25" hidden="false" customHeight="true" outlineLevel="0" collapsed="false"/>
    <row r="588" customFormat="false" ht="8.25" hidden="false" customHeight="true" outlineLevel="0" collapsed="false"/>
    <row r="589" customFormat="false" ht="8.25" hidden="false" customHeight="true" outlineLevel="0" collapsed="false"/>
    <row r="590" customFormat="false" ht="8.25" hidden="false" customHeight="true" outlineLevel="0" collapsed="false"/>
    <row r="591" customFormat="false" ht="8.25" hidden="false" customHeight="true" outlineLevel="0" collapsed="false"/>
    <row r="592" customFormat="false" ht="8.25" hidden="false" customHeight="true" outlineLevel="0" collapsed="false"/>
    <row r="593" customFormat="false" ht="8.25" hidden="false" customHeight="true" outlineLevel="0" collapsed="false"/>
    <row r="594" customFormat="false" ht="8.25" hidden="false" customHeight="true" outlineLevel="0" collapsed="false"/>
    <row r="595" customFormat="false" ht="8.25" hidden="false" customHeight="true" outlineLevel="0" collapsed="false"/>
    <row r="596" customFormat="false" ht="8.25" hidden="false" customHeight="true" outlineLevel="0" collapsed="false"/>
    <row r="597" customFormat="false" ht="8.25" hidden="false" customHeight="true" outlineLevel="0" collapsed="false"/>
    <row r="598" customFormat="false" ht="8.25" hidden="false" customHeight="true" outlineLevel="0" collapsed="false"/>
    <row r="599" customFormat="false" ht="8.25" hidden="false" customHeight="true" outlineLevel="0" collapsed="false"/>
    <row r="600" customFormat="false" ht="8.25" hidden="false" customHeight="true" outlineLevel="0" collapsed="false"/>
    <row r="601" customFormat="false" ht="8.25" hidden="false" customHeight="true" outlineLevel="0" collapsed="false"/>
    <row r="602" customFormat="false" ht="8.25" hidden="false" customHeight="true" outlineLevel="0" collapsed="false"/>
    <row r="603" customFormat="false" ht="8.25" hidden="false" customHeight="true" outlineLevel="0" collapsed="false"/>
    <row r="604" customFormat="false" ht="8.25" hidden="false" customHeight="true" outlineLevel="0" collapsed="false"/>
    <row r="605" customFormat="false" ht="8.25" hidden="false" customHeight="true" outlineLevel="0" collapsed="false"/>
    <row r="606" customFormat="false" ht="8.25" hidden="false" customHeight="true" outlineLevel="0" collapsed="false"/>
    <row r="607" customFormat="false" ht="8.25" hidden="false" customHeight="true" outlineLevel="0" collapsed="false"/>
    <row r="608" customFormat="false" ht="8.25" hidden="false" customHeight="true" outlineLevel="0" collapsed="false"/>
    <row r="609" customFormat="false" ht="8.25" hidden="false" customHeight="true" outlineLevel="0" collapsed="false"/>
    <row r="610" customFormat="false" ht="8.25" hidden="false" customHeight="true" outlineLevel="0" collapsed="false"/>
    <row r="611" customFormat="false" ht="8.25" hidden="false" customHeight="true" outlineLevel="0" collapsed="false"/>
    <row r="612" customFormat="false" ht="8.25" hidden="false" customHeight="true" outlineLevel="0" collapsed="false"/>
    <row r="613" customFormat="false" ht="8.25" hidden="false" customHeight="true" outlineLevel="0" collapsed="false"/>
    <row r="614" customFormat="false" ht="8.25" hidden="false" customHeight="true" outlineLevel="0" collapsed="false"/>
    <row r="615" customFormat="false" ht="8.25" hidden="false" customHeight="true" outlineLevel="0" collapsed="false"/>
    <row r="616" customFormat="false" ht="8.25" hidden="false" customHeight="true" outlineLevel="0" collapsed="false"/>
    <row r="617" customFormat="false" ht="8.25" hidden="false" customHeight="true" outlineLevel="0" collapsed="false"/>
    <row r="618" customFormat="false" ht="8.25" hidden="false" customHeight="true" outlineLevel="0" collapsed="false"/>
    <row r="619" customFormat="false" ht="8.25" hidden="false" customHeight="true" outlineLevel="0" collapsed="false"/>
    <row r="620" customFormat="false" ht="8.25" hidden="false" customHeight="true" outlineLevel="0" collapsed="false"/>
    <row r="621" customFormat="false" ht="8.25" hidden="false" customHeight="true" outlineLevel="0" collapsed="false"/>
    <row r="622" customFormat="false" ht="8.25" hidden="false" customHeight="true" outlineLevel="0" collapsed="false"/>
    <row r="623" customFormat="false" ht="8.25" hidden="false" customHeight="true" outlineLevel="0" collapsed="false"/>
    <row r="624" customFormat="false" ht="8.25" hidden="false" customHeight="true" outlineLevel="0" collapsed="false"/>
    <row r="625" customFormat="false" ht="8.25" hidden="false" customHeight="true" outlineLevel="0" collapsed="false"/>
    <row r="626" customFormat="false" ht="8.25" hidden="false" customHeight="true" outlineLevel="0" collapsed="false"/>
    <row r="627" customFormat="false" ht="8.25" hidden="false" customHeight="true" outlineLevel="0" collapsed="false"/>
    <row r="628" customFormat="false" ht="8.25" hidden="false" customHeight="true" outlineLevel="0" collapsed="false"/>
    <row r="629" customFormat="false" ht="8.25" hidden="false" customHeight="true" outlineLevel="0" collapsed="false"/>
    <row r="630" customFormat="false" ht="8.25" hidden="false" customHeight="true" outlineLevel="0" collapsed="false"/>
    <row r="631" customFormat="false" ht="8.25" hidden="false" customHeight="true" outlineLevel="0" collapsed="false"/>
    <row r="632" customFormat="false" ht="8.25" hidden="false" customHeight="true" outlineLevel="0" collapsed="false"/>
    <row r="633" customFormat="false" ht="8.25" hidden="false" customHeight="true" outlineLevel="0" collapsed="false"/>
    <row r="634" customFormat="false" ht="8.25" hidden="false" customHeight="true" outlineLevel="0" collapsed="false"/>
    <row r="635" customFormat="false" ht="8.25" hidden="false" customHeight="true" outlineLevel="0" collapsed="false"/>
    <row r="636" customFormat="false" ht="8.25" hidden="false" customHeight="true" outlineLevel="0" collapsed="false"/>
    <row r="637" customFormat="false" ht="8.25" hidden="false" customHeight="true" outlineLevel="0" collapsed="false"/>
    <row r="638" customFormat="false" ht="8.25" hidden="false" customHeight="true" outlineLevel="0" collapsed="false"/>
    <row r="639" customFormat="false" ht="8.25" hidden="false" customHeight="true" outlineLevel="0" collapsed="false"/>
    <row r="640" customFormat="false" ht="8.25" hidden="false" customHeight="true" outlineLevel="0" collapsed="false"/>
    <row r="641" customFormat="false" ht="8.25" hidden="false" customHeight="true" outlineLevel="0" collapsed="false"/>
    <row r="642" customFormat="false" ht="8.25" hidden="false" customHeight="true" outlineLevel="0" collapsed="false"/>
    <row r="643" customFormat="false" ht="8.25" hidden="false" customHeight="true" outlineLevel="0" collapsed="false"/>
    <row r="644" customFormat="false" ht="8.25" hidden="false" customHeight="true" outlineLevel="0" collapsed="false"/>
    <row r="645" customFormat="false" ht="8.25" hidden="false" customHeight="true" outlineLevel="0" collapsed="false"/>
    <row r="646" customFormat="false" ht="8.25" hidden="false" customHeight="true" outlineLevel="0" collapsed="false"/>
    <row r="647" customFormat="false" ht="8.25" hidden="false" customHeight="true" outlineLevel="0" collapsed="false"/>
    <row r="648" customFormat="false" ht="8.25" hidden="false" customHeight="true" outlineLevel="0" collapsed="false"/>
    <row r="649" customFormat="false" ht="8.25" hidden="false" customHeight="true" outlineLevel="0" collapsed="false"/>
    <row r="650" customFormat="false" ht="8.25" hidden="false" customHeight="true" outlineLevel="0" collapsed="false"/>
    <row r="651" customFormat="false" ht="8.25" hidden="false" customHeight="true" outlineLevel="0" collapsed="false"/>
    <row r="652" customFormat="false" ht="8.25" hidden="false" customHeight="true" outlineLevel="0" collapsed="false"/>
    <row r="653" customFormat="false" ht="8.25" hidden="false" customHeight="true" outlineLevel="0" collapsed="false"/>
    <row r="654" customFormat="false" ht="8.25" hidden="false" customHeight="true" outlineLevel="0" collapsed="false"/>
    <row r="655" customFormat="false" ht="8.25" hidden="false" customHeight="true" outlineLevel="0" collapsed="false"/>
    <row r="656" customFormat="false" ht="8.25" hidden="false" customHeight="true" outlineLevel="0" collapsed="false"/>
    <row r="657" customFormat="false" ht="8.25" hidden="false" customHeight="true" outlineLevel="0" collapsed="false"/>
    <row r="658" customFormat="false" ht="8.25" hidden="false" customHeight="true" outlineLevel="0" collapsed="false"/>
    <row r="659" customFormat="false" ht="8.25" hidden="false" customHeight="true" outlineLevel="0" collapsed="false"/>
    <row r="660" customFormat="false" ht="8.25" hidden="false" customHeight="true" outlineLevel="0" collapsed="false"/>
    <row r="661" customFormat="false" ht="8.25" hidden="false" customHeight="true" outlineLevel="0" collapsed="false"/>
    <row r="662" customFormat="false" ht="8.25" hidden="false" customHeight="true" outlineLevel="0" collapsed="false"/>
    <row r="663" customFormat="false" ht="8.25" hidden="false" customHeight="true" outlineLevel="0" collapsed="false"/>
    <row r="664" customFormat="false" ht="8.25" hidden="false" customHeight="true" outlineLevel="0" collapsed="false"/>
    <row r="665" customFormat="false" ht="8.25" hidden="false" customHeight="true" outlineLevel="0" collapsed="false"/>
    <row r="666" customFormat="false" ht="8.25" hidden="false" customHeight="true" outlineLevel="0" collapsed="false"/>
    <row r="667" customFormat="false" ht="8.25" hidden="false" customHeight="true" outlineLevel="0" collapsed="false"/>
    <row r="668" customFormat="false" ht="8.25" hidden="false" customHeight="true" outlineLevel="0" collapsed="false"/>
    <row r="669" customFormat="false" ht="8.25" hidden="false" customHeight="true" outlineLevel="0" collapsed="false"/>
    <row r="670" customFormat="false" ht="8.25" hidden="false" customHeight="true" outlineLevel="0" collapsed="false"/>
    <row r="671" customFormat="false" ht="8.25" hidden="false" customHeight="true" outlineLevel="0" collapsed="false"/>
    <row r="672" customFormat="false" ht="8.25" hidden="false" customHeight="true" outlineLevel="0" collapsed="false"/>
    <row r="673" customFormat="false" ht="8.25" hidden="false" customHeight="true" outlineLevel="0" collapsed="false"/>
    <row r="674" customFormat="false" ht="8.25" hidden="false" customHeight="true" outlineLevel="0" collapsed="false"/>
    <row r="675" customFormat="false" ht="8.25" hidden="false" customHeight="true" outlineLevel="0" collapsed="false"/>
    <row r="676" customFormat="false" ht="8.25" hidden="false" customHeight="true" outlineLevel="0" collapsed="false"/>
    <row r="677" customFormat="false" ht="8.25" hidden="false" customHeight="true" outlineLevel="0" collapsed="false"/>
    <row r="678" customFormat="false" ht="8.25" hidden="false" customHeight="true" outlineLevel="0" collapsed="false"/>
    <row r="679" customFormat="false" ht="8.25" hidden="false" customHeight="true" outlineLevel="0" collapsed="false"/>
    <row r="680" customFormat="false" ht="8.25" hidden="false" customHeight="true" outlineLevel="0" collapsed="false"/>
    <row r="681" customFormat="false" ht="8.25" hidden="false" customHeight="true" outlineLevel="0" collapsed="false"/>
    <row r="682" customFormat="false" ht="8.25" hidden="false" customHeight="true" outlineLevel="0" collapsed="false"/>
    <row r="683" customFormat="false" ht="8.25" hidden="false" customHeight="true" outlineLevel="0" collapsed="false"/>
    <row r="684" customFormat="false" ht="8.25" hidden="false" customHeight="true" outlineLevel="0" collapsed="false"/>
    <row r="685" customFormat="false" ht="8.25" hidden="false" customHeight="true" outlineLevel="0" collapsed="false"/>
    <row r="686" customFormat="false" ht="8.25" hidden="false" customHeight="true" outlineLevel="0" collapsed="false"/>
    <row r="687" customFormat="false" ht="8.25" hidden="false" customHeight="true" outlineLevel="0" collapsed="false"/>
    <row r="688" customFormat="false" ht="8.25" hidden="false" customHeight="true" outlineLevel="0" collapsed="false"/>
    <row r="689" customFormat="false" ht="8.25" hidden="false" customHeight="true" outlineLevel="0" collapsed="false"/>
    <row r="690" customFormat="false" ht="8.25" hidden="false" customHeight="true" outlineLevel="0" collapsed="false"/>
    <row r="691" customFormat="false" ht="8.25" hidden="false" customHeight="true" outlineLevel="0" collapsed="false"/>
    <row r="692" customFormat="false" ht="8.25" hidden="false" customHeight="true" outlineLevel="0" collapsed="false"/>
    <row r="693" customFormat="false" ht="8.25" hidden="false" customHeight="true" outlineLevel="0" collapsed="false"/>
    <row r="694" customFormat="false" ht="8.25" hidden="false" customHeight="true" outlineLevel="0" collapsed="false"/>
    <row r="695" customFormat="false" ht="8.25" hidden="false" customHeight="true" outlineLevel="0" collapsed="false"/>
    <row r="696" customFormat="false" ht="8.25" hidden="false" customHeight="true" outlineLevel="0" collapsed="false"/>
    <row r="697" customFormat="false" ht="8.25" hidden="false" customHeight="true" outlineLevel="0" collapsed="false"/>
    <row r="698" customFormat="false" ht="8.25" hidden="false" customHeight="true" outlineLevel="0" collapsed="false"/>
    <row r="699" customFormat="false" ht="8.25" hidden="false" customHeight="true" outlineLevel="0" collapsed="false"/>
    <row r="700" customFormat="false" ht="8.25" hidden="false" customHeight="true" outlineLevel="0" collapsed="false"/>
    <row r="701" customFormat="false" ht="8.25" hidden="false" customHeight="true" outlineLevel="0" collapsed="false"/>
    <row r="702" customFormat="false" ht="8.25" hidden="false" customHeight="true" outlineLevel="0" collapsed="false"/>
    <row r="703" customFormat="false" ht="8.25" hidden="false" customHeight="true" outlineLevel="0" collapsed="false"/>
    <row r="704" customFormat="false" ht="8.25" hidden="false" customHeight="true" outlineLevel="0" collapsed="false"/>
    <row r="705" customFormat="false" ht="8.25" hidden="false" customHeight="true" outlineLevel="0" collapsed="false"/>
    <row r="706" customFormat="false" ht="8.25" hidden="false" customHeight="true" outlineLevel="0" collapsed="false"/>
    <row r="707" customFormat="false" ht="8.25" hidden="false" customHeight="true" outlineLevel="0" collapsed="false"/>
    <row r="708" customFormat="false" ht="8.25" hidden="false" customHeight="true" outlineLevel="0" collapsed="false"/>
    <row r="709" customFormat="false" ht="8.25" hidden="false" customHeight="true" outlineLevel="0" collapsed="false"/>
    <row r="710" customFormat="false" ht="8.25" hidden="false" customHeight="true" outlineLevel="0" collapsed="false"/>
    <row r="711" customFormat="false" ht="8.25" hidden="false" customHeight="true" outlineLevel="0" collapsed="false"/>
    <row r="712" customFormat="false" ht="8.25" hidden="false" customHeight="true" outlineLevel="0" collapsed="false"/>
    <row r="713" customFormat="false" ht="8.25" hidden="false" customHeight="true" outlineLevel="0" collapsed="false"/>
    <row r="714" customFormat="false" ht="8.25" hidden="false" customHeight="true" outlineLevel="0" collapsed="false"/>
    <row r="715" customFormat="false" ht="8.25" hidden="false" customHeight="true" outlineLevel="0" collapsed="false"/>
    <row r="716" customFormat="false" ht="8.25" hidden="false" customHeight="true" outlineLevel="0" collapsed="false"/>
    <row r="717" customFormat="false" ht="8.25" hidden="false" customHeight="true" outlineLevel="0" collapsed="false"/>
    <row r="718" customFormat="false" ht="8.25" hidden="false" customHeight="true" outlineLevel="0" collapsed="false"/>
    <row r="719" customFormat="false" ht="8.25" hidden="false" customHeight="true" outlineLevel="0" collapsed="false"/>
    <row r="720" customFormat="false" ht="8.25" hidden="false" customHeight="true" outlineLevel="0" collapsed="false"/>
    <row r="721" customFormat="false" ht="8.25" hidden="false" customHeight="true" outlineLevel="0" collapsed="false"/>
    <row r="722" customFormat="false" ht="8.25" hidden="false" customHeight="true" outlineLevel="0" collapsed="false"/>
    <row r="723" customFormat="false" ht="8.25" hidden="false" customHeight="true" outlineLevel="0" collapsed="false"/>
    <row r="724" customFormat="false" ht="8.25" hidden="false" customHeight="true" outlineLevel="0" collapsed="false"/>
    <row r="725" customFormat="false" ht="8.25" hidden="false" customHeight="true" outlineLevel="0" collapsed="false"/>
    <row r="726" customFormat="false" ht="8.25" hidden="false" customHeight="true" outlineLevel="0" collapsed="false"/>
    <row r="727" customFormat="false" ht="8.25" hidden="false" customHeight="true" outlineLevel="0" collapsed="false"/>
    <row r="728" customFormat="false" ht="8.25" hidden="false" customHeight="true" outlineLevel="0" collapsed="false"/>
    <row r="729" customFormat="false" ht="8.25" hidden="false" customHeight="true" outlineLevel="0" collapsed="false"/>
    <row r="730" customFormat="false" ht="8.25" hidden="false" customHeight="true" outlineLevel="0" collapsed="false"/>
    <row r="731" customFormat="false" ht="8.25" hidden="false" customHeight="true" outlineLevel="0" collapsed="false"/>
    <row r="732" customFormat="false" ht="8.25" hidden="false" customHeight="true" outlineLevel="0" collapsed="false"/>
    <row r="733" customFormat="false" ht="8.25" hidden="false" customHeight="true" outlineLevel="0" collapsed="false"/>
    <row r="734" customFormat="false" ht="8.25" hidden="false" customHeight="true" outlineLevel="0" collapsed="false"/>
    <row r="735" customFormat="false" ht="8.25" hidden="false" customHeight="true" outlineLevel="0" collapsed="false"/>
    <row r="736" customFormat="false" ht="8.25" hidden="false" customHeight="true" outlineLevel="0" collapsed="false"/>
    <row r="737" customFormat="false" ht="8.25" hidden="false" customHeight="true" outlineLevel="0" collapsed="false"/>
    <row r="738" customFormat="false" ht="8.25" hidden="false" customHeight="true" outlineLevel="0" collapsed="false"/>
    <row r="739" customFormat="false" ht="8.25" hidden="false" customHeight="true" outlineLevel="0" collapsed="false"/>
    <row r="740" customFormat="false" ht="8.25" hidden="false" customHeight="true" outlineLevel="0" collapsed="false"/>
    <row r="741" customFormat="false" ht="8.25" hidden="false" customHeight="true" outlineLevel="0" collapsed="false"/>
    <row r="742" customFormat="false" ht="8.25" hidden="false" customHeight="true" outlineLevel="0" collapsed="false"/>
    <row r="743" customFormat="false" ht="8.25" hidden="false" customHeight="true" outlineLevel="0" collapsed="false"/>
    <row r="744" customFormat="false" ht="8.25" hidden="false" customHeight="true" outlineLevel="0" collapsed="false"/>
    <row r="745" customFormat="false" ht="8.25" hidden="false" customHeight="true" outlineLevel="0" collapsed="false"/>
    <row r="746" customFormat="false" ht="8.25" hidden="false" customHeight="true" outlineLevel="0" collapsed="false"/>
    <row r="747" customFormat="false" ht="8.25" hidden="false" customHeight="true" outlineLevel="0" collapsed="false"/>
    <row r="748" customFormat="false" ht="8.25" hidden="false" customHeight="true" outlineLevel="0" collapsed="false"/>
    <row r="749" customFormat="false" ht="8.25" hidden="false" customHeight="true" outlineLevel="0" collapsed="false"/>
    <row r="750" customFormat="false" ht="8.25" hidden="false" customHeight="true" outlineLevel="0" collapsed="false"/>
    <row r="751" customFormat="false" ht="8.25" hidden="false" customHeight="true" outlineLevel="0" collapsed="false"/>
    <row r="752" customFormat="false" ht="8.25" hidden="false" customHeight="true" outlineLevel="0" collapsed="false"/>
    <row r="753" customFormat="false" ht="8.25" hidden="false" customHeight="true" outlineLevel="0" collapsed="false"/>
    <row r="754" customFormat="false" ht="8.25" hidden="false" customHeight="true" outlineLevel="0" collapsed="false"/>
    <row r="755" customFormat="false" ht="8.25" hidden="false" customHeight="true" outlineLevel="0" collapsed="false"/>
    <row r="756" customFormat="false" ht="8.25" hidden="false" customHeight="true" outlineLevel="0" collapsed="false"/>
    <row r="757" customFormat="false" ht="8.25" hidden="false" customHeight="true" outlineLevel="0" collapsed="false"/>
    <row r="758" customFormat="false" ht="8.25" hidden="false" customHeight="true" outlineLevel="0" collapsed="false"/>
    <row r="759" customFormat="false" ht="8.25" hidden="false" customHeight="true" outlineLevel="0" collapsed="false"/>
    <row r="760" customFormat="false" ht="8.25" hidden="false" customHeight="true" outlineLevel="0" collapsed="false"/>
    <row r="761" customFormat="false" ht="8.25" hidden="false" customHeight="true" outlineLevel="0" collapsed="false"/>
    <row r="762" customFormat="false" ht="8.25" hidden="false" customHeight="true" outlineLevel="0" collapsed="false"/>
    <row r="763" customFormat="false" ht="8.25" hidden="false" customHeight="true" outlineLevel="0" collapsed="false"/>
    <row r="764" customFormat="false" ht="8.25" hidden="false" customHeight="true" outlineLevel="0" collapsed="false"/>
    <row r="765" customFormat="false" ht="8.25" hidden="false" customHeight="true" outlineLevel="0" collapsed="false"/>
    <row r="766" customFormat="false" ht="8.25" hidden="false" customHeight="true" outlineLevel="0" collapsed="false"/>
    <row r="767" customFormat="false" ht="8.25" hidden="false" customHeight="true" outlineLevel="0" collapsed="false"/>
    <row r="768" customFormat="false" ht="8.25" hidden="false" customHeight="true" outlineLevel="0" collapsed="false"/>
    <row r="769" customFormat="false" ht="8.25" hidden="false" customHeight="true" outlineLevel="0" collapsed="false"/>
    <row r="770" customFormat="false" ht="8.25" hidden="false" customHeight="true" outlineLevel="0" collapsed="false"/>
    <row r="771" customFormat="false" ht="8.25" hidden="false" customHeight="true" outlineLevel="0" collapsed="false"/>
    <row r="772" customFormat="false" ht="8.25" hidden="false" customHeight="true" outlineLevel="0" collapsed="false"/>
    <row r="773" customFormat="false" ht="8.25" hidden="false" customHeight="true" outlineLevel="0" collapsed="false"/>
    <row r="774" customFormat="false" ht="8.25" hidden="false" customHeight="true" outlineLevel="0" collapsed="false"/>
    <row r="775" customFormat="false" ht="8.25" hidden="false" customHeight="true" outlineLevel="0" collapsed="false"/>
    <row r="776" customFormat="false" ht="8.25" hidden="false" customHeight="true" outlineLevel="0" collapsed="false"/>
    <row r="777" customFormat="false" ht="8.25" hidden="false" customHeight="true" outlineLevel="0" collapsed="false"/>
    <row r="778" customFormat="false" ht="8.25" hidden="false" customHeight="true" outlineLevel="0" collapsed="false"/>
    <row r="779" customFormat="false" ht="8.25" hidden="false" customHeight="true" outlineLevel="0" collapsed="false"/>
    <row r="780" customFormat="false" ht="8.25" hidden="false" customHeight="true" outlineLevel="0" collapsed="false"/>
    <row r="781" customFormat="false" ht="8.25" hidden="false" customHeight="true" outlineLevel="0" collapsed="false"/>
    <row r="782" customFormat="false" ht="8.25" hidden="false" customHeight="true" outlineLevel="0" collapsed="false"/>
    <row r="783" customFormat="false" ht="8.25" hidden="false" customHeight="true" outlineLevel="0" collapsed="false"/>
    <row r="784" customFormat="false" ht="8.25" hidden="false" customHeight="true" outlineLevel="0" collapsed="false"/>
    <row r="785" customFormat="false" ht="8.25" hidden="false" customHeight="true" outlineLevel="0" collapsed="false"/>
    <row r="786" customFormat="false" ht="8.25" hidden="false" customHeight="true" outlineLevel="0" collapsed="false"/>
    <row r="787" customFormat="false" ht="8.25" hidden="false" customHeight="true" outlineLevel="0" collapsed="false"/>
    <row r="788" customFormat="false" ht="8.25" hidden="false" customHeight="true" outlineLevel="0" collapsed="false"/>
    <row r="789" customFormat="false" ht="8.25" hidden="false" customHeight="true" outlineLevel="0" collapsed="false"/>
    <row r="790" customFormat="false" ht="8.25" hidden="false" customHeight="true" outlineLevel="0" collapsed="false"/>
    <row r="791" customFormat="false" ht="8.25" hidden="false" customHeight="true" outlineLevel="0" collapsed="false"/>
    <row r="792" customFormat="false" ht="8.25" hidden="false" customHeight="true" outlineLevel="0" collapsed="false"/>
    <row r="793" customFormat="false" ht="8.25" hidden="false" customHeight="true" outlineLevel="0" collapsed="false"/>
    <row r="794" customFormat="false" ht="8.25" hidden="false" customHeight="true" outlineLevel="0" collapsed="false"/>
    <row r="795" customFormat="false" ht="8.25" hidden="false" customHeight="true" outlineLevel="0" collapsed="false"/>
    <row r="796" customFormat="false" ht="8.25" hidden="false" customHeight="true" outlineLevel="0" collapsed="false"/>
    <row r="797" customFormat="false" ht="8.25" hidden="false" customHeight="true" outlineLevel="0" collapsed="false"/>
    <row r="798" customFormat="false" ht="8.25" hidden="false" customHeight="true" outlineLevel="0" collapsed="false"/>
    <row r="799" customFormat="false" ht="8.25" hidden="false" customHeight="true" outlineLevel="0" collapsed="false"/>
    <row r="800" customFormat="false" ht="8.25" hidden="false" customHeight="true" outlineLevel="0" collapsed="false"/>
    <row r="801" customFormat="false" ht="8.25" hidden="false" customHeight="true" outlineLevel="0" collapsed="false"/>
    <row r="802" customFormat="false" ht="8.25" hidden="false" customHeight="true" outlineLevel="0" collapsed="false"/>
    <row r="803" customFormat="false" ht="8.25" hidden="false" customHeight="true" outlineLevel="0" collapsed="false"/>
    <row r="804" customFormat="false" ht="8.25" hidden="false" customHeight="true" outlineLevel="0" collapsed="false"/>
    <row r="805" customFormat="false" ht="8.25" hidden="false" customHeight="true" outlineLevel="0" collapsed="false"/>
    <row r="806" customFormat="false" ht="8.25" hidden="false" customHeight="true" outlineLevel="0" collapsed="false"/>
    <row r="807" customFormat="false" ht="8.25" hidden="false" customHeight="true" outlineLevel="0" collapsed="false"/>
    <row r="808" customFormat="false" ht="8.25" hidden="false" customHeight="true" outlineLevel="0" collapsed="false"/>
    <row r="809" customFormat="false" ht="8.25" hidden="false" customHeight="true" outlineLevel="0" collapsed="false"/>
    <row r="810" customFormat="false" ht="8.25" hidden="false" customHeight="true" outlineLevel="0" collapsed="false"/>
    <row r="811" customFormat="false" ht="8.25" hidden="false" customHeight="true" outlineLevel="0" collapsed="false"/>
    <row r="812" customFormat="false" ht="8.25" hidden="false" customHeight="true" outlineLevel="0" collapsed="false"/>
    <row r="813" customFormat="false" ht="8.25" hidden="false" customHeight="true" outlineLevel="0" collapsed="false"/>
    <row r="814" customFormat="false" ht="8.25" hidden="false" customHeight="true" outlineLevel="0" collapsed="false"/>
    <row r="815" customFormat="false" ht="8.25" hidden="false" customHeight="true" outlineLevel="0" collapsed="false"/>
    <row r="816" customFormat="false" ht="8.25" hidden="false" customHeight="true" outlineLevel="0" collapsed="false"/>
    <row r="817" customFormat="false" ht="8.25" hidden="false" customHeight="true" outlineLevel="0" collapsed="false"/>
    <row r="818" customFormat="false" ht="8.25" hidden="false" customHeight="true" outlineLevel="0" collapsed="false"/>
    <row r="819" customFormat="false" ht="8.25" hidden="false" customHeight="true" outlineLevel="0" collapsed="false"/>
    <row r="820" customFormat="false" ht="8.25" hidden="false" customHeight="true" outlineLevel="0" collapsed="false"/>
    <row r="821" customFormat="false" ht="8.25" hidden="false" customHeight="true" outlineLevel="0" collapsed="false"/>
    <row r="822" customFormat="false" ht="8.25" hidden="false" customHeight="true" outlineLevel="0" collapsed="false"/>
    <row r="823" customFormat="false" ht="8.25" hidden="false" customHeight="true" outlineLevel="0" collapsed="false"/>
    <row r="824" customFormat="false" ht="8.25" hidden="false" customHeight="true" outlineLevel="0" collapsed="false"/>
    <row r="825" customFormat="false" ht="8.25" hidden="false" customHeight="true" outlineLevel="0" collapsed="false"/>
    <row r="826" customFormat="false" ht="8.25" hidden="false" customHeight="true" outlineLevel="0" collapsed="false"/>
    <row r="827" customFormat="false" ht="8.25" hidden="false" customHeight="true" outlineLevel="0" collapsed="false"/>
    <row r="828" customFormat="false" ht="8.25" hidden="false" customHeight="true" outlineLevel="0" collapsed="false"/>
    <row r="829" customFormat="false" ht="8.25" hidden="false" customHeight="true" outlineLevel="0" collapsed="false"/>
    <row r="830" customFormat="false" ht="8.25" hidden="false" customHeight="true" outlineLevel="0" collapsed="false"/>
    <row r="831" customFormat="false" ht="8.25" hidden="false" customHeight="true" outlineLevel="0" collapsed="false"/>
    <row r="832" customFormat="false" ht="8.25" hidden="false" customHeight="true" outlineLevel="0" collapsed="false"/>
    <row r="833" customFormat="false" ht="8.25" hidden="false" customHeight="true" outlineLevel="0" collapsed="false"/>
    <row r="834" customFormat="false" ht="8.25" hidden="false" customHeight="true" outlineLevel="0" collapsed="false"/>
    <row r="835" customFormat="false" ht="8.25" hidden="false" customHeight="true" outlineLevel="0" collapsed="false"/>
    <row r="836" customFormat="false" ht="8.25" hidden="false" customHeight="true" outlineLevel="0" collapsed="false"/>
    <row r="837" customFormat="false" ht="8.25" hidden="false" customHeight="true" outlineLevel="0" collapsed="false"/>
    <row r="838" customFormat="false" ht="8.25" hidden="false" customHeight="true" outlineLevel="0" collapsed="false"/>
    <row r="839" customFormat="false" ht="8.25" hidden="false" customHeight="true" outlineLevel="0" collapsed="false"/>
    <row r="840" customFormat="false" ht="8.25" hidden="false" customHeight="true" outlineLevel="0" collapsed="false"/>
    <row r="841" customFormat="false" ht="8.25" hidden="false" customHeight="true" outlineLevel="0" collapsed="false"/>
    <row r="842" customFormat="false" ht="8.25" hidden="false" customHeight="true" outlineLevel="0" collapsed="false"/>
    <row r="843" customFormat="false" ht="8.25" hidden="false" customHeight="true" outlineLevel="0" collapsed="false"/>
    <row r="844" customFormat="false" ht="8.25" hidden="false" customHeight="true" outlineLevel="0" collapsed="false"/>
    <row r="845" customFormat="false" ht="8.25" hidden="false" customHeight="true" outlineLevel="0" collapsed="false"/>
    <row r="846" customFormat="false" ht="8.25" hidden="false" customHeight="true" outlineLevel="0" collapsed="false"/>
    <row r="847" customFormat="false" ht="8.25" hidden="false" customHeight="true" outlineLevel="0" collapsed="false"/>
    <row r="848" customFormat="false" ht="8.25" hidden="false" customHeight="true" outlineLevel="0" collapsed="false"/>
    <row r="849" customFormat="false" ht="8.25" hidden="false" customHeight="true" outlineLevel="0" collapsed="false"/>
    <row r="850" customFormat="false" ht="8.25" hidden="false" customHeight="true" outlineLevel="0" collapsed="false"/>
    <row r="851" customFormat="false" ht="8.25" hidden="false" customHeight="true" outlineLevel="0" collapsed="false"/>
    <row r="852" customFormat="false" ht="8.25" hidden="false" customHeight="true" outlineLevel="0" collapsed="false"/>
    <row r="853" customFormat="false" ht="8.25" hidden="false" customHeight="true" outlineLevel="0" collapsed="false"/>
    <row r="854" customFormat="false" ht="8.25" hidden="false" customHeight="true" outlineLevel="0" collapsed="false"/>
    <row r="855" customFormat="false" ht="8.25" hidden="false" customHeight="true" outlineLevel="0" collapsed="false"/>
    <row r="856" customFormat="false" ht="8.25" hidden="false" customHeight="true" outlineLevel="0" collapsed="false"/>
    <row r="857" customFormat="false" ht="8.25" hidden="false" customHeight="true" outlineLevel="0" collapsed="false"/>
    <row r="858" customFormat="false" ht="8.25" hidden="false" customHeight="true" outlineLevel="0" collapsed="false"/>
    <row r="859" customFormat="false" ht="8.25" hidden="false" customHeight="true" outlineLevel="0" collapsed="false"/>
    <row r="860" customFormat="false" ht="8.25" hidden="false" customHeight="true" outlineLevel="0" collapsed="false"/>
    <row r="861" customFormat="false" ht="8.25" hidden="false" customHeight="true" outlineLevel="0" collapsed="false"/>
    <row r="862" customFormat="false" ht="8.25" hidden="false" customHeight="true" outlineLevel="0" collapsed="false"/>
    <row r="863" customFormat="false" ht="8.25" hidden="false" customHeight="true" outlineLevel="0" collapsed="false"/>
    <row r="864" customFormat="false" ht="8.25" hidden="false" customHeight="true" outlineLevel="0" collapsed="false"/>
    <row r="865" customFormat="false" ht="8.25" hidden="false" customHeight="true" outlineLevel="0" collapsed="false"/>
    <row r="866" customFormat="false" ht="8.25" hidden="false" customHeight="true" outlineLevel="0" collapsed="false"/>
    <row r="867" customFormat="false" ht="8.25" hidden="false" customHeight="true" outlineLevel="0" collapsed="false"/>
    <row r="868" customFormat="false" ht="8.25" hidden="false" customHeight="true" outlineLevel="0" collapsed="false"/>
    <row r="869" customFormat="false" ht="8.25" hidden="false" customHeight="true" outlineLevel="0" collapsed="false"/>
    <row r="870" customFormat="false" ht="8.25" hidden="false" customHeight="true" outlineLevel="0" collapsed="false"/>
    <row r="871" customFormat="false" ht="8.25" hidden="false" customHeight="true" outlineLevel="0" collapsed="false"/>
    <row r="872" customFormat="false" ht="8.25" hidden="false" customHeight="true" outlineLevel="0" collapsed="false"/>
    <row r="873" customFormat="false" ht="8.25" hidden="false" customHeight="true" outlineLevel="0" collapsed="false"/>
    <row r="874" customFormat="false" ht="8.25" hidden="false" customHeight="true" outlineLevel="0" collapsed="false"/>
    <row r="875" customFormat="false" ht="8.25" hidden="false" customHeight="true" outlineLevel="0" collapsed="false"/>
    <row r="876" customFormat="false" ht="8.25" hidden="false" customHeight="true" outlineLevel="0" collapsed="false"/>
    <row r="877" customFormat="false" ht="8.25" hidden="false" customHeight="true" outlineLevel="0" collapsed="false"/>
    <row r="878" customFormat="false" ht="8.25" hidden="false" customHeight="true" outlineLevel="0" collapsed="false"/>
    <row r="879" customFormat="false" ht="8.25" hidden="false" customHeight="true" outlineLevel="0" collapsed="false"/>
    <row r="880" customFormat="false" ht="8.25" hidden="false" customHeight="true" outlineLevel="0" collapsed="false"/>
    <row r="881" customFormat="false" ht="8.25" hidden="false" customHeight="true" outlineLevel="0" collapsed="false"/>
    <row r="882" customFormat="false" ht="8.25" hidden="false" customHeight="true" outlineLevel="0" collapsed="false"/>
    <row r="883" customFormat="false" ht="8.25" hidden="false" customHeight="true" outlineLevel="0" collapsed="false"/>
    <row r="884" customFormat="false" ht="8.25" hidden="false" customHeight="true" outlineLevel="0" collapsed="false"/>
    <row r="885" customFormat="false" ht="8.25" hidden="false" customHeight="true" outlineLevel="0" collapsed="false"/>
    <row r="886" customFormat="false" ht="8.25" hidden="false" customHeight="true" outlineLevel="0" collapsed="false"/>
    <row r="887" customFormat="false" ht="8.25" hidden="false" customHeight="true" outlineLevel="0" collapsed="false"/>
    <row r="888" customFormat="false" ht="8.25" hidden="false" customHeight="true" outlineLevel="0" collapsed="false"/>
    <row r="889" customFormat="false" ht="8.25" hidden="false" customHeight="true" outlineLevel="0" collapsed="false"/>
    <row r="890" customFormat="false" ht="8.25" hidden="false" customHeight="true" outlineLevel="0" collapsed="false"/>
    <row r="891" customFormat="false" ht="8.25" hidden="false" customHeight="true" outlineLevel="0" collapsed="false"/>
    <row r="892" customFormat="false" ht="8.25" hidden="false" customHeight="true" outlineLevel="0" collapsed="false"/>
    <row r="893" customFormat="false" ht="8.25" hidden="false" customHeight="true" outlineLevel="0" collapsed="false"/>
    <row r="894" customFormat="false" ht="8.25" hidden="false" customHeight="true" outlineLevel="0" collapsed="false"/>
    <row r="895" customFormat="false" ht="8.25" hidden="false" customHeight="true" outlineLevel="0" collapsed="false"/>
    <row r="896" customFormat="false" ht="8.25" hidden="false" customHeight="true" outlineLevel="0" collapsed="false"/>
    <row r="897" customFormat="false" ht="8.25" hidden="false" customHeight="true" outlineLevel="0" collapsed="false"/>
    <row r="898" customFormat="false" ht="8.25" hidden="false" customHeight="true" outlineLevel="0" collapsed="false"/>
    <row r="899" customFormat="false" ht="8.25" hidden="false" customHeight="true" outlineLevel="0" collapsed="false"/>
    <row r="900" customFormat="false" ht="8.25" hidden="false" customHeight="true" outlineLevel="0" collapsed="false"/>
    <row r="901" customFormat="false" ht="8.25" hidden="false" customHeight="true" outlineLevel="0" collapsed="false"/>
    <row r="902" customFormat="false" ht="8.25" hidden="false" customHeight="true" outlineLevel="0" collapsed="false"/>
    <row r="903" customFormat="false" ht="8.25" hidden="false" customHeight="true" outlineLevel="0" collapsed="false"/>
    <row r="904" customFormat="false" ht="8.25" hidden="false" customHeight="true" outlineLevel="0" collapsed="false"/>
    <row r="905" customFormat="false" ht="8.25" hidden="false" customHeight="true" outlineLevel="0" collapsed="false"/>
    <row r="906" customFormat="false" ht="8.25" hidden="false" customHeight="true" outlineLevel="0" collapsed="false"/>
    <row r="907" customFormat="false" ht="8.25" hidden="false" customHeight="true" outlineLevel="0" collapsed="false"/>
    <row r="908" customFormat="false" ht="8.25" hidden="false" customHeight="true" outlineLevel="0" collapsed="false"/>
    <row r="909" customFormat="false" ht="8.25" hidden="false" customHeight="true" outlineLevel="0" collapsed="false"/>
    <row r="910" customFormat="false" ht="8.25" hidden="false" customHeight="true" outlineLevel="0" collapsed="false"/>
    <row r="911" customFormat="false" ht="8.25" hidden="false" customHeight="true" outlineLevel="0" collapsed="false"/>
    <row r="912" customFormat="false" ht="8.25" hidden="false" customHeight="true" outlineLevel="0" collapsed="false"/>
    <row r="913" customFormat="false" ht="8.25" hidden="false" customHeight="true" outlineLevel="0" collapsed="false"/>
    <row r="914" customFormat="false" ht="8.25" hidden="false" customHeight="true" outlineLevel="0" collapsed="false"/>
    <row r="915" customFormat="false" ht="8.25" hidden="false" customHeight="true" outlineLevel="0" collapsed="false"/>
    <row r="916" customFormat="false" ht="8.25" hidden="false" customHeight="true" outlineLevel="0" collapsed="false"/>
    <row r="917" customFormat="false" ht="8.25" hidden="false" customHeight="true" outlineLevel="0" collapsed="false"/>
    <row r="918" customFormat="false" ht="8.25" hidden="false" customHeight="true" outlineLevel="0" collapsed="false"/>
    <row r="919" customFormat="false" ht="8.25" hidden="false" customHeight="true" outlineLevel="0" collapsed="false"/>
    <row r="920" customFormat="false" ht="8.25" hidden="false" customHeight="true" outlineLevel="0" collapsed="false"/>
    <row r="921" customFormat="false" ht="8.25" hidden="false" customHeight="true" outlineLevel="0" collapsed="false"/>
    <row r="922" customFormat="false" ht="8.25" hidden="false" customHeight="true" outlineLevel="0" collapsed="false"/>
    <row r="923" customFormat="false" ht="8.25" hidden="false" customHeight="true" outlineLevel="0" collapsed="false"/>
    <row r="924" customFormat="false" ht="8.25" hidden="false" customHeight="true" outlineLevel="0" collapsed="false"/>
    <row r="925" customFormat="false" ht="8.25" hidden="false" customHeight="true" outlineLevel="0" collapsed="false"/>
    <row r="926" customFormat="false" ht="8.25" hidden="false" customHeight="true" outlineLevel="0" collapsed="false"/>
    <row r="927" customFormat="false" ht="8.25" hidden="false" customHeight="true" outlineLevel="0" collapsed="false"/>
    <row r="928" customFormat="false" ht="8.25" hidden="false" customHeight="true" outlineLevel="0" collapsed="false"/>
    <row r="929" customFormat="false" ht="8.25" hidden="false" customHeight="true" outlineLevel="0" collapsed="false"/>
    <row r="930" customFormat="false" ht="8.25" hidden="false" customHeight="true" outlineLevel="0" collapsed="false"/>
    <row r="931" customFormat="false" ht="8.25" hidden="false" customHeight="true" outlineLevel="0" collapsed="false"/>
    <row r="932" customFormat="false" ht="8.25" hidden="false" customHeight="true" outlineLevel="0" collapsed="false"/>
    <row r="933" customFormat="false" ht="8.25" hidden="false" customHeight="true" outlineLevel="0" collapsed="false"/>
    <row r="934" customFormat="false" ht="8.25" hidden="false" customHeight="true" outlineLevel="0" collapsed="false"/>
    <row r="935" customFormat="false" ht="8.25" hidden="false" customHeight="true" outlineLevel="0" collapsed="false"/>
    <row r="936" customFormat="false" ht="8.25" hidden="false" customHeight="true" outlineLevel="0" collapsed="false"/>
    <row r="937" customFormat="false" ht="8.25" hidden="false" customHeight="true" outlineLevel="0" collapsed="false"/>
    <row r="938" customFormat="false" ht="8.25" hidden="false" customHeight="true" outlineLevel="0" collapsed="false"/>
    <row r="939" customFormat="false" ht="8.25" hidden="false" customHeight="true" outlineLevel="0" collapsed="false"/>
    <row r="940" customFormat="false" ht="8.25" hidden="false" customHeight="true" outlineLevel="0" collapsed="false"/>
    <row r="941" customFormat="false" ht="8.25" hidden="false" customHeight="true" outlineLevel="0" collapsed="false"/>
    <row r="942" customFormat="false" ht="8.25" hidden="false" customHeight="true" outlineLevel="0" collapsed="false"/>
    <row r="943" customFormat="false" ht="8.25" hidden="false" customHeight="true" outlineLevel="0" collapsed="false"/>
    <row r="944" customFormat="false" ht="8.25" hidden="false" customHeight="true" outlineLevel="0" collapsed="false"/>
    <row r="945" customFormat="false" ht="8.25" hidden="false" customHeight="true" outlineLevel="0" collapsed="false"/>
    <row r="946" customFormat="false" ht="8.25" hidden="false" customHeight="true" outlineLevel="0" collapsed="false"/>
    <row r="947" customFormat="false" ht="8.25" hidden="false" customHeight="true" outlineLevel="0" collapsed="false"/>
    <row r="948" customFormat="false" ht="8.25" hidden="false" customHeight="true" outlineLevel="0" collapsed="false"/>
    <row r="949" customFormat="false" ht="8.25" hidden="false" customHeight="true" outlineLevel="0" collapsed="false"/>
    <row r="950" customFormat="false" ht="8.25" hidden="false" customHeight="true" outlineLevel="0" collapsed="false"/>
    <row r="951" customFormat="false" ht="8.25" hidden="false" customHeight="true" outlineLevel="0" collapsed="false"/>
    <row r="952" customFormat="false" ht="8.25" hidden="false" customHeight="true" outlineLevel="0" collapsed="false"/>
    <row r="953" customFormat="false" ht="8.25" hidden="false" customHeight="true" outlineLevel="0" collapsed="false"/>
    <row r="954" customFormat="false" ht="8.25" hidden="false" customHeight="true" outlineLevel="0" collapsed="false"/>
    <row r="955" customFormat="false" ht="8.25" hidden="false" customHeight="true" outlineLevel="0" collapsed="false"/>
    <row r="956" customFormat="false" ht="8.25" hidden="false" customHeight="true" outlineLevel="0" collapsed="false"/>
    <row r="957" customFormat="false" ht="8.25" hidden="false" customHeight="true" outlineLevel="0" collapsed="false"/>
    <row r="958" customFormat="false" ht="8.25" hidden="false" customHeight="true" outlineLevel="0" collapsed="false"/>
    <row r="959" customFormat="false" ht="8.25" hidden="false" customHeight="true" outlineLevel="0" collapsed="false"/>
    <row r="960" customFormat="false" ht="8.25" hidden="false" customHeight="true" outlineLevel="0" collapsed="false"/>
    <row r="961" customFormat="false" ht="8.25" hidden="false" customHeight="true" outlineLevel="0" collapsed="false"/>
    <row r="962" customFormat="false" ht="8.25" hidden="false" customHeight="true" outlineLevel="0" collapsed="false"/>
    <row r="963" customFormat="false" ht="8.25" hidden="false" customHeight="true" outlineLevel="0" collapsed="false"/>
    <row r="964" customFormat="false" ht="8.25" hidden="false" customHeight="true" outlineLevel="0" collapsed="false"/>
    <row r="965" customFormat="false" ht="8.25" hidden="false" customHeight="true" outlineLevel="0" collapsed="false"/>
    <row r="966" customFormat="false" ht="8.25" hidden="false" customHeight="true" outlineLevel="0" collapsed="false"/>
    <row r="967" customFormat="false" ht="8.25" hidden="false" customHeight="true" outlineLevel="0" collapsed="false"/>
    <row r="968" customFormat="false" ht="8.25" hidden="false" customHeight="true" outlineLevel="0" collapsed="false"/>
    <row r="969" customFormat="false" ht="8.25" hidden="false" customHeight="true" outlineLevel="0" collapsed="false"/>
    <row r="970" customFormat="false" ht="8.25" hidden="false" customHeight="true" outlineLevel="0" collapsed="false"/>
    <row r="971" customFormat="false" ht="8.25" hidden="false" customHeight="true" outlineLevel="0" collapsed="false"/>
    <row r="972" customFormat="false" ht="8.25" hidden="false" customHeight="true" outlineLevel="0" collapsed="false"/>
    <row r="973" customFormat="false" ht="8.25" hidden="false" customHeight="true" outlineLevel="0" collapsed="false"/>
    <row r="974" customFormat="false" ht="8.25" hidden="false" customHeight="true" outlineLevel="0" collapsed="false"/>
  </sheetData>
  <mergeCells count="13">
    <mergeCell ref="B2:D2"/>
    <mergeCell ref="B4:C4"/>
    <mergeCell ref="D4:I4"/>
    <mergeCell ref="B6:M8"/>
    <mergeCell ref="B12:D12"/>
    <mergeCell ref="E12:BM12"/>
    <mergeCell ref="B30:D30"/>
    <mergeCell ref="E30:BM30"/>
    <mergeCell ref="C59:K59"/>
    <mergeCell ref="B72:C72"/>
    <mergeCell ref="C81:M81"/>
    <mergeCell ref="C82:M82"/>
    <mergeCell ref="C83:M83"/>
  </mergeCells>
  <conditionalFormatting sqref="E13:BL13">
    <cfRule type="expression" priority="2" aboveAverage="0" equalAverage="0" bottom="0" percent="0" rank="0" text="" dxfId="3">
      <formula>COLUMN()-COLUMN($E$13)+1&gt;VALUE(LEFT($C$11,2))</formula>
    </cfRule>
  </conditionalFormatting>
  <printOptions headings="false" gridLines="false" gridLinesSet="true" horizontalCentered="false" verticalCentered="false"/>
  <pageMargins left="0.196527777777778" right="0.118055555555556" top="0.157638888888889" bottom="0.157638888888889" header="0.511811023622047" footer="0.511811023622047"/>
  <pageSetup paperSize="9" scale="100" fitToWidth="3"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B9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7" activeCellId="0" sqref="B17"/>
    </sheetView>
  </sheetViews>
  <sheetFormatPr defaultColWidth="4.40234375" defaultRowHeight="15" zeroHeight="false" outlineLevelRow="0" outlineLevelCol="0"/>
  <cols>
    <col collapsed="false" customWidth="false" hidden="false" outlineLevel="0" max="1" min="1" style="205" width="4.4"/>
    <col collapsed="false" customWidth="true" hidden="false" outlineLevel="0" max="2" min="2" style="206" width="152.5"/>
    <col collapsed="false" customWidth="false" hidden="false" outlineLevel="0" max="16384" min="3" style="205" width="4.4"/>
  </cols>
  <sheetData>
    <row r="1" customFormat="false" ht="15" hidden="false" customHeight="false" outlineLevel="0" collapsed="false">
      <c r="B1" s="207" t="s">
        <v>287</v>
      </c>
    </row>
    <row r="2" customFormat="false" ht="15" hidden="false" customHeight="false" outlineLevel="0" collapsed="false">
      <c r="B2" s="207" t="s">
        <v>288</v>
      </c>
    </row>
    <row r="3" customFormat="false" ht="15" hidden="false" customHeight="false" outlineLevel="0" collapsed="false">
      <c r="B3" s="208" t="s">
        <v>289</v>
      </c>
    </row>
    <row r="4" customFormat="false" ht="15" hidden="false" customHeight="false" outlineLevel="0" collapsed="false">
      <c r="B4" s="208" t="s">
        <v>290</v>
      </c>
    </row>
    <row r="5" customFormat="false" ht="15" hidden="false" customHeight="false" outlineLevel="0" collapsed="false">
      <c r="B5" s="207" t="s">
        <v>291</v>
      </c>
    </row>
    <row r="6" s="205" customFormat="true" ht="15" hidden="false" customHeight="false" outlineLevel="0" collapsed="false"/>
    <row r="7" customFormat="false" ht="15" hidden="false" customHeight="false" outlineLevel="0" collapsed="false">
      <c r="B7" s="206" t="s">
        <v>292</v>
      </c>
    </row>
    <row r="8" customFormat="false" ht="15" hidden="false" customHeight="false" outlineLevel="0" collapsed="false">
      <c r="B8" s="208"/>
    </row>
    <row r="9" customFormat="false" ht="15" hidden="false" customHeight="false" outlineLevel="0" collapsed="false">
      <c r="B9" s="208" t="s">
        <v>293</v>
      </c>
    </row>
    <row r="10" customFormat="false" ht="15" hidden="false" customHeight="false" outlineLevel="0" collapsed="false">
      <c r="B10" s="208" t="s">
        <v>294</v>
      </c>
    </row>
    <row r="11" customFormat="false" ht="15" hidden="false" customHeight="false" outlineLevel="0" collapsed="false">
      <c r="B11" s="208" t="s">
        <v>295</v>
      </c>
    </row>
    <row r="12" customFormat="false" ht="15" hidden="false" customHeight="false" outlineLevel="0" collapsed="false">
      <c r="B12" s="208" t="s">
        <v>296</v>
      </c>
    </row>
    <row r="13" customFormat="false" ht="15" hidden="false" customHeight="false" outlineLevel="0" collapsed="false">
      <c r="B13" s="208"/>
    </row>
    <row r="14" customFormat="false" ht="30.75" hidden="false" customHeight="true" outlineLevel="0" collapsed="false">
      <c r="B14" s="208" t="s">
        <v>297</v>
      </c>
    </row>
    <row r="15" s="205" customFormat="true" ht="15" hidden="false" customHeight="false" outlineLevel="0" collapsed="false"/>
    <row r="16" customFormat="false" ht="30.75" hidden="false" customHeight="true" outlineLevel="0" collapsed="false">
      <c r="B16" s="206" t="s">
        <v>298</v>
      </c>
    </row>
    <row r="17" customFormat="false" ht="15" hidden="false" customHeight="false" outlineLevel="0" collapsed="false">
      <c r="B17" s="208"/>
    </row>
    <row r="18" customFormat="false" ht="15" hidden="false" customHeight="false" outlineLevel="0" collapsed="false">
      <c r="B18" s="207" t="s">
        <v>299</v>
      </c>
    </row>
    <row r="19" customFormat="false" ht="15" hidden="false" customHeight="false" outlineLevel="0" collapsed="false">
      <c r="B19" s="208"/>
    </row>
    <row r="20" customFormat="false" ht="15" hidden="false" customHeight="false" outlineLevel="0" collapsed="false">
      <c r="B20" s="208" t="s">
        <v>300</v>
      </c>
    </row>
    <row r="21" customFormat="false" ht="15" hidden="false" customHeight="false" outlineLevel="0" collapsed="false">
      <c r="B21" s="208"/>
    </row>
    <row r="22" customFormat="false" ht="15" hidden="false" customHeight="false" outlineLevel="0" collapsed="false">
      <c r="B22" s="208" t="s">
        <v>301</v>
      </c>
    </row>
    <row r="23" customFormat="false" ht="15" hidden="false" customHeight="false" outlineLevel="0" collapsed="false">
      <c r="B23" s="208"/>
    </row>
    <row r="24" customFormat="false" ht="15" hidden="false" customHeight="false" outlineLevel="0" collapsed="false">
      <c r="B24" s="207" t="s">
        <v>302</v>
      </c>
    </row>
    <row r="25" customFormat="false" ht="15" hidden="false" customHeight="false" outlineLevel="0" collapsed="false">
      <c r="B25" s="208"/>
    </row>
    <row r="26" customFormat="false" ht="15" hidden="false" customHeight="false" outlineLevel="0" collapsed="false">
      <c r="B26" s="208" t="s">
        <v>303</v>
      </c>
    </row>
    <row r="27" customFormat="false" ht="15" hidden="false" customHeight="false" outlineLevel="0" collapsed="false">
      <c r="B27" s="208"/>
    </row>
    <row r="28" customFormat="false" ht="15" hidden="false" customHeight="false" outlineLevel="0" collapsed="false">
      <c r="B28" s="208" t="s">
        <v>304</v>
      </c>
    </row>
    <row r="29" customFormat="false" ht="15" hidden="false" customHeight="false" outlineLevel="0" collapsed="false">
      <c r="B29" s="208" t="s">
        <v>305</v>
      </c>
    </row>
    <row r="30" customFormat="false" ht="15" hidden="false" customHeight="false" outlineLevel="0" collapsed="false">
      <c r="B30" s="208" t="s">
        <v>306</v>
      </c>
    </row>
    <row r="31" customFormat="false" ht="15" hidden="false" customHeight="false" outlineLevel="0" collapsed="false">
      <c r="B31" s="208" t="s">
        <v>307</v>
      </c>
    </row>
    <row r="32" customFormat="false" ht="15" hidden="false" customHeight="false" outlineLevel="0" collapsed="false">
      <c r="B32" s="208" t="s">
        <v>308</v>
      </c>
    </row>
    <row r="33" customFormat="false" ht="15" hidden="false" customHeight="false" outlineLevel="0" collapsed="false">
      <c r="B33" s="208" t="s">
        <v>309</v>
      </c>
    </row>
    <row r="34" customFormat="false" ht="15" hidden="false" customHeight="false" outlineLevel="0" collapsed="false">
      <c r="B34" s="208"/>
    </row>
    <row r="35" customFormat="false" ht="15" hidden="false" customHeight="false" outlineLevel="0" collapsed="false">
      <c r="B35" s="208" t="s">
        <v>310</v>
      </c>
    </row>
    <row r="36" customFormat="false" ht="30.75" hidden="false" customHeight="true" outlineLevel="0" collapsed="false">
      <c r="B36" s="208" t="s">
        <v>311</v>
      </c>
    </row>
    <row r="37" customFormat="false" ht="15" hidden="false" customHeight="false" outlineLevel="0" collapsed="false">
      <c r="B37" s="208" t="s">
        <v>312</v>
      </c>
    </row>
    <row r="38" customFormat="false" ht="15" hidden="false" customHeight="false" outlineLevel="0" collapsed="false">
      <c r="B38" s="208"/>
    </row>
    <row r="39" customFormat="false" ht="15" hidden="false" customHeight="false" outlineLevel="0" collapsed="false">
      <c r="B39" s="208" t="s">
        <v>313</v>
      </c>
    </row>
    <row r="40" customFormat="false" ht="15" hidden="false" customHeight="false" outlineLevel="0" collapsed="false">
      <c r="B40" s="208"/>
    </row>
    <row r="41" customFormat="false" ht="15" hidden="false" customHeight="false" outlineLevel="0" collapsed="false">
      <c r="B41" s="208" t="s">
        <v>314</v>
      </c>
    </row>
    <row r="42" customFormat="false" ht="15" hidden="false" customHeight="false" outlineLevel="0" collapsed="false">
      <c r="B42" s="208"/>
    </row>
    <row r="43" customFormat="false" ht="15" hidden="false" customHeight="false" outlineLevel="0" collapsed="false">
      <c r="B43" s="208" t="s">
        <v>315</v>
      </c>
    </row>
    <row r="44" customFormat="false" ht="15" hidden="false" customHeight="false" outlineLevel="0" collapsed="false">
      <c r="B44" s="208"/>
    </row>
    <row r="45" customFormat="false" ht="15" hidden="false" customHeight="false" outlineLevel="0" collapsed="false">
      <c r="B45" s="207" t="s">
        <v>316</v>
      </c>
    </row>
    <row r="46" customFormat="false" ht="15" hidden="false" customHeight="false" outlineLevel="0" collapsed="false">
      <c r="B46" s="208"/>
    </row>
    <row r="47" customFormat="false" ht="30.75" hidden="false" customHeight="true" outlineLevel="0" collapsed="false">
      <c r="B47" s="208" t="s">
        <v>317</v>
      </c>
    </row>
    <row r="48" customFormat="false" ht="15" hidden="false" customHeight="false" outlineLevel="0" collapsed="false">
      <c r="B48" s="208"/>
    </row>
    <row r="49" customFormat="false" ht="15" hidden="false" customHeight="false" outlineLevel="0" collapsed="false">
      <c r="B49" s="207" t="s">
        <v>318</v>
      </c>
    </row>
    <row r="50" customFormat="false" ht="15" hidden="false" customHeight="false" outlineLevel="0" collapsed="false">
      <c r="B50" s="208"/>
    </row>
    <row r="51" customFormat="false" ht="15" hidden="false" customHeight="false" outlineLevel="0" collapsed="false">
      <c r="B51" s="208" t="s">
        <v>319</v>
      </c>
    </row>
    <row r="52" customFormat="false" ht="30.75" hidden="false" customHeight="true" outlineLevel="0" collapsed="false">
      <c r="B52" s="208" t="s">
        <v>320</v>
      </c>
    </row>
    <row r="53" customFormat="false" ht="15" hidden="false" customHeight="false" outlineLevel="0" collapsed="false">
      <c r="B53" s="208" t="s">
        <v>321</v>
      </c>
    </row>
    <row r="54" customFormat="false" ht="15" hidden="false" customHeight="false" outlineLevel="0" collapsed="false">
      <c r="B54" s="208" t="s">
        <v>322</v>
      </c>
    </row>
    <row r="55" customFormat="false" ht="15" hidden="false" customHeight="false" outlineLevel="0" collapsed="false">
      <c r="B55" s="208" t="s">
        <v>323</v>
      </c>
    </row>
    <row r="56" customFormat="false" ht="15" hidden="false" customHeight="false" outlineLevel="0" collapsed="false">
      <c r="B56" s="208" t="s">
        <v>324</v>
      </c>
    </row>
    <row r="57" customFormat="false" ht="15" hidden="false" customHeight="false" outlineLevel="0" collapsed="false">
      <c r="B57" s="208" t="s">
        <v>325</v>
      </c>
    </row>
    <row r="58" customFormat="false" ht="15" hidden="false" customHeight="false" outlineLevel="0" collapsed="false">
      <c r="B58" s="208" t="s">
        <v>326</v>
      </c>
    </row>
    <row r="59" customFormat="false" ht="15" hidden="false" customHeight="false" outlineLevel="0" collapsed="false">
      <c r="B59" s="208" t="s">
        <v>327</v>
      </c>
    </row>
    <row r="60" customFormat="false" ht="15" hidden="false" customHeight="false" outlineLevel="0" collapsed="false">
      <c r="B60" s="208" t="s">
        <v>328</v>
      </c>
    </row>
    <row r="61" customFormat="false" ht="15" hidden="false" customHeight="false" outlineLevel="0" collapsed="false">
      <c r="B61" s="208" t="s">
        <v>329</v>
      </c>
    </row>
    <row r="62" customFormat="false" ht="15" hidden="false" customHeight="false" outlineLevel="0" collapsed="false">
      <c r="B62" s="208" t="s">
        <v>330</v>
      </c>
    </row>
    <row r="63" customFormat="false" ht="15" hidden="false" customHeight="false" outlineLevel="0" collapsed="false">
      <c r="B63" s="208" t="s">
        <v>331</v>
      </c>
    </row>
    <row r="64" customFormat="false" ht="15" hidden="false" customHeight="false" outlineLevel="0" collapsed="false">
      <c r="B64" s="208" t="s">
        <v>332</v>
      </c>
    </row>
    <row r="65" customFormat="false" ht="15" hidden="false" customHeight="false" outlineLevel="0" collapsed="false">
      <c r="B65" s="208"/>
    </row>
    <row r="66" customFormat="false" ht="15" hidden="false" customHeight="false" outlineLevel="0" collapsed="false">
      <c r="B66" s="207" t="s">
        <v>333</v>
      </c>
    </row>
    <row r="67" customFormat="false" ht="15" hidden="false" customHeight="false" outlineLevel="0" collapsed="false">
      <c r="B67" s="208"/>
    </row>
    <row r="68" customFormat="false" ht="15" hidden="false" customHeight="false" outlineLevel="0" collapsed="false">
      <c r="B68" s="208" t="s">
        <v>334</v>
      </c>
    </row>
    <row r="69" customFormat="false" ht="15" hidden="false" customHeight="false" outlineLevel="0" collapsed="false">
      <c r="B69" s="208" t="s">
        <v>335</v>
      </c>
    </row>
    <row r="70" customFormat="false" ht="15" hidden="false" customHeight="false" outlineLevel="0" collapsed="false">
      <c r="B70" s="208" t="s">
        <v>336</v>
      </c>
    </row>
    <row r="71" customFormat="false" ht="15" hidden="false" customHeight="false" outlineLevel="0" collapsed="false">
      <c r="B71" s="208"/>
    </row>
    <row r="72" customFormat="false" ht="15" hidden="false" customHeight="false" outlineLevel="0" collapsed="false">
      <c r="B72" s="207" t="s">
        <v>337</v>
      </c>
    </row>
    <row r="73" customFormat="false" ht="15" hidden="false" customHeight="false" outlineLevel="0" collapsed="false">
      <c r="B73" s="208"/>
    </row>
    <row r="74" customFormat="false" ht="15" hidden="false" customHeight="false" outlineLevel="0" collapsed="false">
      <c r="B74" s="208" t="s">
        <v>338</v>
      </c>
    </row>
    <row r="75" customFormat="false" ht="15" hidden="false" customHeight="false" outlineLevel="0" collapsed="false">
      <c r="B75" s="208"/>
    </row>
    <row r="76" customFormat="false" ht="15" hidden="false" customHeight="false" outlineLevel="0" collapsed="false">
      <c r="B76" s="208" t="s">
        <v>339</v>
      </c>
    </row>
    <row r="77" customFormat="false" ht="15" hidden="false" customHeight="false" outlineLevel="0" collapsed="false">
      <c r="B77" s="208"/>
    </row>
    <row r="78" customFormat="false" ht="15" hidden="false" customHeight="false" outlineLevel="0" collapsed="false">
      <c r="B78" s="208" t="s">
        <v>340</v>
      </c>
    </row>
    <row r="79" customFormat="false" ht="15" hidden="false" customHeight="false" outlineLevel="0" collapsed="false">
      <c r="B79" s="208"/>
    </row>
    <row r="80" customFormat="false" ht="30.75" hidden="false" customHeight="true" outlineLevel="0" collapsed="false">
      <c r="B80" s="208" t="s">
        <v>341</v>
      </c>
    </row>
    <row r="81" customFormat="false" ht="15" hidden="false" customHeight="false" outlineLevel="0" collapsed="false">
      <c r="B81" s="208"/>
    </row>
    <row r="82" customFormat="false" ht="30.75" hidden="false" customHeight="true" outlineLevel="0" collapsed="false">
      <c r="B82" s="208" t="s">
        <v>342</v>
      </c>
    </row>
    <row r="83" customFormat="false" ht="15" hidden="false" customHeight="false" outlineLevel="0" collapsed="false">
      <c r="B83" s="208"/>
    </row>
    <row r="84" customFormat="false" ht="30.75" hidden="false" customHeight="true" outlineLevel="0" collapsed="false">
      <c r="B84" s="208" t="s">
        <v>343</v>
      </c>
    </row>
    <row r="85" customFormat="false" ht="15" hidden="false" customHeight="false" outlineLevel="0" collapsed="false">
      <c r="B85" s="208"/>
    </row>
    <row r="86" customFormat="false" ht="15" hidden="false" customHeight="false" outlineLevel="0" collapsed="false">
      <c r="B86" s="207" t="s">
        <v>344</v>
      </c>
    </row>
    <row r="87" customFormat="false" ht="15" hidden="false" customHeight="false" outlineLevel="0" collapsed="false">
      <c r="B87" s="208"/>
    </row>
    <row r="88" customFormat="false" ht="15" hidden="false" customHeight="false" outlineLevel="0" collapsed="false">
      <c r="B88" s="208" t="s">
        <v>345</v>
      </c>
    </row>
    <row r="89" customFormat="false" ht="15" hidden="false" customHeight="false" outlineLevel="0" collapsed="false">
      <c r="B89" s="208"/>
    </row>
    <row r="90" customFormat="false" ht="15" hidden="false" customHeight="false" outlineLevel="0" collapsed="false">
      <c r="B90" s="207" t="s">
        <v>346</v>
      </c>
    </row>
    <row r="91" customFormat="false" ht="15" hidden="false" customHeight="false" outlineLevel="0" collapsed="false">
      <c r="B91" s="208"/>
    </row>
    <row r="92" customFormat="false" ht="30.75" hidden="false" customHeight="true" outlineLevel="0" collapsed="false">
      <c r="B92" s="208" t="s">
        <v>347</v>
      </c>
    </row>
    <row r="93" customFormat="false" ht="15" hidden="false" customHeight="false" outlineLevel="0" collapsed="false">
      <c r="B93" s="208" t="s">
        <v>348</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B93"/>
  <sheetViews>
    <sheetView showFormulas="false" showGridLines="true" showRowColHeaders="true" showZeros="true" rightToLeft="false" tabSelected="false" showOutlineSymbols="true" defaultGridColor="true" view="normal" topLeftCell="A73" colorId="64" zoomScale="100" zoomScaleNormal="100" zoomScalePageLayoutView="100" workbookViewId="0">
      <selection pane="topLeft" activeCell="A73" activeCellId="0" sqref="A73"/>
    </sheetView>
  </sheetViews>
  <sheetFormatPr defaultColWidth="8.796875" defaultRowHeight="15" zeroHeight="false" outlineLevelRow="0" outlineLevelCol="0"/>
  <cols>
    <col collapsed="false" customWidth="false" hidden="false" outlineLevel="0" max="1" min="1" style="205" width="8.8"/>
    <col collapsed="false" customWidth="true" hidden="false" outlineLevel="0" max="2" min="2" style="208" width="135.4"/>
    <col collapsed="false" customWidth="false" hidden="false" outlineLevel="0" max="16384" min="3" style="205" width="8.8"/>
  </cols>
  <sheetData>
    <row r="1" customFormat="false" ht="15" hidden="false" customHeight="false" outlineLevel="0" collapsed="false">
      <c r="B1" s="207" t="s">
        <v>287</v>
      </c>
    </row>
    <row r="2" customFormat="false" ht="15" hidden="false" customHeight="false" outlineLevel="0" collapsed="false">
      <c r="B2" s="207" t="s">
        <v>349</v>
      </c>
    </row>
    <row r="3" customFormat="false" ht="15" hidden="false" customHeight="false" outlineLevel="0" collapsed="false">
      <c r="B3" s="208" t="s">
        <v>289</v>
      </c>
    </row>
    <row r="4" customFormat="false" ht="15" hidden="false" customHeight="false" outlineLevel="0" collapsed="false">
      <c r="B4" s="205" t="s">
        <v>290</v>
      </c>
    </row>
    <row r="5" customFormat="false" ht="15" hidden="false" customHeight="false" outlineLevel="0" collapsed="false">
      <c r="B5" s="207" t="s">
        <v>291</v>
      </c>
    </row>
    <row r="6" s="205" customFormat="true" ht="15" hidden="false" customHeight="false" outlineLevel="0" collapsed="false"/>
    <row r="7" customFormat="false" ht="15" hidden="false" customHeight="false" outlineLevel="0" collapsed="false">
      <c r="B7" s="208" t="s">
        <v>350</v>
      </c>
    </row>
    <row r="8" customFormat="false" ht="15" hidden="false" customHeight="false" outlineLevel="0" collapsed="false">
      <c r="B8" s="208" t="s">
        <v>351</v>
      </c>
    </row>
    <row r="9" customFormat="false" ht="15" hidden="false" customHeight="false" outlineLevel="0" collapsed="false">
      <c r="B9" s="208" t="s">
        <v>352</v>
      </c>
    </row>
    <row r="10" customFormat="false" ht="15" hidden="false" customHeight="false" outlineLevel="0" collapsed="false">
      <c r="B10" s="208" t="s">
        <v>353</v>
      </c>
    </row>
    <row r="11" s="205" customFormat="true" ht="15" hidden="false" customHeight="false" outlineLevel="0" collapsed="false"/>
    <row r="12" customFormat="false" ht="15" hidden="false" customHeight="false" outlineLevel="0" collapsed="false">
      <c r="B12" s="208" t="s">
        <v>354</v>
      </c>
    </row>
    <row r="13" customFormat="false" ht="15" hidden="false" customHeight="false" outlineLevel="0" collapsed="false">
      <c r="B13" s="208" t="s">
        <v>355</v>
      </c>
    </row>
    <row r="14" customFormat="false" ht="15" hidden="false" customHeight="false" outlineLevel="0" collapsed="false">
      <c r="B14" s="208" t="s">
        <v>356</v>
      </c>
    </row>
    <row r="15" s="205" customFormat="true" ht="15" hidden="false" customHeight="false" outlineLevel="0" collapsed="false"/>
    <row r="16" customFormat="false" ht="15" hidden="false" customHeight="false" outlineLevel="0" collapsed="false">
      <c r="B16" s="207" t="s">
        <v>299</v>
      </c>
    </row>
    <row r="17" s="205" customFormat="true" ht="15" hidden="false" customHeight="false" outlineLevel="0" collapsed="false"/>
    <row r="18" customFormat="false" ht="15" hidden="false" customHeight="false" outlineLevel="0" collapsed="false">
      <c r="B18" s="208" t="s">
        <v>357</v>
      </c>
    </row>
    <row r="19" s="205" customFormat="true" ht="15" hidden="false" customHeight="false" outlineLevel="0" collapsed="false"/>
    <row r="20" customFormat="false" ht="15" hidden="false" customHeight="false" outlineLevel="0" collapsed="false">
      <c r="B20" s="208" t="s">
        <v>358</v>
      </c>
    </row>
    <row r="21" s="205" customFormat="true" ht="15" hidden="false" customHeight="false" outlineLevel="0" collapsed="false"/>
    <row r="22" customFormat="false" ht="15" hidden="false" customHeight="false" outlineLevel="0" collapsed="false">
      <c r="B22" s="208" t="s">
        <v>359</v>
      </c>
    </row>
    <row r="23" s="205" customFormat="true" ht="15" hidden="false" customHeight="false" outlineLevel="0" collapsed="false"/>
    <row r="24" customFormat="false" ht="15" hidden="false" customHeight="false" outlineLevel="0" collapsed="false">
      <c r="B24" s="207" t="s">
        <v>302</v>
      </c>
    </row>
    <row r="25" s="205" customFormat="true" ht="15" hidden="false" customHeight="false" outlineLevel="0" collapsed="false"/>
    <row r="26" customFormat="false" ht="15" hidden="false" customHeight="false" outlineLevel="0" collapsed="false">
      <c r="B26" s="208" t="s">
        <v>303</v>
      </c>
    </row>
    <row r="27" s="205" customFormat="true" ht="15" hidden="false" customHeight="false" outlineLevel="0" collapsed="false"/>
    <row r="28" customFormat="false" ht="15" hidden="false" customHeight="false" outlineLevel="0" collapsed="false">
      <c r="B28" s="208" t="s">
        <v>304</v>
      </c>
    </row>
    <row r="29" customFormat="false" ht="15" hidden="false" customHeight="false" outlineLevel="0" collapsed="false">
      <c r="B29" s="208" t="s">
        <v>305</v>
      </c>
    </row>
    <row r="30" customFormat="false" ht="15" hidden="false" customHeight="false" outlineLevel="0" collapsed="false">
      <c r="B30" s="208" t="s">
        <v>306</v>
      </c>
    </row>
    <row r="31" customFormat="false" ht="15" hidden="false" customHeight="false" outlineLevel="0" collapsed="false">
      <c r="B31" s="208" t="s">
        <v>307</v>
      </c>
    </row>
    <row r="32" customFormat="false" ht="15" hidden="false" customHeight="false" outlineLevel="0" collapsed="false">
      <c r="B32" s="208" t="s">
        <v>308</v>
      </c>
    </row>
    <row r="33" customFormat="false" ht="15" hidden="false" customHeight="false" outlineLevel="0" collapsed="false">
      <c r="B33" s="208" t="s">
        <v>309</v>
      </c>
    </row>
    <row r="35" customFormat="false" ht="15" hidden="false" customHeight="false" outlineLevel="0" collapsed="false">
      <c r="B35" s="205" t="s">
        <v>310</v>
      </c>
    </row>
    <row r="36" customFormat="false" ht="30.75" hidden="false" customHeight="true" outlineLevel="0" collapsed="false">
      <c r="B36" s="208" t="s">
        <v>311</v>
      </c>
    </row>
    <row r="37" customFormat="false" ht="30.75" hidden="false" customHeight="true" outlineLevel="0" collapsed="false">
      <c r="B37" s="208" t="s">
        <v>312</v>
      </c>
    </row>
    <row r="39" customFormat="false" ht="15" hidden="false" customHeight="false" outlineLevel="0" collapsed="false">
      <c r="B39" s="205" t="s">
        <v>313</v>
      </c>
    </row>
    <row r="41" customFormat="false" ht="15" hidden="false" customHeight="false" outlineLevel="0" collapsed="false">
      <c r="B41" s="205" t="s">
        <v>314</v>
      </c>
    </row>
    <row r="43" customFormat="false" ht="15" hidden="false" customHeight="false" outlineLevel="0" collapsed="false">
      <c r="B43" s="205" t="s">
        <v>360</v>
      </c>
    </row>
    <row r="45" customFormat="false" ht="15" hidden="false" customHeight="false" outlineLevel="0" collapsed="false">
      <c r="B45" s="209" t="s">
        <v>316</v>
      </c>
    </row>
    <row r="47" customFormat="false" ht="15" hidden="false" customHeight="false" outlineLevel="0" collapsed="false">
      <c r="B47" s="205" t="s">
        <v>361</v>
      </c>
    </row>
    <row r="49" customFormat="false" ht="15" hidden="false" customHeight="false" outlineLevel="0" collapsed="false">
      <c r="B49" s="209" t="s">
        <v>318</v>
      </c>
    </row>
    <row r="51" customFormat="false" ht="15" hidden="false" customHeight="false" outlineLevel="0" collapsed="false">
      <c r="B51" s="205" t="s">
        <v>319</v>
      </c>
    </row>
    <row r="52" customFormat="false" ht="30.75" hidden="false" customHeight="true" outlineLevel="0" collapsed="false">
      <c r="B52" s="208" t="s">
        <v>320</v>
      </c>
    </row>
    <row r="53" customFormat="false" ht="15" hidden="false" customHeight="false" outlineLevel="0" collapsed="false">
      <c r="B53" s="208" t="s">
        <v>321</v>
      </c>
    </row>
    <row r="54" customFormat="false" ht="15" hidden="false" customHeight="false" outlineLevel="0" collapsed="false">
      <c r="B54" s="208" t="s">
        <v>322</v>
      </c>
    </row>
    <row r="55" customFormat="false" ht="15" hidden="false" customHeight="false" outlineLevel="0" collapsed="false">
      <c r="B55" s="208" t="s">
        <v>323</v>
      </c>
    </row>
    <row r="56" customFormat="false" ht="15" hidden="false" customHeight="false" outlineLevel="0" collapsed="false">
      <c r="B56" s="208" t="s">
        <v>324</v>
      </c>
    </row>
    <row r="57" customFormat="false" ht="15" hidden="false" customHeight="false" outlineLevel="0" collapsed="false">
      <c r="B57" s="208" t="s">
        <v>325</v>
      </c>
    </row>
    <row r="58" customFormat="false" ht="15" hidden="false" customHeight="false" outlineLevel="0" collapsed="false">
      <c r="B58" s="208" t="s">
        <v>326</v>
      </c>
    </row>
    <row r="59" customFormat="false" ht="15" hidden="false" customHeight="false" outlineLevel="0" collapsed="false">
      <c r="B59" s="208" t="s">
        <v>327</v>
      </c>
    </row>
    <row r="60" customFormat="false" ht="30.75" hidden="false" customHeight="true" outlineLevel="0" collapsed="false">
      <c r="B60" s="208" t="s">
        <v>328</v>
      </c>
    </row>
    <row r="61" customFormat="false" ht="15" hidden="false" customHeight="false" outlineLevel="0" collapsed="false">
      <c r="B61" s="208" t="s">
        <v>329</v>
      </c>
    </row>
    <row r="62" customFormat="false" ht="15" hidden="false" customHeight="false" outlineLevel="0" collapsed="false">
      <c r="B62" s="208" t="s">
        <v>330</v>
      </c>
    </row>
    <row r="63" customFormat="false" ht="15" hidden="false" customHeight="false" outlineLevel="0" collapsed="false">
      <c r="B63" s="208" t="s">
        <v>331</v>
      </c>
    </row>
    <row r="64" customFormat="false" ht="15" hidden="false" customHeight="false" outlineLevel="0" collapsed="false">
      <c r="B64" s="208" t="s">
        <v>332</v>
      </c>
    </row>
    <row r="66" customFormat="false" ht="15" hidden="false" customHeight="false" outlineLevel="0" collapsed="false">
      <c r="B66" s="209" t="s">
        <v>333</v>
      </c>
    </row>
    <row r="68" customFormat="false" ht="15" hidden="false" customHeight="false" outlineLevel="0" collapsed="false">
      <c r="B68" s="205" t="s">
        <v>334</v>
      </c>
    </row>
    <row r="69" customFormat="false" ht="15" hidden="false" customHeight="false" outlineLevel="0" collapsed="false">
      <c r="B69" s="208" t="s">
        <v>335</v>
      </c>
    </row>
    <row r="70" customFormat="false" ht="15" hidden="false" customHeight="false" outlineLevel="0" collapsed="false">
      <c r="B70" s="208" t="s">
        <v>336</v>
      </c>
    </row>
    <row r="72" customFormat="false" ht="15" hidden="false" customHeight="false" outlineLevel="0" collapsed="false">
      <c r="B72" s="207" t="s">
        <v>337</v>
      </c>
    </row>
    <row r="74" customFormat="false" ht="15" hidden="false" customHeight="false" outlineLevel="0" collapsed="false">
      <c r="B74" s="208" t="s">
        <v>362</v>
      </c>
    </row>
    <row r="76" customFormat="false" ht="15" hidden="false" customHeight="false" outlineLevel="0" collapsed="false">
      <c r="B76" s="205" t="s">
        <v>363</v>
      </c>
    </row>
    <row r="78" customFormat="false" ht="15" hidden="false" customHeight="false" outlineLevel="0" collapsed="false">
      <c r="B78" s="205" t="s">
        <v>364</v>
      </c>
    </row>
    <row r="80" customFormat="false" ht="15" hidden="false" customHeight="false" outlineLevel="0" collapsed="false">
      <c r="B80" s="205" t="s">
        <v>365</v>
      </c>
    </row>
    <row r="82" customFormat="false" ht="15" hidden="false" customHeight="false" outlineLevel="0" collapsed="false">
      <c r="B82" s="205" t="s">
        <v>342</v>
      </c>
    </row>
    <row r="84" customFormat="false" ht="15" hidden="false" customHeight="false" outlineLevel="0" collapsed="false">
      <c r="B84" s="205" t="s">
        <v>343</v>
      </c>
    </row>
    <row r="86" customFormat="false" ht="15" hidden="false" customHeight="false" outlineLevel="0" collapsed="false">
      <c r="B86" s="209" t="s">
        <v>344</v>
      </c>
    </row>
    <row r="88" customFormat="false" ht="15" hidden="false" customHeight="false" outlineLevel="0" collapsed="false">
      <c r="B88" s="205" t="s">
        <v>345</v>
      </c>
    </row>
    <row r="90" customFormat="false" ht="15" hidden="false" customHeight="false" outlineLevel="0" collapsed="false">
      <c r="B90" s="209" t="s">
        <v>346</v>
      </c>
    </row>
    <row r="92" customFormat="false" ht="24" hidden="false" customHeight="true" outlineLevel="0" collapsed="false">
      <c r="B92" s="205" t="s">
        <v>366</v>
      </c>
    </row>
    <row r="93" customFormat="false" ht="36" hidden="false" customHeight="true" outlineLevel="0" collapsed="false">
      <c r="B93" s="208" t="s">
        <v>348</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796875" defaultRowHeight="15" zeroHeight="false" outlineLevelRow="0" outlineLevelCol="0"/>
  <cols>
    <col collapsed="false" customWidth="true" hidden="false" outlineLevel="0" max="1" min="1" style="205" width="24"/>
    <col collapsed="false" customWidth="true" hidden="false" outlineLevel="0" max="2" min="2" style="205" width="34"/>
    <col collapsed="false" customWidth="true" hidden="false" outlineLevel="0" max="3" min="3" style="205" width="18"/>
    <col collapsed="false" customWidth="true" hidden="false" outlineLevel="0" max="4" min="4" style="205" width="76"/>
    <col collapsed="false" customWidth="false" hidden="false" outlineLevel="0" max="16384" min="5" style="205" width="8.8"/>
  </cols>
  <sheetData>
    <row r="1" customFormat="false" ht="20.25" hidden="false" customHeight="true" outlineLevel="0" collapsed="false">
      <c r="A1" s="210" t="s">
        <v>367</v>
      </c>
      <c r="B1" s="210"/>
      <c r="C1" s="210"/>
      <c r="D1" s="210"/>
    </row>
    <row r="2" customFormat="false" ht="28.5" hidden="false" customHeight="true" outlineLevel="0" collapsed="false">
      <c r="A2" s="211" t="s">
        <v>368</v>
      </c>
      <c r="B2" s="211"/>
      <c r="C2" s="211"/>
      <c r="D2" s="211"/>
    </row>
    <row r="3" customFormat="false" ht="9" hidden="false" customHeight="true" outlineLevel="0" collapsed="false">
      <c r="A3" s="211" t="s">
        <v>369</v>
      </c>
      <c r="B3" s="211"/>
      <c r="C3" s="211"/>
      <c r="D3" s="211"/>
    </row>
    <row r="5" customFormat="false" ht="30.75" hidden="false" customHeight="true" outlineLevel="0" collapsed="false">
      <c r="A5" s="212" t="s">
        <v>370</v>
      </c>
      <c r="B5" s="212" t="s">
        <v>371</v>
      </c>
      <c r="C5" s="212" t="s">
        <v>372</v>
      </c>
      <c r="D5" s="212" t="s">
        <v>18</v>
      </c>
    </row>
    <row r="6" customFormat="false" ht="30.75" hidden="false" customHeight="true" outlineLevel="0" collapsed="false">
      <c r="A6" s="213" t="s">
        <v>373</v>
      </c>
      <c r="B6" s="213" t="s">
        <v>374</v>
      </c>
      <c r="C6" s="214" t="n">
        <v>1</v>
      </c>
      <c r="D6" s="213" t="s">
        <v>375</v>
      </c>
    </row>
    <row r="7" customFormat="false" ht="30.75" hidden="false" customHeight="true" outlineLevel="0" collapsed="false">
      <c r="A7" s="213" t="s">
        <v>376</v>
      </c>
      <c r="B7" s="213" t="s">
        <v>374</v>
      </c>
      <c r="C7" s="214" t="n">
        <v>1</v>
      </c>
      <c r="D7" s="213" t="s">
        <v>377</v>
      </c>
    </row>
    <row r="8" customFormat="false" ht="30.75" hidden="false" customHeight="true" outlineLevel="0" collapsed="false">
      <c r="A8" s="213" t="s">
        <v>378</v>
      </c>
      <c r="B8" s="213" t="s">
        <v>374</v>
      </c>
      <c r="C8" s="214" t="n">
        <v>0.5</v>
      </c>
      <c r="D8" s="213" t="s">
        <v>379</v>
      </c>
    </row>
    <row r="9" customFormat="false" ht="30.75" hidden="false" customHeight="true" outlineLevel="0" collapsed="false">
      <c r="A9" s="213" t="s">
        <v>380</v>
      </c>
      <c r="B9" s="213" t="s">
        <v>374</v>
      </c>
      <c r="C9" s="214" t="n">
        <v>0.5</v>
      </c>
      <c r="D9" s="213" t="s">
        <v>381</v>
      </c>
    </row>
    <row r="10" customFormat="false" ht="30.75" hidden="false" customHeight="true" outlineLevel="0" collapsed="false">
      <c r="A10" s="213" t="s">
        <v>382</v>
      </c>
      <c r="B10" s="213" t="s">
        <v>374</v>
      </c>
      <c r="C10" s="214" t="n">
        <v>0.5</v>
      </c>
      <c r="D10" s="213" t="s">
        <v>383</v>
      </c>
    </row>
    <row r="11" customFormat="false" ht="30.75" hidden="false" customHeight="true" outlineLevel="0" collapsed="false">
      <c r="A11" s="213" t="s">
        <v>384</v>
      </c>
      <c r="B11" s="213" t="s">
        <v>385</v>
      </c>
      <c r="C11" s="214" t="n">
        <v>0.25</v>
      </c>
      <c r="D11" s="213" t="s">
        <v>386</v>
      </c>
    </row>
    <row r="12" customFormat="false" ht="30.75" hidden="false" customHeight="true" outlineLevel="0" collapsed="false">
      <c r="A12" s="213" t="s">
        <v>220</v>
      </c>
      <c r="B12" s="213" t="s">
        <v>385</v>
      </c>
      <c r="C12" s="214" t="n">
        <v>0.1</v>
      </c>
      <c r="D12" s="213" t="s">
        <v>387</v>
      </c>
    </row>
    <row r="13" customFormat="false" ht="15" hidden="false" customHeight="false" outlineLevel="0" collapsed="false">
      <c r="A13" s="213" t="s">
        <v>388</v>
      </c>
      <c r="B13" s="213" t="s">
        <v>389</v>
      </c>
      <c r="C13" s="214" t="n">
        <v>0.25</v>
      </c>
      <c r="D13" s="213" t="s">
        <v>390</v>
      </c>
    </row>
    <row r="14" customFormat="false" ht="15" hidden="false" customHeight="false" outlineLevel="0" collapsed="false">
      <c r="A14" s="213" t="s">
        <v>391</v>
      </c>
      <c r="B14" s="213" t="s">
        <v>389</v>
      </c>
      <c r="C14" s="214" t="n">
        <v>0.1</v>
      </c>
      <c r="D14" s="213" t="s">
        <v>392</v>
      </c>
    </row>
    <row r="15" customFormat="false" ht="15" hidden="false" customHeight="false" outlineLevel="0" collapsed="false">
      <c r="A15" s="213" t="s">
        <v>393</v>
      </c>
      <c r="B15" s="213" t="s">
        <v>389</v>
      </c>
      <c r="C15" s="214" t="n">
        <v>0.2</v>
      </c>
      <c r="D15" s="213" t="s">
        <v>394</v>
      </c>
    </row>
    <row r="16" customFormat="false" ht="15" hidden="false" customHeight="false" outlineLevel="0" collapsed="false">
      <c r="A16" s="213" t="s">
        <v>395</v>
      </c>
      <c r="B16" s="213" t="s">
        <v>396</v>
      </c>
      <c r="C16" s="214" t="n">
        <v>0.1</v>
      </c>
      <c r="D16" s="213" t="s">
        <v>397</v>
      </c>
    </row>
    <row r="17" customFormat="false" ht="30.75" hidden="false" customHeight="true" outlineLevel="0" collapsed="false">
      <c r="A17" s="213" t="s">
        <v>398</v>
      </c>
      <c r="B17" s="213" t="s">
        <v>396</v>
      </c>
      <c r="C17" s="214" t="n">
        <v>0.5</v>
      </c>
      <c r="D17" s="213" t="s">
        <v>399</v>
      </c>
    </row>
    <row r="18" customFormat="false" ht="30.75" hidden="false" customHeight="true" outlineLevel="0" collapsed="false">
      <c r="A18" s="213" t="s">
        <v>400</v>
      </c>
      <c r="B18" s="213" t="s">
        <v>396</v>
      </c>
      <c r="C18" s="214" t="n">
        <v>0.2</v>
      </c>
      <c r="D18" s="213" t="s">
        <v>401</v>
      </c>
    </row>
    <row r="19" customFormat="false" ht="15" hidden="false" customHeight="false" outlineLevel="0" collapsed="false">
      <c r="A19" s="213" t="s">
        <v>402</v>
      </c>
      <c r="B19" s="213" t="s">
        <v>396</v>
      </c>
      <c r="C19" s="214" t="n">
        <v>0.2</v>
      </c>
      <c r="D19" s="213" t="s">
        <v>403</v>
      </c>
    </row>
    <row r="20" customFormat="false" ht="30.75" hidden="false" customHeight="true" outlineLevel="0" collapsed="false">
      <c r="A20" s="213" t="s">
        <v>404</v>
      </c>
      <c r="B20" s="213" t="s">
        <v>396</v>
      </c>
      <c r="C20" s="214" t="n">
        <v>0.5</v>
      </c>
      <c r="D20" s="213" t="s">
        <v>405</v>
      </c>
    </row>
    <row r="21" customFormat="false" ht="30.75" hidden="false" customHeight="true" outlineLevel="0" collapsed="false">
      <c r="A21" s="213" t="s">
        <v>406</v>
      </c>
      <c r="B21" s="213" t="s">
        <v>407</v>
      </c>
      <c r="C21" s="214" t="n">
        <v>1</v>
      </c>
      <c r="D21" s="213" t="s">
        <v>408</v>
      </c>
    </row>
    <row r="22" customFormat="false" ht="30.75" hidden="false" customHeight="true" outlineLevel="0" collapsed="false">
      <c r="A22" s="213" t="s">
        <v>409</v>
      </c>
      <c r="B22" s="213" t="s">
        <v>410</v>
      </c>
      <c r="C22" s="214" t="n">
        <v>0.2</v>
      </c>
      <c r="D22" s="213" t="s">
        <v>411</v>
      </c>
    </row>
  </sheetData>
  <mergeCells count="3">
    <mergeCell ref="A1:D1"/>
    <mergeCell ref="A2:D2"/>
    <mergeCell ref="A3:D3"/>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2026-10-18T05:52:38Z</dcterms:created>
  <dc:creator>openpyxl</dc:creator>
  <dc:description/>
  <dc:language>en-US</dc:language>
  <cp:lastModifiedBy>Шидлось Ельвіра Володимирівна</cp:lastModifiedBy>
  <cp:lastPrinted>2026-08-31T11:31:29Z</cp:lastPrinted>
  <dcterms:modified xsi:type="dcterms:W3CDTF">2026-10-18T05:52:38Z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