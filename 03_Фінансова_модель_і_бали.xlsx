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рипущення" sheetId="1" state="visible" r:id="rId3"/>
    <sheet name="Пакети і продажі" sheetId="2" state="visible" r:id="rId4"/>
    <sheet name="Помісячний план" sheetId="3" state="visible" r:id="rId5"/>
    <sheet name="Сценарії" sheetId="4" state="visible" r:id="rId6"/>
    <sheet name="Оцінка балів (дод. 3)" sheetId="5" state="visible" r:id="rId7"/>
    <sheet name="Ліміти п.7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<sst xmlns="http://schemas.openxmlformats.org/spreadsheetml/2006/main" count="209" uniqueCount="196">
  <si>
    <t xml:space="preserve">Фінансова модель бізнес-плану ФОП Федоренко Т. А., версія 2 (допоміжний файл — не подається до заяви)</t>
  </si>
  <si>
    <t xml:space="preserve">Жовті клітинки — вхідні дані, які можна змінювати; решта аркушів перераховуються автоматично.</t>
  </si>
  <si>
    <t xml:space="preserve">Параметр</t>
  </si>
  <si>
    <t xml:space="preserve">Значення</t>
  </si>
  <si>
    <t xml:space="preserve">Коментар</t>
  </si>
  <si>
    <t xml:space="preserve">Сума гранту, грн</t>
  </si>
  <si>
    <t xml:space="preserve">п. 6 Порядку: 500 000–1 500 000 для масштабування без надбавок</t>
  </si>
  <si>
    <t xml:space="preserve">Строк проєкту, місяців</t>
  </si>
  <si>
    <t xml:space="preserve">24 / 36 / 60</t>
  </si>
  <si>
    <t xml:space="preserve">Ставка ЄП (3 група, без ПДВ)</t>
  </si>
  <si>
    <t xml:space="preserve">п. 293.3 ПКУ</t>
  </si>
  <si>
    <t xml:space="preserve">Військовий збір ФОП 3 групи</t>
  </si>
  <si>
    <t xml:space="preserve">1 % доходу (п. 16-1 підрозд. 10 розд. XX ПКУ)</t>
  </si>
  <si>
    <t xml:space="preserve">ПДФО із зарплати</t>
  </si>
  <si>
    <t xml:space="preserve">18 %</t>
  </si>
  <si>
    <t xml:space="preserve">Військовий збір із зарплати</t>
  </si>
  <si>
    <t xml:space="preserve">5 %</t>
  </si>
  <si>
    <t xml:space="preserve">ЄСВ роботодавця</t>
  </si>
  <si>
    <t xml:space="preserve">22 %</t>
  </si>
  <si>
    <t xml:space="preserve">Мінімальна зарплата (прогноз 2027)</t>
  </si>
  <si>
    <t xml:space="preserve">проєкт Держбюджету-2027; у 2026 році — 8 647 грн</t>
  </si>
  <si>
    <t xml:space="preserve">ЄСВ ФОП за себе, грн/міс</t>
  </si>
  <si>
    <t xml:space="preserve">22 % мінімальної зарплати</t>
  </si>
  <si>
    <t xml:space="preserve">Зарплата: консультант з комплаєнсу (рік 1 / 2 / 3)</t>
  </si>
  <si>
    <t xml:space="preserve">25 000 / 27 500 / 30 000</t>
  </si>
  <si>
    <t xml:space="preserve">нарахована, грн/міс</t>
  </si>
  <si>
    <t xml:space="preserve">Зарплата: аналітик-адміністратор (рік 1 / 2 / 3)</t>
  </si>
  <si>
    <t xml:space="preserve">20 000 / 22 500 / 25 000</t>
  </si>
  <si>
    <t xml:space="preserve">Оренда офісу, грн/міс</t>
  </si>
  <si>
    <t xml:space="preserve">М1–М12 сплачено наперед з гранту; далі з доходу</t>
  </si>
  <si>
    <t xml:space="preserve">Власні кошти: навчання ICA, грн</t>
  </si>
  <si>
    <t xml:space="preserve">110 000 у М1 + 275 860 у М13</t>
  </si>
  <si>
    <t xml:space="preserve">Власні кошти: оборотний резерв, грн</t>
  </si>
  <si>
    <t xml:space="preserve">М1; підтвердити випискою</t>
  </si>
  <si>
    <t xml:space="preserve">Код</t>
  </si>
  <si>
    <t xml:space="preserve">Пакет послуг</t>
  </si>
  <si>
    <t xml:space="preserve">Ціна, грн</t>
  </si>
  <si>
    <t xml:space="preserve">Норматив годин</t>
  </si>
  <si>
    <t xml:space="preserve">Результат для клієнта</t>
  </si>
  <si>
    <t xml:space="preserve">A</t>
  </si>
  <si>
    <t xml:space="preserve">Комплаєнс-діагностика (експрес-оцінка процесів, звіт з рекомендаціями)</t>
  </si>
  <si>
    <t xml:space="preserve">звіт про відповідність процесів з переліком ризиків і планом усунення</t>
  </si>
  <si>
    <t xml:space="preserve">B</t>
  </si>
  <si>
    <t xml:space="preserve">Антикорупційна програма / пакет політик і процедур «під ключ»</t>
  </si>
  <si>
    <t xml:space="preserve">затверджена антикорупційна програма / політики, регламенти, наказ про уповноваженого</t>
  </si>
  <si>
    <t xml:space="preserve">C</t>
  </si>
  <si>
    <t xml:space="preserve">Перевірка контрагента (звіт з відкритих реєстрів і санкційних списків)</t>
  </si>
  <si>
    <t xml:space="preserve">звіт з реєстрів ЄДР, судових рішень, санкційних списків, податкового боргу</t>
  </si>
  <si>
    <t xml:space="preserve">D</t>
  </si>
  <si>
    <t xml:space="preserve">Навчання персоналу клієнта (тренінг / вебінар, 4 год)</t>
  </si>
  <si>
    <t xml:space="preserve">проведений тренінг, матеріали, тест, протокол навчання</t>
  </si>
  <si>
    <t xml:space="preserve">E</t>
  </si>
  <si>
    <t xml:space="preserve">Абонентський супровід (комплаєнс-офіцер на аутсорсингу), на місяць</t>
  </si>
  <si>
    <t xml:space="preserve">щомісячний моніторинг, перевірки контрагентів, консультації, підготовка до перевірок</t>
  </si>
  <si>
    <t xml:space="preserve">Місяць</t>
  </si>
  <si>
    <t xml:space="preserve">A, шт</t>
  </si>
  <si>
    <t xml:space="preserve">B, шт</t>
  </si>
  <si>
    <t xml:space="preserve">C, шт</t>
  </si>
  <si>
    <t xml:space="preserve">D, шт</t>
  </si>
  <si>
    <t xml:space="preserve">E, клієнтів</t>
  </si>
  <si>
    <t xml:space="preserve">Дохід основні (A+B+E)</t>
  </si>
  <si>
    <t xml:space="preserve">Дохід додаткові (C+D)</t>
  </si>
  <si>
    <t xml:space="preserve">Разом дохід, грн</t>
  </si>
  <si>
    <t xml:space="preserve">Годин навантаження</t>
  </si>
  <si>
    <t xml:space="preserve">Разом</t>
  </si>
  <si>
    <t xml:space="preserve">Довідково: 3 фахівці × ~120 оплачуваних годин/міс = ~360 год; максимальне навантаження у моделі перевірте у колонці J.</t>
  </si>
  <si>
    <t xml:space="preserve">Дохід від послуг</t>
  </si>
  <si>
    <t xml:space="preserve">Грант</t>
  </si>
  <si>
    <t xml:space="preserve">Власні кошти</t>
  </si>
  <si>
    <t xml:space="preserve">Разом надходжень</t>
  </si>
  <si>
    <t xml:space="preserve">Грантові закупівлі</t>
  </si>
  <si>
    <t xml:space="preserve">Навчання (власні)</t>
  </si>
  <si>
    <t xml:space="preserve">Оренда</t>
  </si>
  <si>
    <t xml:space="preserve">Інші поточні витрати</t>
  </si>
  <si>
    <t xml:space="preserve">Зарплата нарахована</t>
  </si>
  <si>
    <t xml:space="preserve">ПДФО</t>
  </si>
  <si>
    <t xml:space="preserve">ВЗ працівників</t>
  </si>
  <si>
    <t xml:space="preserve">ЄП 5 %</t>
  </si>
  <si>
    <t xml:space="preserve">ВЗ ФОП 1 %</t>
  </si>
  <si>
    <t xml:space="preserve">ЄСВ ФОП</t>
  </si>
  <si>
    <t xml:space="preserve">Вилучення власниці</t>
  </si>
  <si>
    <t xml:space="preserve">Разом виплат</t>
  </si>
  <si>
    <t xml:space="preserve">Залишок на кінець місяця</t>
  </si>
  <si>
    <t xml:space="preserve">Податки та ЄСВ за місяць</t>
  </si>
  <si>
    <t xml:space="preserve">Накопичені податки</t>
  </si>
  <si>
    <t xml:space="preserve">Залишок зобов'язання за грантом</t>
  </si>
  <si>
    <t xml:space="preserve">Покриття гранту податками (місяць, коли накопичені податки ≥ грант):</t>
  </si>
  <si>
    <t xml:space="preserve">Мінімальний залишок коштів за 36 місяців, грн:</t>
  </si>
  <si>
    <t xml:space="preserve">Сценарій</t>
  </si>
  <si>
    <t xml:space="preserve">Дохід за 36 міс</t>
  </si>
  <si>
    <t xml:space="preserve">Податки та ЄСВ за 36 міс</t>
  </si>
  <si>
    <t xml:space="preserve">Покриття гранту</t>
  </si>
  <si>
    <t xml:space="preserve">Мінімальний залишок коштів</t>
  </si>
  <si>
    <t xml:space="preserve">Операційний прибуток</t>
  </si>
  <si>
    <t xml:space="preserve">Базовий</t>
  </si>
  <si>
    <t xml:space="preserve">М30</t>
  </si>
  <si>
    <t xml:space="preserve">консервативний план продажів; 2 працівники з М1</t>
  </si>
  <si>
    <t xml:space="preserve">Дохід −20 %</t>
  </si>
  <si>
    <t xml:space="preserve">М31</t>
  </si>
  <si>
    <t xml:space="preserve">перевірка умови «податки ≥ грант» за падіння виручки</t>
  </si>
  <si>
    <t xml:space="preserve">Дохід −30 %</t>
  </si>
  <si>
    <t xml:space="preserve">М32</t>
  </si>
  <si>
    <t xml:space="preserve">податки все ще ≥ гранту, але касовий розрив у перші місяці — потрібен більший резерв або менші вилучення</t>
  </si>
  <si>
    <t xml:space="preserve">Старт продажів на 3 місяці пізніше</t>
  </si>
  <si>
    <t xml:space="preserve">витрати на команду з М1, дохід з М4; показує потребу в резерві</t>
  </si>
  <si>
    <t xml:space="preserve">Зарплати +15 %</t>
  </si>
  <si>
    <t xml:space="preserve">М28</t>
  </si>
  <si>
    <t xml:space="preserve">податки зростають, умова виконується з запасом; тисне на прибуток</t>
  </si>
  <si>
    <t xml:space="preserve">Висновок: у всіх сценаріях сума сплачених податків і ЄСВ за 36 місяців перевищує грант 1 000 000 грн (запас у базовому — 28 %). Слабке місце — ліквідність у М2–М6 за падіння виручки або пізнього старту: тримати резерв не менше 150 000 грн і мінімальні вилучення в перший рік.</t>
  </si>
  <si>
    <t xml:space="preserve">№</t>
  </si>
  <si>
    <t xml:space="preserve">Критерій (для фізичних осіб / ФОП)</t>
  </si>
  <si>
    <t xml:space="preserve">Варіанти та бали з коефіцієнтом</t>
  </si>
  <si>
    <t xml:space="preserve">Що впливає / що може зробити заявниця</t>
  </si>
  <si>
    <t xml:space="preserve">Обраний варіант (бали)</t>
  </si>
  <si>
    <t xml:space="preserve">Кількість погашених кредитів</t>
  </si>
  <si>
    <t xml:space="preserve">0 — 0; 1–3 — 10; 4–5 — 14; &gt;5 — 20</t>
  </si>
  <si>
    <t xml:space="preserve">Факт кредитної історії. Не брати кредити заради балів.</t>
  </si>
  <si>
    <t xml:space="preserve">Максимальний строк прострочення (сума &gt; 1000 грн, за 3 роки)</t>
  </si>
  <si>
    <t xml:space="preserve">0 днів — 20; 1–15 — 14; 16–30 — 10; 31–60 — 2; &gt;60 — 0; позик не було — 10</t>
  </si>
  <si>
    <t xml:space="preserve">Погасити будь-які прострочення до подання заяви; взяти кредитний звіт в УБКІ/ПВБКІ.</t>
  </si>
  <si>
    <t xml:space="preserve">Кількість прострочень &lt; 90 днів за 2 роки</t>
  </si>
  <si>
    <t xml:space="preserve">0 — 20; 1–3 — 10; &gt;3 — 0</t>
  </si>
  <si>
    <t xml:space="preserve">Кількість запитів на кредит за 12 міс</t>
  </si>
  <si>
    <t xml:space="preserve">&lt;2 — 15; 3 — 11; 4 — 5; ≥5 — 0</t>
  </si>
  <si>
    <t xml:space="preserve">Не подавати кредитних заявок за 12 місяців до подання.</t>
  </si>
  <si>
    <t xml:space="preserve">Місячний платіж за кредитами / дохід</t>
  </si>
  <si>
    <t xml:space="preserve">&lt;0,1 — 14; 0,1–0,24 — 10; 0,25–0,5 — 7; &gt;0,5 — 0</t>
  </si>
  <si>
    <t xml:space="preserve">Створення нових робочих місць</t>
  </si>
  <si>
    <t xml:space="preserve">0 — 0; 1 — 1; 2 — 3; &gt;2 — 4</t>
  </si>
  <si>
    <t xml:space="preserve">У плані 2 нових місця — 3 бали.</t>
  </si>
  <si>
    <t xml:space="preserve">Очікувана рентабельність за бізнес-планом</t>
  </si>
  <si>
    <t xml:space="preserve">&gt;0,5 — 6; 0,3–0,5 — 4; 0,15–0,3 — 3; &lt;0,15 — 0</t>
  </si>
  <si>
    <t xml:space="preserve">У плані 67 % — 6 балів.</t>
  </si>
  <si>
    <t xml:space="preserve">Період окупності, років</t>
  </si>
  <si>
    <t xml:space="preserve">&lt;1 — 4; ≈3 — 3; ≥5 — 0</t>
  </si>
  <si>
    <t xml:space="preserve">У плані 1,7 року — очікувано 3–4 бали.</t>
  </si>
  <si>
    <t xml:space="preserve">Участь власними коштами</t>
  </si>
  <si>
    <t xml:space="preserve">&gt;0,5 — 20; 0,3–0,5 — 4 (у наказі, ймовірно, 14); 0,15–0,3 — 3; &lt;0,15 — 0</t>
  </si>
  <si>
    <t xml:space="preserve">У плані 33 % — підтвердити випискою; збільшення власної участі до &gt;50 % дало б 20 балів.</t>
  </si>
  <si>
    <t xml:space="preserve">Нерухомість для бізнесу</t>
  </si>
  <si>
    <t xml:space="preserve">не потрібна — 10; власна (у т. ч. подружжя) — 10; родичів — 7; оренда &gt;1 року — 4; оренда &lt;1 року — 0</t>
  </si>
  <si>
    <t xml:space="preserve">Укласти договір оренди на 12+ місяців до подання (4 бали) або використати власне/родинне приміщення (10/7).</t>
  </si>
  <si>
    <t xml:space="preserve">Транспорт для бізнесу</t>
  </si>
  <si>
    <t xml:space="preserve">не потрібен — 10; власний — 7; родичів — 5; орендований — 0</t>
  </si>
  <si>
    <t xml:space="preserve">Для консалтингу транспорт не потрібен — 10.</t>
  </si>
  <si>
    <t xml:space="preserve">Сімейний стан</t>
  </si>
  <si>
    <t xml:space="preserve">одружена — 4; розлучена — 2; не у шлюбі / цивільний шлюб — 0</t>
  </si>
  <si>
    <t xml:space="preserve">Факт.</t>
  </si>
  <si>
    <t xml:space="preserve">Утриманці (неповнолітні діти)</t>
  </si>
  <si>
    <t xml:space="preserve">немає — 10; 1 — 5; 2+ — 0</t>
  </si>
  <si>
    <t xml:space="preserve">Активи у власності</t>
  </si>
  <si>
    <t xml:space="preserve">житло у власності (у т. ч. подружжя) — 10; у родичів — 7; оренда — 0; авто у власності — 5; авто родичів — 3</t>
  </si>
  <si>
    <t xml:space="preserve">Факт; зазначити у заяві все, що є.</t>
  </si>
  <si>
    <t xml:space="preserve">Вік</t>
  </si>
  <si>
    <t xml:space="preserve">18–25 — 2; 26–45 — 3; 46–55 — 4; &gt;55 — 2</t>
  </si>
  <si>
    <t xml:space="preserve">Стаж за попереднім/поточним місцем роботи</t>
  </si>
  <si>
    <t xml:space="preserve">&lt;5 років — 0; 5–12 — 2; &gt;12 — 4</t>
  </si>
  <si>
    <t xml:space="preserve">Стаж директора ліцею — зазначити у заяві.</t>
  </si>
  <si>
    <t xml:space="preserve">Користування послугами банку</t>
  </si>
  <si>
    <t xml:space="preserve">немає рахунків — 0; поточний/картковий — 2; кредити — 3; депозит — 5</t>
  </si>
  <si>
    <t xml:space="preserve">Відкрити депозит в обраному уповноваженому банку до подання — 5 балів.</t>
  </si>
  <si>
    <t xml:space="preserve">Освіта</t>
  </si>
  <si>
    <t xml:space="preserve">бакалавр — 2; магістр/спеціаліст — 3; аспірантура/PhD — 4; профтехосвіта — 2; 11 класів — 1</t>
  </si>
  <si>
    <t xml:space="preserve">Факт; вказати найвищий рівень.</t>
  </si>
  <si>
    <t xml:space="preserve">Тип населеного пункту</t>
  </si>
  <si>
    <t xml:space="preserve">&lt;20 тис. — 0; 20–200 тис. — 1; 200–500 тис. — 2; 0,5–1 млн — 3; &gt;1 млн — 3; &gt;2 млн — 4</t>
  </si>
  <si>
    <t xml:space="preserve">Жашків (&lt;20 тис.) — 0. Не змінювати місце реєстрації заради балів.</t>
  </si>
  <si>
    <t xml:space="preserve">Цивільні судові справи</t>
  </si>
  <si>
    <t xml:space="preserve">є — 0; немає — 2</t>
  </si>
  <si>
    <t xml:space="preserve">Перевірити себе в реєстрі судових рішень та YouControl.</t>
  </si>
  <si>
    <t xml:space="preserve">Ризик виду діяльності (експертне судження банку)</t>
  </si>
  <si>
    <t xml:space="preserve">низький — 10; середній — 5; високий — 0</t>
  </si>
  <si>
    <t xml:space="preserve">Консалтинг — зазвичай низький/середній.</t>
  </si>
  <si>
    <t xml:space="preserve">Разом балів банку (максимум 200; прохідний поріг 99)</t>
  </si>
  <si>
    <t xml:space="preserve">Співбесіда (0–50): мотивація, розуміння бізнес-плану, маркетингового плану, операційного плану, релевантний досвід — по 0/3/5/7/10</t>
  </si>
  <si>
    <t xml:space="preserve">Підсумковий бал (поріг 130 з 250)</t>
  </si>
  <si>
    <t xml:space="preserve">Порожні клітинки у колонці E — особисті дані, які відомі лише заявниці; заповніть їх, щоб побачити власну оцінку. Джерело: додаток 3 і додаток 5 до наказу Мінекономіки від 22.07.2026 № 2 (зареєстровано Мін'юстом 28.08.2026 за № 1185/46579).</t>
  </si>
  <si>
    <t xml:space="preserve">Стаття інвестиційного плану</t>
  </si>
  <si>
    <t xml:space="preserve">Сума, грн</t>
  </si>
  <si>
    <t xml:space="preserve">Частка гранту</t>
  </si>
  <si>
    <t xml:space="preserve">Ліміт п. 7 Порядку</t>
  </si>
  <si>
    <t xml:space="preserve">Статус</t>
  </si>
  <si>
    <t xml:space="preserve">Комп'ютерна техніка та обладнання робочих місць</t>
  </si>
  <si>
    <t xml:space="preserve">без окремого ліміту</t>
  </si>
  <si>
    <t xml:space="preserve">у межах</t>
  </si>
  <si>
    <t xml:space="preserve">Меблі для 3 робочих місць і переговорної зони</t>
  </si>
  <si>
    <t xml:space="preserve">Ліцензійне програмне забезпечення (12 місяців)</t>
  </si>
  <si>
    <t xml:space="preserve">не більше 25%</t>
  </si>
  <si>
    <t xml:space="preserve">Вебсайт із базою знань та інтеграцією з CRM</t>
  </si>
  <si>
    <t xml:space="preserve">не більше 10%</t>
  </si>
  <si>
    <t xml:space="preserve">Налаштування та інтеграція цифрових рішень</t>
  </si>
  <si>
    <t xml:space="preserve">не більше 20%</t>
  </si>
  <si>
    <t xml:space="preserve">Маркетинг та реклама</t>
  </si>
  <si>
    <t xml:space="preserve">Фірмовий стиль і промоматеріали</t>
  </si>
  <si>
    <t xml:space="preserve">не більше 50%</t>
  </si>
  <si>
    <t xml:space="preserve">Оренда офісного приміщення (12 місяців)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</si>
</sst>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#,##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</row>
    <row r="4" customFormat="false" ht="15" hidden="false" customHeight="false" outlineLevel="0" collapsed="false">
      <c r="A4" s="0" t="s">
        <v>5</v>
      </c>
      <c r="B4" s="3" t="n">
        <v>1000000</v>
      </c>
      <c r="C4" s="4" t="s">
        <v>6</v>
      </c>
    </row>
    <row r="5" customFormat="false" ht="15" hidden="false" customHeight="false" outlineLevel="0" collapsed="false">
      <c r="A5" s="0" t="s">
        <v>7</v>
      </c>
      <c r="B5" s="3" t="n">
        <v>36</v>
      </c>
      <c r="C5" s="4" t="s">
        <v>8</v>
      </c>
    </row>
    <row r="6" customFormat="false" ht="15" hidden="false" customHeight="false" outlineLevel="0" collapsed="false">
      <c r="A6" s="0" t="s">
        <v>9</v>
      </c>
      <c r="B6" s="5" t="n">
        <v>0.05</v>
      </c>
      <c r="C6" s="4" t="s">
        <v>10</v>
      </c>
    </row>
    <row r="7" customFormat="false" ht="15" hidden="false" customHeight="false" outlineLevel="0" collapsed="false">
      <c r="A7" s="0" t="s">
        <v>11</v>
      </c>
      <c r="B7" s="5" t="n">
        <v>0.01</v>
      </c>
      <c r="C7" s="4" t="s">
        <v>12</v>
      </c>
    </row>
    <row r="8" customFormat="false" ht="15" hidden="false" customHeight="false" outlineLevel="0" collapsed="false">
      <c r="A8" s="0" t="s">
        <v>13</v>
      </c>
      <c r="B8" s="5" t="n">
        <v>0.18</v>
      </c>
      <c r="C8" s="4" t="s">
        <v>14</v>
      </c>
    </row>
    <row r="9" customFormat="false" ht="15" hidden="false" customHeight="false" outlineLevel="0" collapsed="false">
      <c r="A9" s="0" t="s">
        <v>15</v>
      </c>
      <c r="B9" s="5" t="n">
        <v>0.05</v>
      </c>
      <c r="C9" s="4" t="s">
        <v>16</v>
      </c>
    </row>
    <row r="10" customFormat="false" ht="15" hidden="false" customHeight="false" outlineLevel="0" collapsed="false">
      <c r="A10" s="0" t="s">
        <v>17</v>
      </c>
      <c r="B10" s="5" t="n">
        <v>0.22</v>
      </c>
      <c r="C10" s="4" t="s">
        <v>18</v>
      </c>
    </row>
    <row r="11" customFormat="false" ht="15" hidden="false" customHeight="false" outlineLevel="0" collapsed="false">
      <c r="A11" s="0" t="s">
        <v>19</v>
      </c>
      <c r="B11" s="3" t="n">
        <v>9546</v>
      </c>
      <c r="C11" s="4" t="s">
        <v>20</v>
      </c>
    </row>
    <row r="12" customFormat="false" ht="15" hidden="false" customHeight="false" outlineLevel="0" collapsed="false">
      <c r="A12" s="0" t="s">
        <v>21</v>
      </c>
      <c r="B12" s="6" t="n">
        <f aca="false">B10*B9</f>
        <v>0.011</v>
      </c>
      <c r="C12" s="4" t="s">
        <v>22</v>
      </c>
    </row>
    <row r="13" customFormat="false" ht="15" hidden="false" customHeight="false" outlineLevel="0" collapsed="false">
      <c r="A13" s="0" t="s">
        <v>23</v>
      </c>
      <c r="B13" s="7" t="s">
        <v>24</v>
      </c>
      <c r="C13" s="4" t="s">
        <v>25</v>
      </c>
    </row>
    <row r="14" customFormat="false" ht="15" hidden="false" customHeight="false" outlineLevel="0" collapsed="false">
      <c r="A14" s="0" t="s">
        <v>26</v>
      </c>
      <c r="B14" s="7" t="s">
        <v>27</v>
      </c>
      <c r="C14" s="4" t="s">
        <v>25</v>
      </c>
    </row>
    <row r="15" customFormat="false" ht="15" hidden="false" customHeight="false" outlineLevel="0" collapsed="false">
      <c r="A15" s="0" t="s">
        <v>28</v>
      </c>
      <c r="B15" s="3" t="n">
        <v>15000</v>
      </c>
      <c r="C15" s="4" t="s">
        <v>29</v>
      </c>
    </row>
    <row r="16" customFormat="false" ht="15" hidden="false" customHeight="false" outlineLevel="0" collapsed="false">
      <c r="A16" s="0" t="s">
        <v>30</v>
      </c>
      <c r="B16" s="3" t="n">
        <v>385860</v>
      </c>
      <c r="C16" s="4" t="s">
        <v>31</v>
      </c>
    </row>
    <row r="17" customFormat="false" ht="15" hidden="false" customHeight="false" outlineLevel="0" collapsed="false">
      <c r="A17" s="0" t="s">
        <v>32</v>
      </c>
      <c r="B17" s="3" t="n">
        <v>100000</v>
      </c>
      <c r="C17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28.35" hidden="false" customHeight="false" outlineLevel="0" collapsed="false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3" t="n">
        <v>25000</v>
      </c>
      <c r="D2" s="0" t="n">
        <v>30</v>
      </c>
      <c r="E2" s="4" t="s">
        <v>41</v>
      </c>
    </row>
    <row r="3" customFormat="false" ht="15" hidden="false" customHeight="false" outlineLevel="0" collapsed="false">
      <c r="A3" s="0" t="s">
        <v>42</v>
      </c>
      <c r="B3" s="0" t="s">
        <v>43</v>
      </c>
      <c r="C3" s="3" t="n">
        <v>45000</v>
      </c>
      <c r="D3" s="0" t="n">
        <v>50</v>
      </c>
      <c r="E3" s="4" t="s">
        <v>44</v>
      </c>
    </row>
    <row r="4" customFormat="false" ht="15" hidden="false" customHeight="false" outlineLevel="0" collapsed="false">
      <c r="A4" s="0" t="s">
        <v>45</v>
      </c>
      <c r="B4" s="0" t="s">
        <v>46</v>
      </c>
      <c r="C4" s="3" t="n">
        <v>2500</v>
      </c>
      <c r="D4" s="0" t="n">
        <v>2.5</v>
      </c>
      <c r="E4" s="4" t="s">
        <v>47</v>
      </c>
    </row>
    <row r="5" customFormat="false" ht="15" hidden="false" customHeight="false" outlineLevel="0" collapsed="false">
      <c r="A5" s="0" t="s">
        <v>48</v>
      </c>
      <c r="B5" s="0" t="s">
        <v>49</v>
      </c>
      <c r="C5" s="3" t="n">
        <v>12000</v>
      </c>
      <c r="D5" s="0" t="n">
        <v>12</v>
      </c>
      <c r="E5" s="4" t="s">
        <v>50</v>
      </c>
    </row>
    <row r="6" customFormat="false" ht="15" hidden="false" customHeight="false" outlineLevel="0" collapsed="false">
      <c r="A6" s="0" t="s">
        <v>51</v>
      </c>
      <c r="B6" s="0" t="s">
        <v>52</v>
      </c>
      <c r="C6" s="3" t="n">
        <v>15000</v>
      </c>
      <c r="D6" s="0" t="n">
        <v>19</v>
      </c>
      <c r="E6" s="4" t="s">
        <v>53</v>
      </c>
    </row>
    <row r="9" customFormat="false" ht="55.2" hidden="false" customHeight="false" outlineLevel="0" collapsed="false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</row>
    <row r="10" customFormat="false" ht="15" hidden="false" customHeight="false" outlineLevel="0" collapsed="false">
      <c r="A10" s="0" t="n">
        <v>1</v>
      </c>
      <c r="B10" s="7" t="n">
        <v>1</v>
      </c>
      <c r="C10" s="7" t="n">
        <v>0</v>
      </c>
      <c r="D10" s="7" t="n">
        <v>4</v>
      </c>
      <c r="E10" s="7" t="n">
        <v>1</v>
      </c>
      <c r="F10" s="7" t="n">
        <v>1</v>
      </c>
      <c r="G10" s="8" t="n">
        <f aca="false">B10*$C$2+C10*$C$3+F10*$C$6</f>
        <v>40000</v>
      </c>
      <c r="H10" s="8" t="n">
        <f aca="false">D10*$C$4+E10*$C$5</f>
        <v>22000</v>
      </c>
      <c r="I10" s="8" t="n">
        <f aca="false">G10+H10</f>
        <v>62000</v>
      </c>
      <c r="J10" s="9" t="n">
        <f aca="false">B10*$D$2+C10*$D$3+D10*$D$4+E10*$D$5+F10*$D$6</f>
        <v>71</v>
      </c>
    </row>
    <row r="11" customFormat="false" ht="15" hidden="false" customHeight="false" outlineLevel="0" collapsed="false">
      <c r="A11" s="0" t="n">
        <v>2</v>
      </c>
      <c r="B11" s="7" t="n">
        <v>1</v>
      </c>
      <c r="C11" s="7" t="n">
        <v>0</v>
      </c>
      <c r="D11" s="7" t="n">
        <v>4</v>
      </c>
      <c r="E11" s="7" t="n">
        <v>1</v>
      </c>
      <c r="F11" s="7" t="n">
        <v>1</v>
      </c>
      <c r="G11" s="8" t="n">
        <f aca="false">B11*$C$2+C11*$C$3+F11*$C$6</f>
        <v>40000</v>
      </c>
      <c r="H11" s="8" t="n">
        <f aca="false">D11*$C$4+E11*$C$5</f>
        <v>22000</v>
      </c>
      <c r="I11" s="8" t="n">
        <f aca="false">G11+H11</f>
        <v>62000</v>
      </c>
      <c r="J11" s="9" t="n">
        <f aca="false">B11*$D$2+C11*$D$3+D11*$D$4+E11*$D$5+F11*$D$6</f>
        <v>71</v>
      </c>
    </row>
    <row r="12" customFormat="false" ht="15" hidden="false" customHeight="false" outlineLevel="0" collapsed="false">
      <c r="A12" s="0" t="n">
        <v>3</v>
      </c>
      <c r="B12" s="7" t="n">
        <v>1</v>
      </c>
      <c r="C12" s="7" t="n">
        <v>0</v>
      </c>
      <c r="D12" s="7" t="n">
        <v>4</v>
      </c>
      <c r="E12" s="7" t="n">
        <v>1</v>
      </c>
      <c r="F12" s="7" t="n">
        <v>2</v>
      </c>
      <c r="G12" s="8" t="n">
        <f aca="false">B12*$C$2+C12*$C$3+F12*$C$6</f>
        <v>55000</v>
      </c>
      <c r="H12" s="8" t="n">
        <f aca="false">D12*$C$4+E12*$C$5</f>
        <v>22000</v>
      </c>
      <c r="I12" s="8" t="n">
        <f aca="false">G12+H12</f>
        <v>77000</v>
      </c>
      <c r="J12" s="9" t="n">
        <f aca="false">B12*$D$2+C12*$D$3+D12*$D$4+E12*$D$5+F12*$D$6</f>
        <v>90</v>
      </c>
    </row>
    <row r="13" customFormat="false" ht="15" hidden="false" customHeight="false" outlineLevel="0" collapsed="false">
      <c r="A13" s="0" t="n">
        <v>4</v>
      </c>
      <c r="B13" s="7" t="n">
        <v>1</v>
      </c>
      <c r="C13" s="7" t="n">
        <v>0</v>
      </c>
      <c r="D13" s="7" t="n">
        <v>4</v>
      </c>
      <c r="E13" s="7" t="n">
        <v>1</v>
      </c>
      <c r="F13" s="7" t="n">
        <v>2</v>
      </c>
      <c r="G13" s="8" t="n">
        <f aca="false">B13*$C$2+C13*$C$3+F13*$C$6</f>
        <v>55000</v>
      </c>
      <c r="H13" s="8" t="n">
        <f aca="false">D13*$C$4+E13*$C$5</f>
        <v>22000</v>
      </c>
      <c r="I13" s="8" t="n">
        <f aca="false">G13+H13</f>
        <v>77000</v>
      </c>
      <c r="J13" s="9" t="n">
        <f aca="false">B13*$D$2+C13*$D$3+D13*$D$4+E13*$D$5+F13*$D$6</f>
        <v>90</v>
      </c>
    </row>
    <row r="14" customFormat="false" ht="15" hidden="false" customHeight="false" outlineLevel="0" collapsed="false">
      <c r="A14" s="0" t="n">
        <v>5</v>
      </c>
      <c r="B14" s="7" t="n">
        <v>1</v>
      </c>
      <c r="C14" s="7" t="n">
        <v>0</v>
      </c>
      <c r="D14" s="7" t="n">
        <v>4</v>
      </c>
      <c r="E14" s="7" t="n">
        <v>1</v>
      </c>
      <c r="F14" s="7" t="n">
        <v>2</v>
      </c>
      <c r="G14" s="8" t="n">
        <f aca="false">B14*$C$2+C14*$C$3+F14*$C$6</f>
        <v>55000</v>
      </c>
      <c r="H14" s="8" t="n">
        <f aca="false">D14*$C$4+E14*$C$5</f>
        <v>22000</v>
      </c>
      <c r="I14" s="8" t="n">
        <f aca="false">G14+H14</f>
        <v>77000</v>
      </c>
      <c r="J14" s="9" t="n">
        <f aca="false">B14*$D$2+C14*$D$3+D14*$D$4+E14*$D$5+F14*$D$6</f>
        <v>90</v>
      </c>
    </row>
    <row r="15" customFormat="false" ht="15" hidden="false" customHeight="false" outlineLevel="0" collapsed="false">
      <c r="A15" s="0" t="n">
        <v>6</v>
      </c>
      <c r="B15" s="7" t="n">
        <v>1</v>
      </c>
      <c r="C15" s="7" t="n">
        <v>1</v>
      </c>
      <c r="D15" s="7" t="n">
        <v>4</v>
      </c>
      <c r="E15" s="7" t="n">
        <v>1</v>
      </c>
      <c r="F15" s="7" t="n">
        <v>3</v>
      </c>
      <c r="G15" s="8" t="n">
        <f aca="false">B15*$C$2+C15*$C$3+F15*$C$6</f>
        <v>115000</v>
      </c>
      <c r="H15" s="8" t="n">
        <f aca="false">D15*$C$4+E15*$C$5</f>
        <v>22000</v>
      </c>
      <c r="I15" s="8" t="n">
        <f aca="false">G15+H15</f>
        <v>137000</v>
      </c>
      <c r="J15" s="9" t="n">
        <f aca="false">B15*$D$2+C15*$D$3+D15*$D$4+E15*$D$5+F15*$D$6</f>
        <v>159</v>
      </c>
    </row>
    <row r="16" customFormat="false" ht="15" hidden="false" customHeight="false" outlineLevel="0" collapsed="false">
      <c r="A16" s="0" t="n">
        <v>7</v>
      </c>
      <c r="B16" s="7" t="n">
        <v>1</v>
      </c>
      <c r="C16" s="7" t="n">
        <v>1</v>
      </c>
      <c r="D16" s="7" t="n">
        <v>6</v>
      </c>
      <c r="E16" s="7" t="n">
        <v>1</v>
      </c>
      <c r="F16" s="7" t="n">
        <v>3</v>
      </c>
      <c r="G16" s="8" t="n">
        <f aca="false">B16*$C$2+C16*$C$3+F16*$C$6</f>
        <v>115000</v>
      </c>
      <c r="H16" s="8" t="n">
        <f aca="false">D16*$C$4+E16*$C$5</f>
        <v>27000</v>
      </c>
      <c r="I16" s="8" t="n">
        <f aca="false">G16+H16</f>
        <v>142000</v>
      </c>
      <c r="J16" s="9" t="n">
        <f aca="false">B16*$D$2+C16*$D$3+D16*$D$4+E16*$D$5+F16*$D$6</f>
        <v>164</v>
      </c>
    </row>
    <row r="17" customFormat="false" ht="15" hidden="false" customHeight="false" outlineLevel="0" collapsed="false">
      <c r="A17" s="0" t="n">
        <v>8</v>
      </c>
      <c r="B17" s="7" t="n">
        <v>1</v>
      </c>
      <c r="C17" s="7" t="n">
        <v>1</v>
      </c>
      <c r="D17" s="7" t="n">
        <v>6</v>
      </c>
      <c r="E17" s="7" t="n">
        <v>1</v>
      </c>
      <c r="F17" s="7" t="n">
        <v>3</v>
      </c>
      <c r="G17" s="8" t="n">
        <f aca="false">B17*$C$2+C17*$C$3+F17*$C$6</f>
        <v>115000</v>
      </c>
      <c r="H17" s="8" t="n">
        <f aca="false">D17*$C$4+E17*$C$5</f>
        <v>27000</v>
      </c>
      <c r="I17" s="8" t="n">
        <f aca="false">G17+H17</f>
        <v>142000</v>
      </c>
      <c r="J17" s="9" t="n">
        <f aca="false">B17*$D$2+C17*$D$3+D17*$D$4+E17*$D$5+F17*$D$6</f>
        <v>164</v>
      </c>
    </row>
    <row r="18" customFormat="false" ht="15" hidden="false" customHeight="false" outlineLevel="0" collapsed="false">
      <c r="A18" s="0" t="n">
        <v>9</v>
      </c>
      <c r="B18" s="7" t="n">
        <v>1</v>
      </c>
      <c r="C18" s="7" t="n">
        <v>1</v>
      </c>
      <c r="D18" s="7" t="n">
        <v>6</v>
      </c>
      <c r="E18" s="7" t="n">
        <v>1</v>
      </c>
      <c r="F18" s="7" t="n">
        <v>4</v>
      </c>
      <c r="G18" s="8" t="n">
        <f aca="false">B18*$C$2+C18*$C$3+F18*$C$6</f>
        <v>130000</v>
      </c>
      <c r="H18" s="8" t="n">
        <f aca="false">D18*$C$4+E18*$C$5</f>
        <v>27000</v>
      </c>
      <c r="I18" s="8" t="n">
        <f aca="false">G18+H18</f>
        <v>157000</v>
      </c>
      <c r="J18" s="9" t="n">
        <f aca="false">B18*$D$2+C18*$D$3+D18*$D$4+E18*$D$5+F18*$D$6</f>
        <v>183</v>
      </c>
    </row>
    <row r="19" customFormat="false" ht="15" hidden="false" customHeight="false" outlineLevel="0" collapsed="false">
      <c r="A19" s="0" t="n">
        <v>10</v>
      </c>
      <c r="B19" s="7" t="n">
        <v>1</v>
      </c>
      <c r="C19" s="7" t="n">
        <v>1</v>
      </c>
      <c r="D19" s="7" t="n">
        <v>6</v>
      </c>
      <c r="E19" s="7" t="n">
        <v>1</v>
      </c>
      <c r="F19" s="7" t="n">
        <v>4</v>
      </c>
      <c r="G19" s="8" t="n">
        <f aca="false">B19*$C$2+C19*$C$3+F19*$C$6</f>
        <v>130000</v>
      </c>
      <c r="H19" s="8" t="n">
        <f aca="false">D19*$C$4+E19*$C$5</f>
        <v>27000</v>
      </c>
      <c r="I19" s="8" t="n">
        <f aca="false">G19+H19</f>
        <v>157000</v>
      </c>
      <c r="J19" s="9" t="n">
        <f aca="false">B19*$D$2+C19*$D$3+D19*$D$4+E19*$D$5+F19*$D$6</f>
        <v>183</v>
      </c>
    </row>
    <row r="20" customFormat="false" ht="15" hidden="false" customHeight="false" outlineLevel="0" collapsed="false">
      <c r="A20" s="0" t="n">
        <v>11</v>
      </c>
      <c r="B20" s="7" t="n">
        <v>1</v>
      </c>
      <c r="C20" s="7" t="n">
        <v>1</v>
      </c>
      <c r="D20" s="7" t="n">
        <v>6</v>
      </c>
      <c r="E20" s="7" t="n">
        <v>1</v>
      </c>
      <c r="F20" s="7" t="n">
        <v>4</v>
      </c>
      <c r="G20" s="8" t="n">
        <f aca="false">B20*$C$2+C20*$C$3+F20*$C$6</f>
        <v>130000</v>
      </c>
      <c r="H20" s="8" t="n">
        <f aca="false">D20*$C$4+E20*$C$5</f>
        <v>27000</v>
      </c>
      <c r="I20" s="8" t="n">
        <f aca="false">G20+H20</f>
        <v>157000</v>
      </c>
      <c r="J20" s="9" t="n">
        <f aca="false">B20*$D$2+C20*$D$3+D20*$D$4+E20*$D$5+F20*$D$6</f>
        <v>183</v>
      </c>
    </row>
    <row r="21" customFormat="false" ht="15" hidden="false" customHeight="false" outlineLevel="0" collapsed="false">
      <c r="A21" s="0" t="n">
        <v>12</v>
      </c>
      <c r="B21" s="7" t="n">
        <v>1</v>
      </c>
      <c r="C21" s="7" t="n">
        <v>1</v>
      </c>
      <c r="D21" s="7" t="n">
        <v>6</v>
      </c>
      <c r="E21" s="7" t="n">
        <v>1</v>
      </c>
      <c r="F21" s="7" t="n">
        <v>4</v>
      </c>
      <c r="G21" s="8" t="n">
        <f aca="false">B21*$C$2+C21*$C$3+F21*$C$6</f>
        <v>130000</v>
      </c>
      <c r="H21" s="8" t="n">
        <f aca="false">D21*$C$4+E21*$C$5</f>
        <v>27000</v>
      </c>
      <c r="I21" s="8" t="n">
        <f aca="false">G21+H21</f>
        <v>157000</v>
      </c>
      <c r="J21" s="9" t="n">
        <f aca="false">B21*$D$2+C21*$D$3+D21*$D$4+E21*$D$5+F21*$D$6</f>
        <v>183</v>
      </c>
    </row>
    <row r="22" customFormat="false" ht="15" hidden="false" customHeight="false" outlineLevel="0" collapsed="false">
      <c r="A22" s="0" t="n">
        <v>13</v>
      </c>
      <c r="B22" s="7" t="n">
        <v>2</v>
      </c>
      <c r="C22" s="7" t="n">
        <v>1</v>
      </c>
      <c r="D22" s="7" t="n">
        <v>8</v>
      </c>
      <c r="E22" s="7" t="n">
        <v>1</v>
      </c>
      <c r="F22" s="7" t="n">
        <v>4</v>
      </c>
      <c r="G22" s="8" t="n">
        <f aca="false">B22*$C$2+C22*$C$3+F22*$C$6</f>
        <v>155000</v>
      </c>
      <c r="H22" s="8" t="n">
        <f aca="false">D22*$C$4+E22*$C$5</f>
        <v>32000</v>
      </c>
      <c r="I22" s="8" t="n">
        <f aca="false">G22+H22</f>
        <v>187000</v>
      </c>
      <c r="J22" s="9" t="n">
        <f aca="false">B22*$D$2+C22*$D$3+D22*$D$4+E22*$D$5+F22*$D$6</f>
        <v>218</v>
      </c>
    </row>
    <row r="23" customFormat="false" ht="15" hidden="false" customHeight="false" outlineLevel="0" collapsed="false">
      <c r="A23" s="0" t="n">
        <v>14</v>
      </c>
      <c r="B23" s="7" t="n">
        <v>2</v>
      </c>
      <c r="C23" s="7" t="n">
        <v>1</v>
      </c>
      <c r="D23" s="7" t="n">
        <v>8</v>
      </c>
      <c r="E23" s="7" t="n">
        <v>1</v>
      </c>
      <c r="F23" s="7" t="n">
        <v>4</v>
      </c>
      <c r="G23" s="8" t="n">
        <f aca="false">B23*$C$2+C23*$C$3+F23*$C$6</f>
        <v>155000</v>
      </c>
      <c r="H23" s="8" t="n">
        <f aca="false">D23*$C$4+E23*$C$5</f>
        <v>32000</v>
      </c>
      <c r="I23" s="8" t="n">
        <f aca="false">G23+H23</f>
        <v>187000</v>
      </c>
      <c r="J23" s="9" t="n">
        <f aca="false">B23*$D$2+C23*$D$3+D23*$D$4+E23*$D$5+F23*$D$6</f>
        <v>218</v>
      </c>
    </row>
    <row r="24" customFormat="false" ht="15" hidden="false" customHeight="false" outlineLevel="0" collapsed="false">
      <c r="A24" s="0" t="n">
        <v>15</v>
      </c>
      <c r="B24" s="7" t="n">
        <v>2</v>
      </c>
      <c r="C24" s="7" t="n">
        <v>1</v>
      </c>
      <c r="D24" s="7" t="n">
        <v>8</v>
      </c>
      <c r="E24" s="7" t="n">
        <v>1</v>
      </c>
      <c r="F24" s="7" t="n">
        <v>4</v>
      </c>
      <c r="G24" s="8" t="n">
        <f aca="false">B24*$C$2+C24*$C$3+F24*$C$6</f>
        <v>155000</v>
      </c>
      <c r="H24" s="8" t="n">
        <f aca="false">D24*$C$4+E24*$C$5</f>
        <v>32000</v>
      </c>
      <c r="I24" s="8" t="n">
        <f aca="false">G24+H24</f>
        <v>187000</v>
      </c>
      <c r="J24" s="9" t="n">
        <f aca="false">B24*$D$2+C24*$D$3+D24*$D$4+E24*$D$5+F24*$D$6</f>
        <v>218</v>
      </c>
    </row>
    <row r="25" customFormat="false" ht="15" hidden="false" customHeight="false" outlineLevel="0" collapsed="false">
      <c r="A25" s="0" t="n">
        <v>16</v>
      </c>
      <c r="B25" s="7" t="n">
        <v>2</v>
      </c>
      <c r="C25" s="7" t="n">
        <v>1</v>
      </c>
      <c r="D25" s="7" t="n">
        <v>8</v>
      </c>
      <c r="E25" s="7" t="n">
        <v>1</v>
      </c>
      <c r="F25" s="7" t="n">
        <v>4</v>
      </c>
      <c r="G25" s="8" t="n">
        <f aca="false">B25*$C$2+C25*$C$3+F25*$C$6</f>
        <v>155000</v>
      </c>
      <c r="H25" s="8" t="n">
        <f aca="false">D25*$C$4+E25*$C$5</f>
        <v>32000</v>
      </c>
      <c r="I25" s="8" t="n">
        <f aca="false">G25+H25</f>
        <v>187000</v>
      </c>
      <c r="J25" s="9" t="n">
        <f aca="false">B25*$D$2+C25*$D$3+D25*$D$4+E25*$D$5+F25*$D$6</f>
        <v>218</v>
      </c>
    </row>
    <row r="26" customFormat="false" ht="15" hidden="false" customHeight="false" outlineLevel="0" collapsed="false">
      <c r="A26" s="0" t="n">
        <v>17</v>
      </c>
      <c r="B26" s="7" t="n">
        <v>2</v>
      </c>
      <c r="C26" s="7" t="n">
        <v>1</v>
      </c>
      <c r="D26" s="7" t="n">
        <v>8</v>
      </c>
      <c r="E26" s="7" t="n">
        <v>1</v>
      </c>
      <c r="F26" s="7" t="n">
        <v>4</v>
      </c>
      <c r="G26" s="8" t="n">
        <f aca="false">B26*$C$2+C26*$C$3+F26*$C$6</f>
        <v>155000</v>
      </c>
      <c r="H26" s="8" t="n">
        <f aca="false">D26*$C$4+E26*$C$5</f>
        <v>32000</v>
      </c>
      <c r="I26" s="8" t="n">
        <f aca="false">G26+H26</f>
        <v>187000</v>
      </c>
      <c r="J26" s="9" t="n">
        <f aca="false">B26*$D$2+C26*$D$3+D26*$D$4+E26*$D$5+F26*$D$6</f>
        <v>218</v>
      </c>
    </row>
    <row r="27" customFormat="false" ht="15" hidden="false" customHeight="false" outlineLevel="0" collapsed="false">
      <c r="A27" s="0" t="n">
        <v>18</v>
      </c>
      <c r="B27" s="7" t="n">
        <v>2</v>
      </c>
      <c r="C27" s="7" t="n">
        <v>1</v>
      </c>
      <c r="D27" s="7" t="n">
        <v>8</v>
      </c>
      <c r="E27" s="7" t="n">
        <v>1</v>
      </c>
      <c r="F27" s="7" t="n">
        <v>4</v>
      </c>
      <c r="G27" s="8" t="n">
        <f aca="false">B27*$C$2+C27*$C$3+F27*$C$6</f>
        <v>155000</v>
      </c>
      <c r="H27" s="8" t="n">
        <f aca="false">D27*$C$4+E27*$C$5</f>
        <v>32000</v>
      </c>
      <c r="I27" s="8" t="n">
        <f aca="false">G27+H27</f>
        <v>187000</v>
      </c>
      <c r="J27" s="9" t="n">
        <f aca="false">B27*$D$2+C27*$D$3+D27*$D$4+E27*$D$5+F27*$D$6</f>
        <v>218</v>
      </c>
    </row>
    <row r="28" customFormat="false" ht="15" hidden="false" customHeight="false" outlineLevel="0" collapsed="false">
      <c r="A28" s="0" t="n">
        <v>19</v>
      </c>
      <c r="B28" s="7" t="n">
        <v>2</v>
      </c>
      <c r="C28" s="7" t="n">
        <v>1</v>
      </c>
      <c r="D28" s="7" t="n">
        <v>8</v>
      </c>
      <c r="E28" s="7" t="n">
        <v>1</v>
      </c>
      <c r="F28" s="7" t="n">
        <v>5</v>
      </c>
      <c r="G28" s="8" t="n">
        <f aca="false">B28*$C$2+C28*$C$3+F28*$C$6</f>
        <v>170000</v>
      </c>
      <c r="H28" s="8" t="n">
        <f aca="false">D28*$C$4+E28*$C$5</f>
        <v>32000</v>
      </c>
      <c r="I28" s="8" t="n">
        <f aca="false">G28+H28</f>
        <v>202000</v>
      </c>
      <c r="J28" s="9" t="n">
        <f aca="false">B28*$D$2+C28*$D$3+D28*$D$4+E28*$D$5+F28*$D$6</f>
        <v>237</v>
      </c>
    </row>
    <row r="29" customFormat="false" ht="15" hidden="false" customHeight="false" outlineLevel="0" collapsed="false">
      <c r="A29" s="0" t="n">
        <v>20</v>
      </c>
      <c r="B29" s="7" t="n">
        <v>2</v>
      </c>
      <c r="C29" s="7" t="n">
        <v>1</v>
      </c>
      <c r="D29" s="7" t="n">
        <v>8</v>
      </c>
      <c r="E29" s="7" t="n">
        <v>1</v>
      </c>
      <c r="F29" s="7" t="n">
        <v>5</v>
      </c>
      <c r="G29" s="8" t="n">
        <f aca="false">B29*$C$2+C29*$C$3+F29*$C$6</f>
        <v>170000</v>
      </c>
      <c r="H29" s="8" t="n">
        <f aca="false">D29*$C$4+E29*$C$5</f>
        <v>32000</v>
      </c>
      <c r="I29" s="8" t="n">
        <f aca="false">G29+H29</f>
        <v>202000</v>
      </c>
      <c r="J29" s="9" t="n">
        <f aca="false">B29*$D$2+C29*$D$3+D29*$D$4+E29*$D$5+F29*$D$6</f>
        <v>237</v>
      </c>
    </row>
    <row r="30" customFormat="false" ht="15" hidden="false" customHeight="false" outlineLevel="0" collapsed="false">
      <c r="A30" s="0" t="n">
        <v>21</v>
      </c>
      <c r="B30" s="7" t="n">
        <v>2</v>
      </c>
      <c r="C30" s="7" t="n">
        <v>1</v>
      </c>
      <c r="D30" s="7" t="n">
        <v>8</v>
      </c>
      <c r="E30" s="7" t="n">
        <v>1</v>
      </c>
      <c r="F30" s="7" t="n">
        <v>5</v>
      </c>
      <c r="G30" s="8" t="n">
        <f aca="false">B30*$C$2+C30*$C$3+F30*$C$6</f>
        <v>170000</v>
      </c>
      <c r="H30" s="8" t="n">
        <f aca="false">D30*$C$4+E30*$C$5</f>
        <v>32000</v>
      </c>
      <c r="I30" s="8" t="n">
        <f aca="false">G30+H30</f>
        <v>202000</v>
      </c>
      <c r="J30" s="9" t="n">
        <f aca="false">B30*$D$2+C30*$D$3+D30*$D$4+E30*$D$5+F30*$D$6</f>
        <v>237</v>
      </c>
    </row>
    <row r="31" customFormat="false" ht="15" hidden="false" customHeight="false" outlineLevel="0" collapsed="false">
      <c r="A31" s="0" t="n">
        <v>22</v>
      </c>
      <c r="B31" s="7" t="n">
        <v>2</v>
      </c>
      <c r="C31" s="7" t="n">
        <v>1</v>
      </c>
      <c r="D31" s="7" t="n">
        <v>8</v>
      </c>
      <c r="E31" s="7" t="n">
        <v>1</v>
      </c>
      <c r="F31" s="7" t="n">
        <v>5</v>
      </c>
      <c r="G31" s="8" t="n">
        <f aca="false">B31*$C$2+C31*$C$3+F31*$C$6</f>
        <v>170000</v>
      </c>
      <c r="H31" s="8" t="n">
        <f aca="false">D31*$C$4+E31*$C$5</f>
        <v>32000</v>
      </c>
      <c r="I31" s="8" t="n">
        <f aca="false">G31+H31</f>
        <v>202000</v>
      </c>
      <c r="J31" s="9" t="n">
        <f aca="false">B31*$D$2+C31*$D$3+D31*$D$4+E31*$D$5+F31*$D$6</f>
        <v>237</v>
      </c>
    </row>
    <row r="32" customFormat="false" ht="15" hidden="false" customHeight="false" outlineLevel="0" collapsed="false">
      <c r="A32" s="0" t="n">
        <v>23</v>
      </c>
      <c r="B32" s="7" t="n">
        <v>2</v>
      </c>
      <c r="C32" s="7" t="n">
        <v>1</v>
      </c>
      <c r="D32" s="7" t="n">
        <v>8</v>
      </c>
      <c r="E32" s="7" t="n">
        <v>1</v>
      </c>
      <c r="F32" s="7" t="n">
        <v>5</v>
      </c>
      <c r="G32" s="8" t="n">
        <f aca="false">B32*$C$2+C32*$C$3+F32*$C$6</f>
        <v>170000</v>
      </c>
      <c r="H32" s="8" t="n">
        <f aca="false">D32*$C$4+E32*$C$5</f>
        <v>32000</v>
      </c>
      <c r="I32" s="8" t="n">
        <f aca="false">G32+H32</f>
        <v>202000</v>
      </c>
      <c r="J32" s="9" t="n">
        <f aca="false">B32*$D$2+C32*$D$3+D32*$D$4+E32*$D$5+F32*$D$6</f>
        <v>237</v>
      </c>
    </row>
    <row r="33" customFormat="false" ht="15" hidden="false" customHeight="false" outlineLevel="0" collapsed="false">
      <c r="A33" s="0" t="n">
        <v>24</v>
      </c>
      <c r="B33" s="7" t="n">
        <v>2</v>
      </c>
      <c r="C33" s="7" t="n">
        <v>1</v>
      </c>
      <c r="D33" s="7" t="n">
        <v>8</v>
      </c>
      <c r="E33" s="7" t="n">
        <v>1</v>
      </c>
      <c r="F33" s="7" t="n">
        <v>5</v>
      </c>
      <c r="G33" s="8" t="n">
        <f aca="false">B33*$C$2+C33*$C$3+F33*$C$6</f>
        <v>170000</v>
      </c>
      <c r="H33" s="8" t="n">
        <f aca="false">D33*$C$4+E33*$C$5</f>
        <v>32000</v>
      </c>
      <c r="I33" s="8" t="n">
        <f aca="false">G33+H33</f>
        <v>202000</v>
      </c>
      <c r="J33" s="9" t="n">
        <f aca="false">B33*$D$2+C33*$D$3+D33*$D$4+E33*$D$5+F33*$D$6</f>
        <v>237</v>
      </c>
    </row>
    <row r="34" customFormat="false" ht="15" hidden="false" customHeight="false" outlineLevel="0" collapsed="false">
      <c r="A34" s="0" t="n">
        <v>25</v>
      </c>
      <c r="B34" s="7" t="n">
        <v>2</v>
      </c>
      <c r="C34" s="7" t="n">
        <v>1</v>
      </c>
      <c r="D34" s="7" t="n">
        <v>10</v>
      </c>
      <c r="E34" s="7" t="n">
        <v>2</v>
      </c>
      <c r="F34" s="7" t="n">
        <v>6</v>
      </c>
      <c r="G34" s="8" t="n">
        <f aca="false">B34*$C$2+C34*$C$3+F34*$C$6</f>
        <v>185000</v>
      </c>
      <c r="H34" s="8" t="n">
        <f aca="false">D34*$C$4+E34*$C$5</f>
        <v>49000</v>
      </c>
      <c r="I34" s="8" t="n">
        <f aca="false">G34+H34</f>
        <v>234000</v>
      </c>
      <c r="J34" s="9" t="n">
        <f aca="false">B34*$D$2+C34*$D$3+D34*$D$4+E34*$D$5+F34*$D$6</f>
        <v>273</v>
      </c>
    </row>
    <row r="35" customFormat="false" ht="15" hidden="false" customHeight="false" outlineLevel="0" collapsed="false">
      <c r="A35" s="0" t="n">
        <v>26</v>
      </c>
      <c r="B35" s="7" t="n">
        <v>2</v>
      </c>
      <c r="C35" s="7" t="n">
        <v>1</v>
      </c>
      <c r="D35" s="7" t="n">
        <v>10</v>
      </c>
      <c r="E35" s="7" t="n">
        <v>2</v>
      </c>
      <c r="F35" s="7" t="n">
        <v>6</v>
      </c>
      <c r="G35" s="8" t="n">
        <f aca="false">B35*$C$2+C35*$C$3+F35*$C$6</f>
        <v>185000</v>
      </c>
      <c r="H35" s="8" t="n">
        <f aca="false">D35*$C$4+E35*$C$5</f>
        <v>49000</v>
      </c>
      <c r="I35" s="8" t="n">
        <f aca="false">G35+H35</f>
        <v>234000</v>
      </c>
      <c r="J35" s="9" t="n">
        <f aca="false">B35*$D$2+C35*$D$3+D35*$D$4+E35*$D$5+F35*$D$6</f>
        <v>273</v>
      </c>
    </row>
    <row r="36" customFormat="false" ht="15" hidden="false" customHeight="false" outlineLevel="0" collapsed="false">
      <c r="A36" s="0" t="n">
        <v>27</v>
      </c>
      <c r="B36" s="7" t="n">
        <v>2</v>
      </c>
      <c r="C36" s="7" t="n">
        <v>1</v>
      </c>
      <c r="D36" s="7" t="n">
        <v>10</v>
      </c>
      <c r="E36" s="7" t="n">
        <v>2</v>
      </c>
      <c r="F36" s="7" t="n">
        <v>6</v>
      </c>
      <c r="G36" s="8" t="n">
        <f aca="false">B36*$C$2+C36*$C$3+F36*$C$6</f>
        <v>185000</v>
      </c>
      <c r="H36" s="8" t="n">
        <f aca="false">D36*$C$4+E36*$C$5</f>
        <v>49000</v>
      </c>
      <c r="I36" s="8" t="n">
        <f aca="false">G36+H36</f>
        <v>234000</v>
      </c>
      <c r="J36" s="9" t="n">
        <f aca="false">B36*$D$2+C36*$D$3+D36*$D$4+E36*$D$5+F36*$D$6</f>
        <v>273</v>
      </c>
    </row>
    <row r="37" customFormat="false" ht="15" hidden="false" customHeight="false" outlineLevel="0" collapsed="false">
      <c r="A37" s="0" t="n">
        <v>28</v>
      </c>
      <c r="B37" s="7" t="n">
        <v>2</v>
      </c>
      <c r="C37" s="7" t="n">
        <v>1</v>
      </c>
      <c r="D37" s="7" t="n">
        <v>10</v>
      </c>
      <c r="E37" s="7" t="n">
        <v>2</v>
      </c>
      <c r="F37" s="7" t="n">
        <v>6</v>
      </c>
      <c r="G37" s="8" t="n">
        <f aca="false">B37*$C$2+C37*$C$3+F37*$C$6</f>
        <v>185000</v>
      </c>
      <c r="H37" s="8" t="n">
        <f aca="false">D37*$C$4+E37*$C$5</f>
        <v>49000</v>
      </c>
      <c r="I37" s="8" t="n">
        <f aca="false">G37+H37</f>
        <v>234000</v>
      </c>
      <c r="J37" s="9" t="n">
        <f aca="false">B37*$D$2+C37*$D$3+D37*$D$4+E37*$D$5+F37*$D$6</f>
        <v>273</v>
      </c>
    </row>
    <row r="38" customFormat="false" ht="15" hidden="false" customHeight="false" outlineLevel="0" collapsed="false">
      <c r="A38" s="0" t="n">
        <v>29</v>
      </c>
      <c r="B38" s="7" t="n">
        <v>2</v>
      </c>
      <c r="C38" s="7" t="n">
        <v>1</v>
      </c>
      <c r="D38" s="7" t="n">
        <v>10</v>
      </c>
      <c r="E38" s="7" t="n">
        <v>2</v>
      </c>
      <c r="F38" s="7" t="n">
        <v>6</v>
      </c>
      <c r="G38" s="8" t="n">
        <f aca="false">B38*$C$2+C38*$C$3+F38*$C$6</f>
        <v>185000</v>
      </c>
      <c r="H38" s="8" t="n">
        <f aca="false">D38*$C$4+E38*$C$5</f>
        <v>49000</v>
      </c>
      <c r="I38" s="8" t="n">
        <f aca="false">G38+H38</f>
        <v>234000</v>
      </c>
      <c r="J38" s="9" t="n">
        <f aca="false">B38*$D$2+C38*$D$3+D38*$D$4+E38*$D$5+F38*$D$6</f>
        <v>273</v>
      </c>
    </row>
    <row r="39" customFormat="false" ht="15" hidden="false" customHeight="false" outlineLevel="0" collapsed="false">
      <c r="A39" s="0" t="n">
        <v>30</v>
      </c>
      <c r="B39" s="7" t="n">
        <v>2</v>
      </c>
      <c r="C39" s="7" t="n">
        <v>1</v>
      </c>
      <c r="D39" s="7" t="n">
        <v>10</v>
      </c>
      <c r="E39" s="7" t="n">
        <v>2</v>
      </c>
      <c r="F39" s="7" t="n">
        <v>6</v>
      </c>
      <c r="G39" s="8" t="n">
        <f aca="false">B39*$C$2+C39*$C$3+F39*$C$6</f>
        <v>185000</v>
      </c>
      <c r="H39" s="8" t="n">
        <f aca="false">D39*$C$4+E39*$C$5</f>
        <v>49000</v>
      </c>
      <c r="I39" s="8" t="n">
        <f aca="false">G39+H39</f>
        <v>234000</v>
      </c>
      <c r="J39" s="9" t="n">
        <f aca="false">B39*$D$2+C39*$D$3+D39*$D$4+E39*$D$5+F39*$D$6</f>
        <v>273</v>
      </c>
    </row>
    <row r="40" customFormat="false" ht="15" hidden="false" customHeight="false" outlineLevel="0" collapsed="false">
      <c r="A40" s="0" t="n">
        <v>31</v>
      </c>
      <c r="B40" s="7" t="n">
        <v>2</v>
      </c>
      <c r="C40" s="7" t="n">
        <v>1</v>
      </c>
      <c r="D40" s="7" t="n">
        <v>10</v>
      </c>
      <c r="E40" s="7" t="n">
        <v>2</v>
      </c>
      <c r="F40" s="7" t="n">
        <v>6</v>
      </c>
      <c r="G40" s="8" t="n">
        <f aca="false">B40*$C$2+C40*$C$3+F40*$C$6</f>
        <v>185000</v>
      </c>
      <c r="H40" s="8" t="n">
        <f aca="false">D40*$C$4+E40*$C$5</f>
        <v>49000</v>
      </c>
      <c r="I40" s="8" t="n">
        <f aca="false">G40+H40</f>
        <v>234000</v>
      </c>
      <c r="J40" s="9" t="n">
        <f aca="false">B40*$D$2+C40*$D$3+D40*$D$4+E40*$D$5+F40*$D$6</f>
        <v>273</v>
      </c>
    </row>
    <row r="41" customFormat="false" ht="15" hidden="false" customHeight="false" outlineLevel="0" collapsed="false">
      <c r="A41" s="0" t="n">
        <v>32</v>
      </c>
      <c r="B41" s="7" t="n">
        <v>2</v>
      </c>
      <c r="C41" s="7" t="n">
        <v>1</v>
      </c>
      <c r="D41" s="7" t="n">
        <v>10</v>
      </c>
      <c r="E41" s="7" t="n">
        <v>2</v>
      </c>
      <c r="F41" s="7" t="n">
        <v>6</v>
      </c>
      <c r="G41" s="8" t="n">
        <f aca="false">B41*$C$2+C41*$C$3+F41*$C$6</f>
        <v>185000</v>
      </c>
      <c r="H41" s="8" t="n">
        <f aca="false">D41*$C$4+E41*$C$5</f>
        <v>49000</v>
      </c>
      <c r="I41" s="8" t="n">
        <f aca="false">G41+H41</f>
        <v>234000</v>
      </c>
      <c r="J41" s="9" t="n">
        <f aca="false">B41*$D$2+C41*$D$3+D41*$D$4+E41*$D$5+F41*$D$6</f>
        <v>273</v>
      </c>
    </row>
    <row r="42" customFormat="false" ht="15" hidden="false" customHeight="false" outlineLevel="0" collapsed="false">
      <c r="A42" s="0" t="n">
        <v>33</v>
      </c>
      <c r="B42" s="7" t="n">
        <v>2</v>
      </c>
      <c r="C42" s="7" t="n">
        <v>1</v>
      </c>
      <c r="D42" s="7" t="n">
        <v>10</v>
      </c>
      <c r="E42" s="7" t="n">
        <v>2</v>
      </c>
      <c r="F42" s="7" t="n">
        <v>6</v>
      </c>
      <c r="G42" s="8" t="n">
        <f aca="false">B42*$C$2+C42*$C$3+F42*$C$6</f>
        <v>185000</v>
      </c>
      <c r="H42" s="8" t="n">
        <f aca="false">D42*$C$4+E42*$C$5</f>
        <v>49000</v>
      </c>
      <c r="I42" s="8" t="n">
        <f aca="false">G42+H42</f>
        <v>234000</v>
      </c>
      <c r="J42" s="9" t="n">
        <f aca="false">B42*$D$2+C42*$D$3+D42*$D$4+E42*$D$5+F42*$D$6</f>
        <v>273</v>
      </c>
    </row>
    <row r="43" customFormat="false" ht="15" hidden="false" customHeight="false" outlineLevel="0" collapsed="false">
      <c r="A43" s="0" t="n">
        <v>34</v>
      </c>
      <c r="B43" s="7" t="n">
        <v>2</v>
      </c>
      <c r="C43" s="7" t="n">
        <v>1</v>
      </c>
      <c r="D43" s="7" t="n">
        <v>10</v>
      </c>
      <c r="E43" s="7" t="n">
        <v>2</v>
      </c>
      <c r="F43" s="7" t="n">
        <v>6</v>
      </c>
      <c r="G43" s="8" t="n">
        <f aca="false">B43*$C$2+C43*$C$3+F43*$C$6</f>
        <v>185000</v>
      </c>
      <c r="H43" s="8" t="n">
        <f aca="false">D43*$C$4+E43*$C$5</f>
        <v>49000</v>
      </c>
      <c r="I43" s="8" t="n">
        <f aca="false">G43+H43</f>
        <v>234000</v>
      </c>
      <c r="J43" s="9" t="n">
        <f aca="false">B43*$D$2+C43*$D$3+D43*$D$4+E43*$D$5+F43*$D$6</f>
        <v>273</v>
      </c>
    </row>
    <row r="44" customFormat="false" ht="15" hidden="false" customHeight="false" outlineLevel="0" collapsed="false">
      <c r="A44" s="0" t="n">
        <v>35</v>
      </c>
      <c r="B44" s="7" t="n">
        <v>2</v>
      </c>
      <c r="C44" s="7" t="n">
        <v>1</v>
      </c>
      <c r="D44" s="7" t="n">
        <v>10</v>
      </c>
      <c r="E44" s="7" t="n">
        <v>2</v>
      </c>
      <c r="F44" s="7" t="n">
        <v>6</v>
      </c>
      <c r="G44" s="8" t="n">
        <f aca="false">B44*$C$2+C44*$C$3+F44*$C$6</f>
        <v>185000</v>
      </c>
      <c r="H44" s="8" t="n">
        <f aca="false">D44*$C$4+E44*$C$5</f>
        <v>49000</v>
      </c>
      <c r="I44" s="8" t="n">
        <f aca="false">G44+H44</f>
        <v>234000</v>
      </c>
      <c r="J44" s="9" t="n">
        <f aca="false">B44*$D$2+C44*$D$3+D44*$D$4+E44*$D$5+F44*$D$6</f>
        <v>273</v>
      </c>
    </row>
    <row r="45" customFormat="false" ht="15" hidden="false" customHeight="false" outlineLevel="0" collapsed="false">
      <c r="A45" s="0" t="n">
        <v>36</v>
      </c>
      <c r="B45" s="7" t="n">
        <v>2</v>
      </c>
      <c r="C45" s="7" t="n">
        <v>1</v>
      </c>
      <c r="D45" s="7" t="n">
        <v>10</v>
      </c>
      <c r="E45" s="7" t="n">
        <v>2</v>
      </c>
      <c r="F45" s="7" t="n">
        <v>6</v>
      </c>
      <c r="G45" s="8" t="n">
        <f aca="false">B45*$C$2+C45*$C$3+F45*$C$6</f>
        <v>185000</v>
      </c>
      <c r="H45" s="8" t="n">
        <f aca="false">D45*$C$4+E45*$C$5</f>
        <v>49000</v>
      </c>
      <c r="I45" s="8" t="n">
        <f aca="false">G45+H45</f>
        <v>234000</v>
      </c>
      <c r="J45" s="9" t="n">
        <f aca="false">B45*$D$2+C45*$D$3+D45*$D$4+E45*$D$5+F45*$D$6</f>
        <v>273</v>
      </c>
    </row>
    <row r="46" customFormat="false" ht="15" hidden="false" customHeight="false" outlineLevel="0" collapsed="false">
      <c r="A46" s="10" t="s">
        <v>64</v>
      </c>
      <c r="G46" s="8" t="n">
        <f aca="false">SUM(G10:G45)</f>
        <v>5280000</v>
      </c>
      <c r="H46" s="8" t="n">
        <f aca="false">SUM(H10:H45)</f>
        <v>1266000</v>
      </c>
      <c r="I46" s="8" t="n">
        <f aca="false">SUM(I10:I45)</f>
        <v>6546000</v>
      </c>
    </row>
    <row r="47" customFormat="false" ht="15" hidden="false" customHeight="false" outlineLevel="0" collapsed="false">
      <c r="A47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2" min="2" style="0" width="16"/>
  </cols>
  <sheetData>
    <row r="1" customFormat="false" ht="41.75" hidden="false" customHeight="false" outlineLevel="0" collapsed="false">
      <c r="A1" s="2" t="s">
        <v>54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17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</row>
    <row r="2" customFormat="false" ht="15" hidden="false" customHeight="false" outlineLevel="0" collapsed="false">
      <c r="A2" s="0" t="n">
        <v>1</v>
      </c>
      <c r="B2" s="3" t="n">
        <v>62000</v>
      </c>
      <c r="C2" s="3" t="n">
        <v>1000000</v>
      </c>
      <c r="D2" s="3" t="n">
        <v>210000</v>
      </c>
      <c r="E2" s="8" t="n">
        <f aca="false">B2+C2+D2</f>
        <v>1272000</v>
      </c>
      <c r="F2" s="3" t="n">
        <v>1000000</v>
      </c>
      <c r="G2" s="3" t="n">
        <v>110000</v>
      </c>
      <c r="H2" s="3" t="n">
        <v>180000</v>
      </c>
      <c r="I2" s="3" t="n">
        <v>-170000</v>
      </c>
      <c r="J2" s="3" t="n">
        <v>45000</v>
      </c>
      <c r="K2" s="8" t="n">
        <f aca="false">J2*Припущення!$B$10</f>
        <v>9900</v>
      </c>
      <c r="L2" s="8" t="n">
        <f aca="false">J2*Припущення!$B$8</f>
        <v>8100</v>
      </c>
      <c r="M2" s="8" t="n">
        <f aca="false">J2*Припущення!$B$9</f>
        <v>2250</v>
      </c>
      <c r="N2" s="8" t="n">
        <f aca="false">B2*Припущення!$B$6</f>
        <v>3100</v>
      </c>
      <c r="O2" s="8" t="n">
        <f aca="false">B2*Припущення!$B$7</f>
        <v>620</v>
      </c>
      <c r="P2" s="3" t="n">
        <v>2100.12</v>
      </c>
      <c r="Q2" s="3" t="n">
        <v>0</v>
      </c>
      <c r="R2" s="8" t="n">
        <f aca="false">F2+G2+H2+I2+J2+K2+N2+O2+P2+Q2</f>
        <v>1180720.12</v>
      </c>
      <c r="S2" s="8" t="n">
        <f aca="false">E2-R2</f>
        <v>91279.8799999999</v>
      </c>
      <c r="T2" s="8" t="n">
        <f aca="false">K2+L2+M2+N2+O2+P2</f>
        <v>26070.12</v>
      </c>
      <c r="U2" s="8" t="n">
        <f aca="false">T2</f>
        <v>26070.12</v>
      </c>
      <c r="V2" s="8" t="n">
        <f aca="false">MAX(0,Припущення!$B$4-U2)</f>
        <v>973929.88</v>
      </c>
    </row>
    <row r="3" customFormat="false" ht="15" hidden="false" customHeight="false" outlineLevel="0" collapsed="false">
      <c r="A3" s="0" t="n">
        <v>2</v>
      </c>
      <c r="B3" s="3" t="n">
        <v>62000</v>
      </c>
      <c r="C3" s="3" t="n">
        <v>0</v>
      </c>
      <c r="D3" s="3" t="n">
        <v>0</v>
      </c>
      <c r="E3" s="8" t="n">
        <f aca="false">B3+C3+D3</f>
        <v>62000</v>
      </c>
      <c r="F3" s="3" t="n">
        <v>0</v>
      </c>
      <c r="G3" s="3" t="n">
        <v>0</v>
      </c>
      <c r="H3" s="3" t="n">
        <v>0</v>
      </c>
      <c r="I3" s="3" t="n">
        <v>13000</v>
      </c>
      <c r="J3" s="3" t="n">
        <v>45000</v>
      </c>
      <c r="K3" s="8" t="n">
        <f aca="false">J3*Припущення!$B$10</f>
        <v>9900</v>
      </c>
      <c r="L3" s="8" t="n">
        <f aca="false">J3*Припущення!$B$8</f>
        <v>8100</v>
      </c>
      <c r="M3" s="8" t="n">
        <f aca="false">J3*Припущення!$B$9</f>
        <v>2250</v>
      </c>
      <c r="N3" s="8" t="n">
        <f aca="false">B3*Припущення!$B$6</f>
        <v>3100</v>
      </c>
      <c r="O3" s="8" t="n">
        <f aca="false">B3*Припущення!$B$7</f>
        <v>620</v>
      </c>
      <c r="P3" s="3" t="n">
        <v>2100.12</v>
      </c>
      <c r="Q3" s="3" t="n">
        <v>0</v>
      </c>
      <c r="R3" s="8" t="n">
        <f aca="false">F3+G3+H3+I3+J3+K3+N3+O3+P3+Q3</f>
        <v>73720.12</v>
      </c>
      <c r="S3" s="8" t="n">
        <f aca="false">S2+E3-R3</f>
        <v>79559.7599999999</v>
      </c>
      <c r="T3" s="8" t="n">
        <f aca="false">K3+L3+M3+N3+O3+P3</f>
        <v>26070.12</v>
      </c>
      <c r="U3" s="8" t="n">
        <f aca="false">U2+T3</f>
        <v>52140.24</v>
      </c>
      <c r="V3" s="8" t="n">
        <f aca="false">MAX(0,Припущення!$B$4-U3)</f>
        <v>947859.76</v>
      </c>
    </row>
    <row r="4" customFormat="false" ht="15" hidden="false" customHeight="false" outlineLevel="0" collapsed="false">
      <c r="A4" s="0" t="n">
        <v>3</v>
      </c>
      <c r="B4" s="3" t="n">
        <v>77000</v>
      </c>
      <c r="C4" s="3" t="n">
        <v>0</v>
      </c>
      <c r="D4" s="3" t="n">
        <v>0</v>
      </c>
      <c r="E4" s="8" t="n">
        <f aca="false">B4+C4+D4</f>
        <v>77000</v>
      </c>
      <c r="F4" s="3" t="n">
        <v>0</v>
      </c>
      <c r="G4" s="3" t="n">
        <v>0</v>
      </c>
      <c r="H4" s="3" t="n">
        <v>0</v>
      </c>
      <c r="I4" s="3" t="n">
        <v>13000</v>
      </c>
      <c r="J4" s="3" t="n">
        <v>45000</v>
      </c>
      <c r="K4" s="8" t="n">
        <f aca="false">J4*Припущення!$B$10</f>
        <v>9900</v>
      </c>
      <c r="L4" s="8" t="n">
        <f aca="false">J4*Припущення!$B$8</f>
        <v>8100</v>
      </c>
      <c r="M4" s="8" t="n">
        <f aca="false">J4*Припущення!$B$9</f>
        <v>2250</v>
      </c>
      <c r="N4" s="8" t="n">
        <f aca="false">B4*Припущення!$B$6</f>
        <v>3850</v>
      </c>
      <c r="O4" s="8" t="n">
        <f aca="false">B4*Припущення!$B$7</f>
        <v>770</v>
      </c>
      <c r="P4" s="3" t="n">
        <v>2100.12</v>
      </c>
      <c r="Q4" s="3" t="n">
        <v>0</v>
      </c>
      <c r="R4" s="8" t="n">
        <f aca="false">F4+G4+H4+I4+J4+K4+N4+O4+P4+Q4</f>
        <v>74620.12</v>
      </c>
      <c r="S4" s="8" t="n">
        <f aca="false">S3+E4-R4</f>
        <v>81939.6399999999</v>
      </c>
      <c r="T4" s="8" t="n">
        <f aca="false">K4+L4+M4+N4+O4+P4</f>
        <v>26970.12</v>
      </c>
      <c r="U4" s="8" t="n">
        <f aca="false">U3+T4</f>
        <v>79110.36</v>
      </c>
      <c r="V4" s="8" t="n">
        <f aca="false">MAX(0,Припущення!$B$4-U4)</f>
        <v>920889.64</v>
      </c>
    </row>
    <row r="5" customFormat="false" ht="15" hidden="false" customHeight="false" outlineLevel="0" collapsed="false">
      <c r="A5" s="0" t="n">
        <v>4</v>
      </c>
      <c r="B5" s="3" t="n">
        <v>77000</v>
      </c>
      <c r="C5" s="3" t="n">
        <v>0</v>
      </c>
      <c r="D5" s="3" t="n">
        <v>0</v>
      </c>
      <c r="E5" s="8" t="n">
        <f aca="false">B5+C5+D5</f>
        <v>77000</v>
      </c>
      <c r="F5" s="3" t="n">
        <v>0</v>
      </c>
      <c r="G5" s="3" t="n">
        <v>0</v>
      </c>
      <c r="H5" s="3" t="n">
        <v>0</v>
      </c>
      <c r="I5" s="3" t="n">
        <v>13000</v>
      </c>
      <c r="J5" s="3" t="n">
        <v>45000</v>
      </c>
      <c r="K5" s="8" t="n">
        <f aca="false">J5*Припущення!$B$10</f>
        <v>9900</v>
      </c>
      <c r="L5" s="8" t="n">
        <f aca="false">J5*Припущення!$B$8</f>
        <v>8100</v>
      </c>
      <c r="M5" s="8" t="n">
        <f aca="false">J5*Припущення!$B$9</f>
        <v>2250</v>
      </c>
      <c r="N5" s="8" t="n">
        <f aca="false">B5*Припущення!$B$6</f>
        <v>3850</v>
      </c>
      <c r="O5" s="8" t="n">
        <f aca="false">B5*Припущення!$B$7</f>
        <v>770</v>
      </c>
      <c r="P5" s="3" t="n">
        <v>2100.12</v>
      </c>
      <c r="Q5" s="3" t="n">
        <v>10000</v>
      </c>
      <c r="R5" s="8" t="n">
        <f aca="false">F5+G5+H5+I5+J5+K5+N5+O5+P5+Q5</f>
        <v>84620.12</v>
      </c>
      <c r="S5" s="8" t="n">
        <f aca="false">S4+E5-R5</f>
        <v>74319.5199999999</v>
      </c>
      <c r="T5" s="8" t="n">
        <f aca="false">K5+L5+M5+N5+O5+P5</f>
        <v>26970.12</v>
      </c>
      <c r="U5" s="8" t="n">
        <f aca="false">U4+T5</f>
        <v>106080.48</v>
      </c>
      <c r="V5" s="8" t="n">
        <f aca="false">MAX(0,Припущення!$B$4-U5)</f>
        <v>893919.52</v>
      </c>
    </row>
    <row r="6" customFormat="false" ht="15" hidden="false" customHeight="false" outlineLevel="0" collapsed="false">
      <c r="A6" s="0" t="n">
        <v>5</v>
      </c>
      <c r="B6" s="3" t="n">
        <v>77000</v>
      </c>
      <c r="C6" s="3" t="n">
        <v>0</v>
      </c>
      <c r="D6" s="3" t="n">
        <v>0</v>
      </c>
      <c r="E6" s="8" t="n">
        <f aca="false">B6+C6+D6</f>
        <v>77000</v>
      </c>
      <c r="F6" s="3" t="n">
        <v>0</v>
      </c>
      <c r="G6" s="3" t="n">
        <v>0</v>
      </c>
      <c r="H6" s="3" t="n">
        <v>0</v>
      </c>
      <c r="I6" s="3" t="n">
        <v>13000</v>
      </c>
      <c r="J6" s="3" t="n">
        <v>45000</v>
      </c>
      <c r="K6" s="8" t="n">
        <f aca="false">J6*Припущення!$B$10</f>
        <v>9900</v>
      </c>
      <c r="L6" s="8" t="n">
        <f aca="false">J6*Припущення!$B$8</f>
        <v>8100</v>
      </c>
      <c r="M6" s="8" t="n">
        <f aca="false">J6*Припущення!$B$9</f>
        <v>2250</v>
      </c>
      <c r="N6" s="8" t="n">
        <f aca="false">B6*Припущення!$B$6</f>
        <v>3850</v>
      </c>
      <c r="O6" s="8" t="n">
        <f aca="false">B6*Припущення!$B$7</f>
        <v>770</v>
      </c>
      <c r="P6" s="3" t="n">
        <v>2100.12</v>
      </c>
      <c r="Q6" s="3" t="n">
        <v>10000</v>
      </c>
      <c r="R6" s="8" t="n">
        <f aca="false">F6+G6+H6+I6+J6+K6+N6+O6+P6+Q6</f>
        <v>84620.12</v>
      </c>
      <c r="S6" s="8" t="n">
        <f aca="false">S5+E6-R6</f>
        <v>66699.3999999999</v>
      </c>
      <c r="T6" s="8" t="n">
        <f aca="false">K6+L6+M6+N6+O6+P6</f>
        <v>26970.12</v>
      </c>
      <c r="U6" s="8" t="n">
        <f aca="false">U5+T6</f>
        <v>133050.6</v>
      </c>
      <c r="V6" s="8" t="n">
        <f aca="false">MAX(0,Припущення!$B$4-U6)</f>
        <v>866949.4</v>
      </c>
    </row>
    <row r="7" customFormat="false" ht="15" hidden="false" customHeight="false" outlineLevel="0" collapsed="false">
      <c r="A7" s="0" t="n">
        <v>6</v>
      </c>
      <c r="B7" s="3" t="n">
        <v>137000</v>
      </c>
      <c r="C7" s="3" t="n">
        <v>0</v>
      </c>
      <c r="D7" s="3" t="n">
        <v>0</v>
      </c>
      <c r="E7" s="8" t="n">
        <f aca="false">B7+C7+D7</f>
        <v>137000</v>
      </c>
      <c r="F7" s="3" t="n">
        <v>0</v>
      </c>
      <c r="G7" s="3" t="n">
        <v>0</v>
      </c>
      <c r="H7" s="3" t="n">
        <v>0</v>
      </c>
      <c r="I7" s="3" t="n">
        <v>13000</v>
      </c>
      <c r="J7" s="3" t="n">
        <v>45000</v>
      </c>
      <c r="K7" s="8" t="n">
        <f aca="false">J7*Припущення!$B$10</f>
        <v>9900</v>
      </c>
      <c r="L7" s="8" t="n">
        <f aca="false">J7*Припущення!$B$8</f>
        <v>8100</v>
      </c>
      <c r="M7" s="8" t="n">
        <f aca="false">J7*Припущення!$B$9</f>
        <v>2250</v>
      </c>
      <c r="N7" s="8" t="n">
        <f aca="false">B7*Припущення!$B$6</f>
        <v>6850</v>
      </c>
      <c r="O7" s="8" t="n">
        <f aca="false">B7*Припущення!$B$7</f>
        <v>1370</v>
      </c>
      <c r="P7" s="3" t="n">
        <v>2100.12</v>
      </c>
      <c r="Q7" s="3" t="n">
        <v>10000</v>
      </c>
      <c r="R7" s="8" t="n">
        <f aca="false">F7+G7+H7+I7+J7+K7+N7+O7+P7+Q7</f>
        <v>88220.12</v>
      </c>
      <c r="S7" s="8" t="n">
        <f aca="false">S6+E7-R7</f>
        <v>115479.28</v>
      </c>
      <c r="T7" s="8" t="n">
        <f aca="false">K7+L7+M7+N7+O7+P7</f>
        <v>30570.12</v>
      </c>
      <c r="U7" s="8" t="n">
        <f aca="false">U6+T7</f>
        <v>163620.72</v>
      </c>
      <c r="V7" s="8" t="n">
        <f aca="false">MAX(0,Припущення!$B$4-U7)</f>
        <v>836379.28</v>
      </c>
    </row>
    <row r="8" customFormat="false" ht="15" hidden="false" customHeight="false" outlineLevel="0" collapsed="false">
      <c r="A8" s="0" t="n">
        <v>7</v>
      </c>
      <c r="B8" s="3" t="n">
        <v>142000</v>
      </c>
      <c r="C8" s="3" t="n">
        <v>0</v>
      </c>
      <c r="D8" s="3" t="n">
        <v>0</v>
      </c>
      <c r="E8" s="8" t="n">
        <f aca="false">B8+C8+D8</f>
        <v>142000</v>
      </c>
      <c r="F8" s="3" t="n">
        <v>0</v>
      </c>
      <c r="G8" s="3" t="n">
        <v>0</v>
      </c>
      <c r="H8" s="3" t="n">
        <v>0</v>
      </c>
      <c r="I8" s="3" t="n">
        <v>15000</v>
      </c>
      <c r="J8" s="3" t="n">
        <v>45000</v>
      </c>
      <c r="K8" s="8" t="n">
        <f aca="false">J8*Припущення!$B$10</f>
        <v>9900</v>
      </c>
      <c r="L8" s="8" t="n">
        <f aca="false">J8*Припущення!$B$8</f>
        <v>8100</v>
      </c>
      <c r="M8" s="8" t="n">
        <f aca="false">J8*Припущення!$B$9</f>
        <v>2250</v>
      </c>
      <c r="N8" s="8" t="n">
        <f aca="false">B8*Припущення!$B$6</f>
        <v>7100</v>
      </c>
      <c r="O8" s="8" t="n">
        <f aca="false">B8*Припущення!$B$7</f>
        <v>1420</v>
      </c>
      <c r="P8" s="3" t="n">
        <v>2100.12</v>
      </c>
      <c r="Q8" s="3" t="n">
        <v>10000</v>
      </c>
      <c r="R8" s="8" t="n">
        <f aca="false">F8+G8+H8+I8+J8+K8+N8+O8+P8+Q8</f>
        <v>90520.12</v>
      </c>
      <c r="S8" s="8" t="n">
        <f aca="false">S7+E8-R8</f>
        <v>166959.16</v>
      </c>
      <c r="T8" s="8" t="n">
        <f aca="false">K8+L8+M8+N8+O8+P8</f>
        <v>30870.12</v>
      </c>
      <c r="U8" s="8" t="n">
        <f aca="false">U7+T8</f>
        <v>194490.84</v>
      </c>
      <c r="V8" s="8" t="n">
        <f aca="false">MAX(0,Припущення!$B$4-U8)</f>
        <v>805509.16</v>
      </c>
    </row>
    <row r="9" customFormat="false" ht="15" hidden="false" customHeight="false" outlineLevel="0" collapsed="false">
      <c r="A9" s="0" t="n">
        <v>8</v>
      </c>
      <c r="B9" s="3" t="n">
        <v>142000</v>
      </c>
      <c r="C9" s="3" t="n">
        <v>0</v>
      </c>
      <c r="D9" s="3" t="n">
        <v>0</v>
      </c>
      <c r="E9" s="8" t="n">
        <f aca="false">B9+C9+D9</f>
        <v>142000</v>
      </c>
      <c r="F9" s="3" t="n">
        <v>0</v>
      </c>
      <c r="G9" s="3" t="n">
        <v>0</v>
      </c>
      <c r="H9" s="3" t="n">
        <v>0</v>
      </c>
      <c r="I9" s="3" t="n">
        <v>15000</v>
      </c>
      <c r="J9" s="3" t="n">
        <v>45000</v>
      </c>
      <c r="K9" s="8" t="n">
        <f aca="false">J9*Припущення!$B$10</f>
        <v>9900</v>
      </c>
      <c r="L9" s="8" t="n">
        <f aca="false">J9*Припущення!$B$8</f>
        <v>8100</v>
      </c>
      <c r="M9" s="8" t="n">
        <f aca="false">J9*Припущення!$B$9</f>
        <v>2250</v>
      </c>
      <c r="N9" s="8" t="n">
        <f aca="false">B9*Припущення!$B$6</f>
        <v>7100</v>
      </c>
      <c r="O9" s="8" t="n">
        <f aca="false">B9*Припущення!$B$7</f>
        <v>1420</v>
      </c>
      <c r="P9" s="3" t="n">
        <v>2100.12</v>
      </c>
      <c r="Q9" s="3" t="n">
        <v>10000</v>
      </c>
      <c r="R9" s="8" t="n">
        <f aca="false">F9+G9+H9+I9+J9+K9+N9+O9+P9+Q9</f>
        <v>90520.12</v>
      </c>
      <c r="S9" s="8" t="n">
        <f aca="false">S8+E9-R9</f>
        <v>218439.04</v>
      </c>
      <c r="T9" s="8" t="n">
        <f aca="false">K9+L9+M9+N9+O9+P9</f>
        <v>30870.12</v>
      </c>
      <c r="U9" s="8" t="n">
        <f aca="false">U8+T9</f>
        <v>225360.96</v>
      </c>
      <c r="V9" s="8" t="n">
        <f aca="false">MAX(0,Припущення!$B$4-U9)</f>
        <v>774639.04</v>
      </c>
    </row>
    <row r="10" customFormat="false" ht="15" hidden="false" customHeight="false" outlineLevel="0" collapsed="false">
      <c r="A10" s="0" t="n">
        <v>9</v>
      </c>
      <c r="B10" s="3" t="n">
        <v>157000</v>
      </c>
      <c r="C10" s="3" t="n">
        <v>0</v>
      </c>
      <c r="D10" s="3" t="n">
        <v>0</v>
      </c>
      <c r="E10" s="8" t="n">
        <f aca="false">B10+C10+D10</f>
        <v>157000</v>
      </c>
      <c r="F10" s="3" t="n">
        <v>0</v>
      </c>
      <c r="G10" s="3" t="n">
        <v>0</v>
      </c>
      <c r="H10" s="3" t="n">
        <v>0</v>
      </c>
      <c r="I10" s="3" t="n">
        <v>15000</v>
      </c>
      <c r="J10" s="3" t="n">
        <v>45000</v>
      </c>
      <c r="K10" s="8" t="n">
        <f aca="false">J10*Припущення!$B$10</f>
        <v>9900</v>
      </c>
      <c r="L10" s="8" t="n">
        <f aca="false">J10*Припущення!$B$8</f>
        <v>8100</v>
      </c>
      <c r="M10" s="8" t="n">
        <f aca="false">J10*Припущення!$B$9</f>
        <v>2250</v>
      </c>
      <c r="N10" s="8" t="n">
        <f aca="false">B10*Припущення!$B$6</f>
        <v>7850</v>
      </c>
      <c r="O10" s="8" t="n">
        <f aca="false">B10*Припущення!$B$7</f>
        <v>1570</v>
      </c>
      <c r="P10" s="3" t="n">
        <v>2100.12</v>
      </c>
      <c r="Q10" s="3" t="n">
        <v>10000</v>
      </c>
      <c r="R10" s="8" t="n">
        <f aca="false">F10+G10+H10+I10+J10+K10+N10+O10+P10+Q10</f>
        <v>91420.12</v>
      </c>
      <c r="S10" s="8" t="n">
        <f aca="false">S9+E10-R10</f>
        <v>284018.92</v>
      </c>
      <c r="T10" s="8" t="n">
        <f aca="false">K10+L10+M10+N10+O10+P10</f>
        <v>31770.12</v>
      </c>
      <c r="U10" s="8" t="n">
        <f aca="false">U9+T10</f>
        <v>257131.08</v>
      </c>
      <c r="V10" s="8" t="n">
        <f aca="false">MAX(0,Припущення!$B$4-U10)</f>
        <v>742868.92</v>
      </c>
    </row>
    <row r="11" customFormat="false" ht="15" hidden="false" customHeight="false" outlineLevel="0" collapsed="false">
      <c r="A11" s="0" t="n">
        <v>10</v>
      </c>
      <c r="B11" s="3" t="n">
        <v>157000</v>
      </c>
      <c r="C11" s="3" t="n">
        <v>0</v>
      </c>
      <c r="D11" s="3" t="n">
        <v>0</v>
      </c>
      <c r="E11" s="8" t="n">
        <f aca="false">B11+C11+D11</f>
        <v>157000</v>
      </c>
      <c r="F11" s="3" t="n">
        <v>0</v>
      </c>
      <c r="G11" s="3" t="n">
        <v>0</v>
      </c>
      <c r="H11" s="3" t="n">
        <v>0</v>
      </c>
      <c r="I11" s="3" t="n">
        <v>15000</v>
      </c>
      <c r="J11" s="3" t="n">
        <v>45000</v>
      </c>
      <c r="K11" s="8" t="n">
        <f aca="false">J11*Припущення!$B$10</f>
        <v>9900</v>
      </c>
      <c r="L11" s="8" t="n">
        <f aca="false">J11*Припущення!$B$8</f>
        <v>8100</v>
      </c>
      <c r="M11" s="8" t="n">
        <f aca="false">J11*Припущення!$B$9</f>
        <v>2250</v>
      </c>
      <c r="N11" s="8" t="n">
        <f aca="false">B11*Припущення!$B$6</f>
        <v>7850</v>
      </c>
      <c r="O11" s="8" t="n">
        <f aca="false">B11*Припущення!$B$7</f>
        <v>1570</v>
      </c>
      <c r="P11" s="3" t="n">
        <v>2100.12</v>
      </c>
      <c r="Q11" s="3" t="n">
        <v>10000</v>
      </c>
      <c r="R11" s="8" t="n">
        <f aca="false">F11+G11+H11+I11+J11+K11+N11+O11+P11+Q11</f>
        <v>91420.12</v>
      </c>
      <c r="S11" s="8" t="n">
        <f aca="false">S10+E11-R11</f>
        <v>349598.8</v>
      </c>
      <c r="T11" s="8" t="n">
        <f aca="false">K11+L11+M11+N11+O11+P11</f>
        <v>31770.12</v>
      </c>
      <c r="U11" s="8" t="n">
        <f aca="false">U10+T11</f>
        <v>288901.2</v>
      </c>
      <c r="V11" s="8" t="n">
        <f aca="false">MAX(0,Припущення!$B$4-U11)</f>
        <v>711098.8</v>
      </c>
    </row>
    <row r="12" customFormat="false" ht="15" hidden="false" customHeight="false" outlineLevel="0" collapsed="false">
      <c r="A12" s="0" t="n">
        <v>11</v>
      </c>
      <c r="B12" s="3" t="n">
        <v>157000</v>
      </c>
      <c r="C12" s="3" t="n">
        <v>0</v>
      </c>
      <c r="D12" s="3" t="n">
        <v>0</v>
      </c>
      <c r="E12" s="8" t="n">
        <f aca="false">B12+C12+D12</f>
        <v>157000</v>
      </c>
      <c r="F12" s="3" t="n">
        <v>0</v>
      </c>
      <c r="G12" s="3" t="n">
        <v>0</v>
      </c>
      <c r="H12" s="3" t="n">
        <v>0</v>
      </c>
      <c r="I12" s="3" t="n">
        <v>15000</v>
      </c>
      <c r="J12" s="3" t="n">
        <v>45000</v>
      </c>
      <c r="K12" s="8" t="n">
        <f aca="false">J12*Припущення!$B$10</f>
        <v>9900</v>
      </c>
      <c r="L12" s="8" t="n">
        <f aca="false">J12*Припущення!$B$8</f>
        <v>8100</v>
      </c>
      <c r="M12" s="8" t="n">
        <f aca="false">J12*Припущення!$B$9</f>
        <v>2250</v>
      </c>
      <c r="N12" s="8" t="n">
        <f aca="false">B12*Припущення!$B$6</f>
        <v>7850</v>
      </c>
      <c r="O12" s="8" t="n">
        <f aca="false">B12*Припущення!$B$7</f>
        <v>1570</v>
      </c>
      <c r="P12" s="3" t="n">
        <v>2100.12</v>
      </c>
      <c r="Q12" s="3" t="n">
        <v>10000</v>
      </c>
      <c r="R12" s="8" t="n">
        <f aca="false">F12+G12+H12+I12+J12+K12+N12+O12+P12+Q12</f>
        <v>91420.12</v>
      </c>
      <c r="S12" s="8" t="n">
        <f aca="false">S11+E12-R12</f>
        <v>415178.68</v>
      </c>
      <c r="T12" s="8" t="n">
        <f aca="false">K12+L12+M12+N12+O12+P12</f>
        <v>31770.12</v>
      </c>
      <c r="U12" s="8" t="n">
        <f aca="false">U11+T12</f>
        <v>320671.32</v>
      </c>
      <c r="V12" s="8" t="n">
        <f aca="false">MAX(0,Припущення!$B$4-U12)</f>
        <v>679328.68</v>
      </c>
    </row>
    <row r="13" customFormat="false" ht="15" hidden="false" customHeight="false" outlineLevel="0" collapsed="false">
      <c r="A13" s="0" t="n">
        <v>12</v>
      </c>
      <c r="B13" s="3" t="n">
        <v>157000</v>
      </c>
      <c r="C13" s="3" t="n">
        <v>0</v>
      </c>
      <c r="D13" s="3" t="n">
        <v>0</v>
      </c>
      <c r="E13" s="8" t="n">
        <f aca="false">B13+C13+D13</f>
        <v>157000</v>
      </c>
      <c r="F13" s="3" t="n">
        <v>0</v>
      </c>
      <c r="G13" s="3" t="n">
        <v>0</v>
      </c>
      <c r="H13" s="3" t="n">
        <v>0</v>
      </c>
      <c r="I13" s="3" t="n">
        <v>13000</v>
      </c>
      <c r="J13" s="3" t="n">
        <v>45000</v>
      </c>
      <c r="K13" s="8" t="n">
        <f aca="false">J13*Припущення!$B$10</f>
        <v>9900</v>
      </c>
      <c r="L13" s="8" t="n">
        <f aca="false">J13*Припущення!$B$8</f>
        <v>8100</v>
      </c>
      <c r="M13" s="8" t="n">
        <f aca="false">J13*Припущення!$B$9</f>
        <v>2250</v>
      </c>
      <c r="N13" s="8" t="n">
        <f aca="false">B13*Припущення!$B$6</f>
        <v>7850</v>
      </c>
      <c r="O13" s="8" t="n">
        <f aca="false">B13*Припущення!$B$7</f>
        <v>1570</v>
      </c>
      <c r="P13" s="3" t="n">
        <v>2100.12</v>
      </c>
      <c r="Q13" s="3" t="n">
        <v>10000</v>
      </c>
      <c r="R13" s="8" t="n">
        <f aca="false">F13+G13+H13+I13+J13+K13+N13+O13+P13+Q13</f>
        <v>89420.12</v>
      </c>
      <c r="S13" s="8" t="n">
        <f aca="false">S12+E13-R13</f>
        <v>482758.56</v>
      </c>
      <c r="T13" s="8" t="n">
        <f aca="false">K13+L13+M13+N13+O13+P13</f>
        <v>31770.12</v>
      </c>
      <c r="U13" s="8" t="n">
        <f aca="false">U12+T13</f>
        <v>352441.44</v>
      </c>
      <c r="V13" s="8" t="n">
        <f aca="false">MAX(0,Припущення!$B$4-U13)</f>
        <v>647558.56</v>
      </c>
    </row>
    <row r="14" customFormat="false" ht="15" hidden="false" customHeight="false" outlineLevel="0" collapsed="false">
      <c r="A14" s="0" t="n">
        <v>13</v>
      </c>
      <c r="B14" s="3" t="n">
        <v>187000</v>
      </c>
      <c r="C14" s="3" t="n">
        <v>0</v>
      </c>
      <c r="D14" s="3" t="n">
        <v>275860</v>
      </c>
      <c r="E14" s="8" t="n">
        <f aca="false">B14+C14+D14</f>
        <v>462860</v>
      </c>
      <c r="F14" s="3" t="n">
        <v>0</v>
      </c>
      <c r="G14" s="3" t="n">
        <v>275860</v>
      </c>
      <c r="H14" s="3" t="n">
        <v>15000</v>
      </c>
      <c r="I14" s="3" t="n">
        <v>30000</v>
      </c>
      <c r="J14" s="3" t="n">
        <v>50000</v>
      </c>
      <c r="K14" s="8" t="n">
        <f aca="false">J14*Припущення!$B$10</f>
        <v>11000</v>
      </c>
      <c r="L14" s="8" t="n">
        <f aca="false">J14*Припущення!$B$8</f>
        <v>9000</v>
      </c>
      <c r="M14" s="8" t="n">
        <f aca="false">J14*Припущення!$B$9</f>
        <v>2500</v>
      </c>
      <c r="N14" s="8" t="n">
        <f aca="false">B14*Припущення!$B$6</f>
        <v>9350</v>
      </c>
      <c r="O14" s="8" t="n">
        <f aca="false">B14*Припущення!$B$7</f>
        <v>1870</v>
      </c>
      <c r="P14" s="3" t="n">
        <v>2100.12</v>
      </c>
      <c r="Q14" s="3" t="n">
        <v>25000</v>
      </c>
      <c r="R14" s="8" t="n">
        <f aca="false">F14+G14+H14+I14+J14+K14+N14+O14+P14+Q14</f>
        <v>420180.12</v>
      </c>
      <c r="S14" s="8" t="n">
        <f aca="false">S13+E14-R14</f>
        <v>525438.44</v>
      </c>
      <c r="T14" s="8" t="n">
        <f aca="false">K14+L14+M14+N14+O14+P14</f>
        <v>35820.12</v>
      </c>
      <c r="U14" s="8" t="n">
        <f aca="false">U13+T14</f>
        <v>388261.56</v>
      </c>
      <c r="V14" s="8" t="n">
        <f aca="false">MAX(0,Припущення!$B$4-U14)</f>
        <v>611738.44</v>
      </c>
    </row>
    <row r="15" customFormat="false" ht="15" hidden="false" customHeight="false" outlineLevel="0" collapsed="false">
      <c r="A15" s="0" t="n">
        <v>14</v>
      </c>
      <c r="B15" s="3" t="n">
        <v>187000</v>
      </c>
      <c r="C15" s="3" t="n">
        <v>0</v>
      </c>
      <c r="D15" s="3" t="n">
        <v>0</v>
      </c>
      <c r="E15" s="8" t="n">
        <f aca="false">B15+C15+D15</f>
        <v>187000</v>
      </c>
      <c r="F15" s="3" t="n">
        <v>0</v>
      </c>
      <c r="G15" s="3" t="n">
        <v>0</v>
      </c>
      <c r="H15" s="3" t="n">
        <v>15000</v>
      </c>
      <c r="I15" s="3" t="n">
        <v>30000</v>
      </c>
      <c r="J15" s="3" t="n">
        <v>50000</v>
      </c>
      <c r="K15" s="8" t="n">
        <f aca="false">J15*Припущення!$B$10</f>
        <v>11000</v>
      </c>
      <c r="L15" s="8" t="n">
        <f aca="false">J15*Припущення!$B$8</f>
        <v>9000</v>
      </c>
      <c r="M15" s="8" t="n">
        <f aca="false">J15*Припущення!$B$9</f>
        <v>2500</v>
      </c>
      <c r="N15" s="8" t="n">
        <f aca="false">B15*Припущення!$B$6</f>
        <v>9350</v>
      </c>
      <c r="O15" s="8" t="n">
        <f aca="false">B15*Припущення!$B$7</f>
        <v>1870</v>
      </c>
      <c r="P15" s="3" t="n">
        <v>2100.12</v>
      </c>
      <c r="Q15" s="3" t="n">
        <v>25000</v>
      </c>
      <c r="R15" s="8" t="n">
        <f aca="false">F15+G15+H15+I15+J15+K15+N15+O15+P15+Q15</f>
        <v>144320.12</v>
      </c>
      <c r="S15" s="8" t="n">
        <f aca="false">S14+E15-R15</f>
        <v>568118.32</v>
      </c>
      <c r="T15" s="8" t="n">
        <f aca="false">K15+L15+M15+N15+O15+P15</f>
        <v>35820.12</v>
      </c>
      <c r="U15" s="8" t="n">
        <f aca="false">U14+T15</f>
        <v>424081.68</v>
      </c>
      <c r="V15" s="8" t="n">
        <f aca="false">MAX(0,Припущення!$B$4-U15)</f>
        <v>575918.32</v>
      </c>
    </row>
    <row r="16" customFormat="false" ht="15" hidden="false" customHeight="false" outlineLevel="0" collapsed="false">
      <c r="A16" s="0" t="n">
        <v>15</v>
      </c>
      <c r="B16" s="3" t="n">
        <v>187000</v>
      </c>
      <c r="C16" s="3" t="n">
        <v>0</v>
      </c>
      <c r="D16" s="3" t="n">
        <v>0</v>
      </c>
      <c r="E16" s="8" t="n">
        <f aca="false">B16+C16+D16</f>
        <v>187000</v>
      </c>
      <c r="F16" s="3" t="n">
        <v>0</v>
      </c>
      <c r="G16" s="3" t="n">
        <v>0</v>
      </c>
      <c r="H16" s="3" t="n">
        <v>15000</v>
      </c>
      <c r="I16" s="3" t="n">
        <v>30000</v>
      </c>
      <c r="J16" s="3" t="n">
        <v>50000</v>
      </c>
      <c r="K16" s="8" t="n">
        <f aca="false">J16*Припущення!$B$10</f>
        <v>11000</v>
      </c>
      <c r="L16" s="8" t="n">
        <f aca="false">J16*Припущення!$B$8</f>
        <v>9000</v>
      </c>
      <c r="M16" s="8" t="n">
        <f aca="false">J16*Припущення!$B$9</f>
        <v>2500</v>
      </c>
      <c r="N16" s="8" t="n">
        <f aca="false">B16*Припущення!$B$6</f>
        <v>9350</v>
      </c>
      <c r="O16" s="8" t="n">
        <f aca="false">B16*Припущення!$B$7</f>
        <v>1870</v>
      </c>
      <c r="P16" s="3" t="n">
        <v>2100.12</v>
      </c>
      <c r="Q16" s="3" t="n">
        <v>25000</v>
      </c>
      <c r="R16" s="8" t="n">
        <f aca="false">F16+G16+H16+I16+J16+K16+N16+O16+P16+Q16</f>
        <v>144320.12</v>
      </c>
      <c r="S16" s="8" t="n">
        <f aca="false">S15+E16-R16</f>
        <v>610798.2</v>
      </c>
      <c r="T16" s="8" t="n">
        <f aca="false">K16+L16+M16+N16+O16+P16</f>
        <v>35820.12</v>
      </c>
      <c r="U16" s="8" t="n">
        <f aca="false">U15+T16</f>
        <v>459901.8</v>
      </c>
      <c r="V16" s="8" t="n">
        <f aca="false">MAX(0,Припущення!$B$4-U16)</f>
        <v>540098.2</v>
      </c>
    </row>
    <row r="17" customFormat="false" ht="15" hidden="false" customHeight="false" outlineLevel="0" collapsed="false">
      <c r="A17" s="0" t="n">
        <v>16</v>
      </c>
      <c r="B17" s="3" t="n">
        <v>187000</v>
      </c>
      <c r="C17" s="3" t="n">
        <v>0</v>
      </c>
      <c r="D17" s="3" t="n">
        <v>0</v>
      </c>
      <c r="E17" s="8" t="n">
        <f aca="false">B17+C17+D17</f>
        <v>187000</v>
      </c>
      <c r="F17" s="3" t="n">
        <v>0</v>
      </c>
      <c r="G17" s="3" t="n">
        <v>0</v>
      </c>
      <c r="H17" s="3" t="n">
        <v>15000</v>
      </c>
      <c r="I17" s="3" t="n">
        <v>30000</v>
      </c>
      <c r="J17" s="3" t="n">
        <v>50000</v>
      </c>
      <c r="K17" s="8" t="n">
        <f aca="false">J17*Припущення!$B$10</f>
        <v>11000</v>
      </c>
      <c r="L17" s="8" t="n">
        <f aca="false">J17*Припущення!$B$8</f>
        <v>9000</v>
      </c>
      <c r="M17" s="8" t="n">
        <f aca="false">J17*Припущення!$B$9</f>
        <v>2500</v>
      </c>
      <c r="N17" s="8" t="n">
        <f aca="false">B17*Припущення!$B$6</f>
        <v>9350</v>
      </c>
      <c r="O17" s="8" t="n">
        <f aca="false">B17*Припущення!$B$7</f>
        <v>1870</v>
      </c>
      <c r="P17" s="3" t="n">
        <v>2100.12</v>
      </c>
      <c r="Q17" s="3" t="n">
        <v>25000</v>
      </c>
      <c r="R17" s="8" t="n">
        <f aca="false">F17+G17+H17+I17+J17+K17+N17+O17+P17+Q17</f>
        <v>144320.12</v>
      </c>
      <c r="S17" s="8" t="n">
        <f aca="false">S16+E17-R17</f>
        <v>653478.08</v>
      </c>
      <c r="T17" s="8" t="n">
        <f aca="false">K17+L17+M17+N17+O17+P17</f>
        <v>35820.12</v>
      </c>
      <c r="U17" s="8" t="n">
        <f aca="false">U16+T17</f>
        <v>495721.92</v>
      </c>
      <c r="V17" s="8" t="n">
        <f aca="false">MAX(0,Припущення!$B$4-U17)</f>
        <v>504278.08</v>
      </c>
    </row>
    <row r="18" customFormat="false" ht="15" hidden="false" customHeight="false" outlineLevel="0" collapsed="false">
      <c r="A18" s="0" t="n">
        <v>17</v>
      </c>
      <c r="B18" s="3" t="n">
        <v>187000</v>
      </c>
      <c r="C18" s="3" t="n">
        <v>0</v>
      </c>
      <c r="D18" s="3" t="n">
        <v>0</v>
      </c>
      <c r="E18" s="8" t="n">
        <f aca="false">B18+C18+D18</f>
        <v>187000</v>
      </c>
      <c r="F18" s="3" t="n">
        <v>0</v>
      </c>
      <c r="G18" s="3" t="n">
        <v>0</v>
      </c>
      <c r="H18" s="3" t="n">
        <v>15000</v>
      </c>
      <c r="I18" s="3" t="n">
        <v>30000</v>
      </c>
      <c r="J18" s="3" t="n">
        <v>50000</v>
      </c>
      <c r="K18" s="8" t="n">
        <f aca="false">J18*Припущення!$B$10</f>
        <v>11000</v>
      </c>
      <c r="L18" s="8" t="n">
        <f aca="false">J18*Припущення!$B$8</f>
        <v>9000</v>
      </c>
      <c r="M18" s="8" t="n">
        <f aca="false">J18*Припущення!$B$9</f>
        <v>2500</v>
      </c>
      <c r="N18" s="8" t="n">
        <f aca="false">B18*Припущення!$B$6</f>
        <v>9350</v>
      </c>
      <c r="O18" s="8" t="n">
        <f aca="false">B18*Припущення!$B$7</f>
        <v>1870</v>
      </c>
      <c r="P18" s="3" t="n">
        <v>2100.12</v>
      </c>
      <c r="Q18" s="3" t="n">
        <v>25000</v>
      </c>
      <c r="R18" s="8" t="n">
        <f aca="false">F18+G18+H18+I18+J18+K18+N18+O18+P18+Q18</f>
        <v>144320.12</v>
      </c>
      <c r="S18" s="8" t="n">
        <f aca="false">S17+E18-R18</f>
        <v>696157.96</v>
      </c>
      <c r="T18" s="8" t="n">
        <f aca="false">K18+L18+M18+N18+O18+P18</f>
        <v>35820.12</v>
      </c>
      <c r="U18" s="8" t="n">
        <f aca="false">U17+T18</f>
        <v>531542.04</v>
      </c>
      <c r="V18" s="8" t="n">
        <f aca="false">MAX(0,Припущення!$B$4-U18)</f>
        <v>468457.96</v>
      </c>
    </row>
    <row r="19" customFormat="false" ht="15" hidden="false" customHeight="false" outlineLevel="0" collapsed="false">
      <c r="A19" s="0" t="n">
        <v>18</v>
      </c>
      <c r="B19" s="3" t="n">
        <v>187000</v>
      </c>
      <c r="C19" s="3" t="n">
        <v>0</v>
      </c>
      <c r="D19" s="3" t="n">
        <v>0</v>
      </c>
      <c r="E19" s="8" t="n">
        <f aca="false">B19+C19+D19</f>
        <v>187000</v>
      </c>
      <c r="F19" s="3" t="n">
        <v>0</v>
      </c>
      <c r="G19" s="3" t="n">
        <v>0</v>
      </c>
      <c r="H19" s="3" t="n">
        <v>15000</v>
      </c>
      <c r="I19" s="3" t="n">
        <v>30000</v>
      </c>
      <c r="J19" s="3" t="n">
        <v>50000</v>
      </c>
      <c r="K19" s="8" t="n">
        <f aca="false">J19*Припущення!$B$10</f>
        <v>11000</v>
      </c>
      <c r="L19" s="8" t="n">
        <f aca="false">J19*Припущення!$B$8</f>
        <v>9000</v>
      </c>
      <c r="M19" s="8" t="n">
        <f aca="false">J19*Припущення!$B$9</f>
        <v>2500</v>
      </c>
      <c r="N19" s="8" t="n">
        <f aca="false">B19*Припущення!$B$6</f>
        <v>9350</v>
      </c>
      <c r="O19" s="8" t="n">
        <f aca="false">B19*Припущення!$B$7</f>
        <v>1870</v>
      </c>
      <c r="P19" s="3" t="n">
        <v>2100.12</v>
      </c>
      <c r="Q19" s="3" t="n">
        <v>25000</v>
      </c>
      <c r="R19" s="8" t="n">
        <f aca="false">F19+G19+H19+I19+J19+K19+N19+O19+P19+Q19</f>
        <v>144320.12</v>
      </c>
      <c r="S19" s="8" t="n">
        <f aca="false">S18+E19-R19</f>
        <v>738837.84</v>
      </c>
      <c r="T19" s="8" t="n">
        <f aca="false">K19+L19+M19+N19+O19+P19</f>
        <v>35820.12</v>
      </c>
      <c r="U19" s="8" t="n">
        <f aca="false">U18+T19</f>
        <v>567362.16</v>
      </c>
      <c r="V19" s="8" t="n">
        <f aca="false">MAX(0,Припущення!$B$4-U19)</f>
        <v>432637.84</v>
      </c>
    </row>
    <row r="20" customFormat="false" ht="15" hidden="false" customHeight="false" outlineLevel="0" collapsed="false">
      <c r="A20" s="0" t="n">
        <v>19</v>
      </c>
      <c r="B20" s="3" t="n">
        <v>202000</v>
      </c>
      <c r="C20" s="3" t="n">
        <v>0</v>
      </c>
      <c r="D20" s="3" t="n">
        <v>0</v>
      </c>
      <c r="E20" s="8" t="n">
        <f aca="false">B20+C20+D20</f>
        <v>202000</v>
      </c>
      <c r="F20" s="3" t="n">
        <v>0</v>
      </c>
      <c r="G20" s="3" t="n">
        <v>0</v>
      </c>
      <c r="H20" s="3" t="n">
        <v>15000</v>
      </c>
      <c r="I20" s="3" t="n">
        <v>32000</v>
      </c>
      <c r="J20" s="3" t="n">
        <v>50000</v>
      </c>
      <c r="K20" s="8" t="n">
        <f aca="false">J20*Припущення!$B$10</f>
        <v>11000</v>
      </c>
      <c r="L20" s="8" t="n">
        <f aca="false">J20*Припущення!$B$8</f>
        <v>9000</v>
      </c>
      <c r="M20" s="8" t="n">
        <f aca="false">J20*Припущення!$B$9</f>
        <v>2500</v>
      </c>
      <c r="N20" s="8" t="n">
        <f aca="false">B20*Припущення!$B$6</f>
        <v>10100</v>
      </c>
      <c r="O20" s="8" t="n">
        <f aca="false">B20*Припущення!$B$7</f>
        <v>2020</v>
      </c>
      <c r="P20" s="3" t="n">
        <v>2100.12</v>
      </c>
      <c r="Q20" s="3" t="n">
        <v>25000</v>
      </c>
      <c r="R20" s="8" t="n">
        <f aca="false">F20+G20+H20+I20+J20+K20+N20+O20+P20+Q20</f>
        <v>147220.12</v>
      </c>
      <c r="S20" s="8" t="n">
        <f aca="false">S19+E20-R20</f>
        <v>793617.72</v>
      </c>
      <c r="T20" s="8" t="n">
        <f aca="false">K20+L20+M20+N20+O20+P20</f>
        <v>36720.12</v>
      </c>
      <c r="U20" s="8" t="n">
        <f aca="false">U19+T20</f>
        <v>604082.28</v>
      </c>
      <c r="V20" s="8" t="n">
        <f aca="false">MAX(0,Припущення!$B$4-U20)</f>
        <v>395917.72</v>
      </c>
    </row>
    <row r="21" customFormat="false" ht="15" hidden="false" customHeight="false" outlineLevel="0" collapsed="false">
      <c r="A21" s="0" t="n">
        <v>20</v>
      </c>
      <c r="B21" s="3" t="n">
        <v>202000</v>
      </c>
      <c r="C21" s="3" t="n">
        <v>0</v>
      </c>
      <c r="D21" s="3" t="n">
        <v>0</v>
      </c>
      <c r="E21" s="8" t="n">
        <f aca="false">B21+C21+D21</f>
        <v>202000</v>
      </c>
      <c r="F21" s="3" t="n">
        <v>0</v>
      </c>
      <c r="G21" s="3" t="n">
        <v>0</v>
      </c>
      <c r="H21" s="3" t="n">
        <v>15000</v>
      </c>
      <c r="I21" s="3" t="n">
        <v>32000</v>
      </c>
      <c r="J21" s="3" t="n">
        <v>50000</v>
      </c>
      <c r="K21" s="8" t="n">
        <f aca="false">J21*Припущення!$B$10</f>
        <v>11000</v>
      </c>
      <c r="L21" s="8" t="n">
        <f aca="false">J21*Припущення!$B$8</f>
        <v>9000</v>
      </c>
      <c r="M21" s="8" t="n">
        <f aca="false">J21*Припущення!$B$9</f>
        <v>2500</v>
      </c>
      <c r="N21" s="8" t="n">
        <f aca="false">B21*Припущення!$B$6</f>
        <v>10100</v>
      </c>
      <c r="O21" s="8" t="n">
        <f aca="false">B21*Припущення!$B$7</f>
        <v>2020</v>
      </c>
      <c r="P21" s="3" t="n">
        <v>2100.12</v>
      </c>
      <c r="Q21" s="3" t="n">
        <v>25000</v>
      </c>
      <c r="R21" s="8" t="n">
        <f aca="false">F21+G21+H21+I21+J21+K21+N21+O21+P21+Q21</f>
        <v>147220.12</v>
      </c>
      <c r="S21" s="8" t="n">
        <f aca="false">S20+E21-R21</f>
        <v>848397.6</v>
      </c>
      <c r="T21" s="8" t="n">
        <f aca="false">K21+L21+M21+N21+O21+P21</f>
        <v>36720.12</v>
      </c>
      <c r="U21" s="8" t="n">
        <f aca="false">U20+T21</f>
        <v>640802.4</v>
      </c>
      <c r="V21" s="8" t="n">
        <f aca="false">MAX(0,Припущення!$B$4-U21)</f>
        <v>359197.6</v>
      </c>
    </row>
    <row r="22" customFormat="false" ht="15" hidden="false" customHeight="false" outlineLevel="0" collapsed="false">
      <c r="A22" s="0" t="n">
        <v>21</v>
      </c>
      <c r="B22" s="3" t="n">
        <v>202000</v>
      </c>
      <c r="C22" s="3" t="n">
        <v>0</v>
      </c>
      <c r="D22" s="3" t="n">
        <v>0</v>
      </c>
      <c r="E22" s="8" t="n">
        <f aca="false">B22+C22+D22</f>
        <v>202000</v>
      </c>
      <c r="F22" s="3" t="n">
        <v>0</v>
      </c>
      <c r="G22" s="3" t="n">
        <v>0</v>
      </c>
      <c r="H22" s="3" t="n">
        <v>15000</v>
      </c>
      <c r="I22" s="3" t="n">
        <v>32000</v>
      </c>
      <c r="J22" s="3" t="n">
        <v>50000</v>
      </c>
      <c r="K22" s="8" t="n">
        <f aca="false">J22*Припущення!$B$10</f>
        <v>11000</v>
      </c>
      <c r="L22" s="8" t="n">
        <f aca="false">J22*Припущення!$B$8</f>
        <v>9000</v>
      </c>
      <c r="M22" s="8" t="n">
        <f aca="false">J22*Припущення!$B$9</f>
        <v>2500</v>
      </c>
      <c r="N22" s="8" t="n">
        <f aca="false">B22*Припущення!$B$6</f>
        <v>10100</v>
      </c>
      <c r="O22" s="8" t="n">
        <f aca="false">B22*Припущення!$B$7</f>
        <v>2020</v>
      </c>
      <c r="P22" s="3" t="n">
        <v>2100.12</v>
      </c>
      <c r="Q22" s="3" t="n">
        <v>25000</v>
      </c>
      <c r="R22" s="8" t="n">
        <f aca="false">F22+G22+H22+I22+J22+K22+N22+O22+P22+Q22</f>
        <v>147220.12</v>
      </c>
      <c r="S22" s="8" t="n">
        <f aca="false">S21+E22-R22</f>
        <v>903177.48</v>
      </c>
      <c r="T22" s="8" t="n">
        <f aca="false">K22+L22+M22+N22+O22+P22</f>
        <v>36720.12</v>
      </c>
      <c r="U22" s="8" t="n">
        <f aca="false">U21+T22</f>
        <v>677522.52</v>
      </c>
      <c r="V22" s="8" t="n">
        <f aca="false">MAX(0,Припущення!$B$4-U22)</f>
        <v>322477.48</v>
      </c>
    </row>
    <row r="23" customFormat="false" ht="15" hidden="false" customHeight="false" outlineLevel="0" collapsed="false">
      <c r="A23" s="0" t="n">
        <v>22</v>
      </c>
      <c r="B23" s="3" t="n">
        <v>202000</v>
      </c>
      <c r="C23" s="3" t="n">
        <v>0</v>
      </c>
      <c r="D23" s="3" t="n">
        <v>0</v>
      </c>
      <c r="E23" s="8" t="n">
        <f aca="false">B23+C23+D23</f>
        <v>202000</v>
      </c>
      <c r="F23" s="3" t="n">
        <v>0</v>
      </c>
      <c r="G23" s="3" t="n">
        <v>0</v>
      </c>
      <c r="H23" s="3" t="n">
        <v>15000</v>
      </c>
      <c r="I23" s="3" t="n">
        <v>32000</v>
      </c>
      <c r="J23" s="3" t="n">
        <v>50000</v>
      </c>
      <c r="K23" s="8" t="n">
        <f aca="false">J23*Припущення!$B$10</f>
        <v>11000</v>
      </c>
      <c r="L23" s="8" t="n">
        <f aca="false">J23*Припущення!$B$8</f>
        <v>9000</v>
      </c>
      <c r="M23" s="8" t="n">
        <f aca="false">J23*Припущення!$B$9</f>
        <v>2500</v>
      </c>
      <c r="N23" s="8" t="n">
        <f aca="false">B23*Припущення!$B$6</f>
        <v>10100</v>
      </c>
      <c r="O23" s="8" t="n">
        <f aca="false">B23*Припущення!$B$7</f>
        <v>2020</v>
      </c>
      <c r="P23" s="3" t="n">
        <v>2100.12</v>
      </c>
      <c r="Q23" s="3" t="n">
        <v>25000</v>
      </c>
      <c r="R23" s="8" t="n">
        <f aca="false">F23+G23+H23+I23+J23+K23+N23+O23+P23+Q23</f>
        <v>147220.12</v>
      </c>
      <c r="S23" s="8" t="n">
        <f aca="false">S22+E23-R23</f>
        <v>957957.36</v>
      </c>
      <c r="T23" s="8" t="n">
        <f aca="false">K23+L23+M23+N23+O23+P23</f>
        <v>36720.12</v>
      </c>
      <c r="U23" s="8" t="n">
        <f aca="false">U22+T23</f>
        <v>714242.64</v>
      </c>
      <c r="V23" s="8" t="n">
        <f aca="false">MAX(0,Припущення!$B$4-U23)</f>
        <v>285757.36</v>
      </c>
    </row>
    <row r="24" customFormat="false" ht="15" hidden="false" customHeight="false" outlineLevel="0" collapsed="false">
      <c r="A24" s="0" t="n">
        <v>23</v>
      </c>
      <c r="B24" s="3" t="n">
        <v>202000</v>
      </c>
      <c r="C24" s="3" t="n">
        <v>0</v>
      </c>
      <c r="D24" s="3" t="n">
        <v>0</v>
      </c>
      <c r="E24" s="8" t="n">
        <f aca="false">B24+C24+D24</f>
        <v>202000</v>
      </c>
      <c r="F24" s="3" t="n">
        <v>0</v>
      </c>
      <c r="G24" s="3" t="n">
        <v>0</v>
      </c>
      <c r="H24" s="3" t="n">
        <v>15000</v>
      </c>
      <c r="I24" s="3" t="n">
        <v>32000</v>
      </c>
      <c r="J24" s="3" t="n">
        <v>50000</v>
      </c>
      <c r="K24" s="8" t="n">
        <f aca="false">J24*Припущення!$B$10</f>
        <v>11000</v>
      </c>
      <c r="L24" s="8" t="n">
        <f aca="false">J24*Припущення!$B$8</f>
        <v>9000</v>
      </c>
      <c r="M24" s="8" t="n">
        <f aca="false">J24*Припущення!$B$9</f>
        <v>2500</v>
      </c>
      <c r="N24" s="8" t="n">
        <f aca="false">B24*Припущення!$B$6</f>
        <v>10100</v>
      </c>
      <c r="O24" s="8" t="n">
        <f aca="false">B24*Припущення!$B$7</f>
        <v>2020</v>
      </c>
      <c r="P24" s="3" t="n">
        <v>2100.12</v>
      </c>
      <c r="Q24" s="3" t="n">
        <v>25000</v>
      </c>
      <c r="R24" s="8" t="n">
        <f aca="false">F24+G24+H24+I24+J24+K24+N24+O24+P24+Q24</f>
        <v>147220.12</v>
      </c>
      <c r="S24" s="8" t="n">
        <f aca="false">S23+E24-R24</f>
        <v>1012737.24</v>
      </c>
      <c r="T24" s="8" t="n">
        <f aca="false">K24+L24+M24+N24+O24+P24</f>
        <v>36720.12</v>
      </c>
      <c r="U24" s="8" t="n">
        <f aca="false">U23+T24</f>
        <v>750962.76</v>
      </c>
      <c r="V24" s="8" t="n">
        <f aca="false">MAX(0,Припущення!$B$4-U24)</f>
        <v>249037.24</v>
      </c>
    </row>
    <row r="25" customFormat="false" ht="15" hidden="false" customHeight="false" outlineLevel="0" collapsed="false">
      <c r="A25" s="0" t="n">
        <v>24</v>
      </c>
      <c r="B25" s="3" t="n">
        <v>202000</v>
      </c>
      <c r="C25" s="3" t="n">
        <v>0</v>
      </c>
      <c r="D25" s="3" t="n">
        <v>0</v>
      </c>
      <c r="E25" s="8" t="n">
        <f aca="false">B25+C25+D25</f>
        <v>202000</v>
      </c>
      <c r="F25" s="3" t="n">
        <v>0</v>
      </c>
      <c r="G25" s="3" t="n">
        <v>0</v>
      </c>
      <c r="H25" s="3" t="n">
        <v>15000</v>
      </c>
      <c r="I25" s="3" t="n">
        <v>30000</v>
      </c>
      <c r="J25" s="3" t="n">
        <v>50000</v>
      </c>
      <c r="K25" s="8" t="n">
        <f aca="false">J25*Припущення!$B$10</f>
        <v>11000</v>
      </c>
      <c r="L25" s="8" t="n">
        <f aca="false">J25*Припущення!$B$8</f>
        <v>9000</v>
      </c>
      <c r="M25" s="8" t="n">
        <f aca="false">J25*Припущення!$B$9</f>
        <v>2500</v>
      </c>
      <c r="N25" s="8" t="n">
        <f aca="false">B25*Припущення!$B$6</f>
        <v>10100</v>
      </c>
      <c r="O25" s="8" t="n">
        <f aca="false">B25*Припущення!$B$7</f>
        <v>2020</v>
      </c>
      <c r="P25" s="3" t="n">
        <v>2100.12</v>
      </c>
      <c r="Q25" s="3" t="n">
        <v>25000</v>
      </c>
      <c r="R25" s="8" t="n">
        <f aca="false">F25+G25+H25+I25+J25+K25+N25+O25+P25+Q25</f>
        <v>145220.12</v>
      </c>
      <c r="S25" s="8" t="n">
        <f aca="false">S24+E25-R25</f>
        <v>1069517.12</v>
      </c>
      <c r="T25" s="8" t="n">
        <f aca="false">K25+L25+M25+N25+O25+P25</f>
        <v>36720.12</v>
      </c>
      <c r="U25" s="8" t="n">
        <f aca="false">U24+T25</f>
        <v>787682.88</v>
      </c>
      <c r="V25" s="8" t="n">
        <f aca="false">MAX(0,Припущення!$B$4-U25)</f>
        <v>212317.12</v>
      </c>
    </row>
    <row r="26" customFormat="false" ht="15" hidden="false" customHeight="false" outlineLevel="0" collapsed="false">
      <c r="A26" s="0" t="n">
        <v>25</v>
      </c>
      <c r="B26" s="3" t="n">
        <v>234000</v>
      </c>
      <c r="C26" s="3" t="n">
        <v>0</v>
      </c>
      <c r="D26" s="3" t="n">
        <v>0</v>
      </c>
      <c r="E26" s="8" t="n">
        <f aca="false">B26+C26+D26</f>
        <v>234000</v>
      </c>
      <c r="F26" s="3" t="n">
        <v>0</v>
      </c>
      <c r="G26" s="3" t="n">
        <v>0</v>
      </c>
      <c r="H26" s="3" t="n">
        <v>15000</v>
      </c>
      <c r="I26" s="3" t="n">
        <v>30000</v>
      </c>
      <c r="J26" s="3" t="n">
        <v>55000</v>
      </c>
      <c r="K26" s="8" t="n">
        <f aca="false">J26*Припущення!$B$10</f>
        <v>12100</v>
      </c>
      <c r="L26" s="8" t="n">
        <f aca="false">J26*Припущення!$B$8</f>
        <v>9900</v>
      </c>
      <c r="M26" s="8" t="n">
        <f aca="false">J26*Припущення!$B$9</f>
        <v>2750</v>
      </c>
      <c r="N26" s="8" t="n">
        <f aca="false">B26*Припущення!$B$6</f>
        <v>11700</v>
      </c>
      <c r="O26" s="8" t="n">
        <f aca="false">B26*Припущення!$B$7</f>
        <v>2340</v>
      </c>
      <c r="P26" s="3" t="n">
        <v>2100.12</v>
      </c>
      <c r="Q26" s="3" t="n">
        <v>35000</v>
      </c>
      <c r="R26" s="8" t="n">
        <f aca="false">F26+G26+H26+I26+J26+K26+N26+O26+P26+Q26</f>
        <v>163240.12</v>
      </c>
      <c r="S26" s="8" t="n">
        <f aca="false">S25+E26-R26</f>
        <v>1140277</v>
      </c>
      <c r="T26" s="8" t="n">
        <f aca="false">K26+L26+M26+N26+O26+P26</f>
        <v>40890.12</v>
      </c>
      <c r="U26" s="8" t="n">
        <f aca="false">U25+T26</f>
        <v>828573</v>
      </c>
      <c r="V26" s="8" t="n">
        <f aca="false">MAX(0,Припущення!$B$4-U26)</f>
        <v>171427</v>
      </c>
    </row>
    <row r="27" customFormat="false" ht="15" hidden="false" customHeight="false" outlineLevel="0" collapsed="false">
      <c r="A27" s="0" t="n">
        <v>26</v>
      </c>
      <c r="B27" s="3" t="n">
        <v>234000</v>
      </c>
      <c r="C27" s="3" t="n">
        <v>0</v>
      </c>
      <c r="D27" s="3" t="n">
        <v>0</v>
      </c>
      <c r="E27" s="8" t="n">
        <f aca="false">B27+C27+D27</f>
        <v>234000</v>
      </c>
      <c r="F27" s="3" t="n">
        <v>0</v>
      </c>
      <c r="G27" s="3" t="n">
        <v>0</v>
      </c>
      <c r="H27" s="3" t="n">
        <v>15000</v>
      </c>
      <c r="I27" s="3" t="n">
        <v>30000</v>
      </c>
      <c r="J27" s="3" t="n">
        <v>55000</v>
      </c>
      <c r="K27" s="8" t="n">
        <f aca="false">J27*Припущення!$B$10</f>
        <v>12100</v>
      </c>
      <c r="L27" s="8" t="n">
        <f aca="false">J27*Припущення!$B$8</f>
        <v>9900</v>
      </c>
      <c r="M27" s="8" t="n">
        <f aca="false">J27*Припущення!$B$9</f>
        <v>2750</v>
      </c>
      <c r="N27" s="8" t="n">
        <f aca="false">B27*Припущення!$B$6</f>
        <v>11700</v>
      </c>
      <c r="O27" s="8" t="n">
        <f aca="false">B27*Припущення!$B$7</f>
        <v>2340</v>
      </c>
      <c r="P27" s="3" t="n">
        <v>2100.12</v>
      </c>
      <c r="Q27" s="3" t="n">
        <v>35000</v>
      </c>
      <c r="R27" s="8" t="n">
        <f aca="false">F27+G27+H27+I27+J27+K27+N27+O27+P27+Q27</f>
        <v>163240.12</v>
      </c>
      <c r="S27" s="8" t="n">
        <f aca="false">S26+E27-R27</f>
        <v>1211036.88</v>
      </c>
      <c r="T27" s="8" t="n">
        <f aca="false">K27+L27+M27+N27+O27+P27</f>
        <v>40890.12</v>
      </c>
      <c r="U27" s="8" t="n">
        <f aca="false">U26+T27</f>
        <v>869463.12</v>
      </c>
      <c r="V27" s="8" t="n">
        <f aca="false">MAX(0,Припущення!$B$4-U27)</f>
        <v>130536.88</v>
      </c>
    </row>
    <row r="28" customFormat="false" ht="15" hidden="false" customHeight="false" outlineLevel="0" collapsed="false">
      <c r="A28" s="0" t="n">
        <v>27</v>
      </c>
      <c r="B28" s="3" t="n">
        <v>234000</v>
      </c>
      <c r="C28" s="3" t="n">
        <v>0</v>
      </c>
      <c r="D28" s="3" t="n">
        <v>0</v>
      </c>
      <c r="E28" s="8" t="n">
        <f aca="false">B28+C28+D28</f>
        <v>234000</v>
      </c>
      <c r="F28" s="3" t="n">
        <v>0</v>
      </c>
      <c r="G28" s="3" t="n">
        <v>0</v>
      </c>
      <c r="H28" s="3" t="n">
        <v>15000</v>
      </c>
      <c r="I28" s="3" t="n">
        <v>30000</v>
      </c>
      <c r="J28" s="3" t="n">
        <v>55000</v>
      </c>
      <c r="K28" s="8" t="n">
        <f aca="false">J28*Припущення!$B$10</f>
        <v>12100</v>
      </c>
      <c r="L28" s="8" t="n">
        <f aca="false">J28*Припущення!$B$8</f>
        <v>9900</v>
      </c>
      <c r="M28" s="8" t="n">
        <f aca="false">J28*Припущення!$B$9</f>
        <v>2750</v>
      </c>
      <c r="N28" s="8" t="n">
        <f aca="false">B28*Припущення!$B$6</f>
        <v>11700</v>
      </c>
      <c r="O28" s="8" t="n">
        <f aca="false">B28*Припущення!$B$7</f>
        <v>2340</v>
      </c>
      <c r="P28" s="3" t="n">
        <v>2100.12</v>
      </c>
      <c r="Q28" s="3" t="n">
        <v>35000</v>
      </c>
      <c r="R28" s="8" t="n">
        <f aca="false">F28+G28+H28+I28+J28+K28+N28+O28+P28+Q28</f>
        <v>163240.12</v>
      </c>
      <c r="S28" s="8" t="n">
        <f aca="false">S27+E28-R28</f>
        <v>1281796.76</v>
      </c>
      <c r="T28" s="8" t="n">
        <f aca="false">K28+L28+M28+N28+O28+P28</f>
        <v>40890.12</v>
      </c>
      <c r="U28" s="8" t="n">
        <f aca="false">U27+T28</f>
        <v>910353.24</v>
      </c>
      <c r="V28" s="8" t="n">
        <f aca="false">MAX(0,Припущення!$B$4-U28)</f>
        <v>89646.76</v>
      </c>
    </row>
    <row r="29" customFormat="false" ht="15" hidden="false" customHeight="false" outlineLevel="0" collapsed="false">
      <c r="A29" s="0" t="n">
        <v>28</v>
      </c>
      <c r="B29" s="3" t="n">
        <v>234000</v>
      </c>
      <c r="C29" s="3" t="n">
        <v>0</v>
      </c>
      <c r="D29" s="3" t="n">
        <v>0</v>
      </c>
      <c r="E29" s="8" t="n">
        <f aca="false">B29+C29+D29</f>
        <v>234000</v>
      </c>
      <c r="F29" s="3" t="n">
        <v>0</v>
      </c>
      <c r="G29" s="3" t="n">
        <v>0</v>
      </c>
      <c r="H29" s="3" t="n">
        <v>15000</v>
      </c>
      <c r="I29" s="3" t="n">
        <v>30000</v>
      </c>
      <c r="J29" s="3" t="n">
        <v>55000</v>
      </c>
      <c r="K29" s="8" t="n">
        <f aca="false">J29*Припущення!$B$10</f>
        <v>12100</v>
      </c>
      <c r="L29" s="8" t="n">
        <f aca="false">J29*Припущення!$B$8</f>
        <v>9900</v>
      </c>
      <c r="M29" s="8" t="n">
        <f aca="false">J29*Припущення!$B$9</f>
        <v>2750</v>
      </c>
      <c r="N29" s="8" t="n">
        <f aca="false">B29*Припущення!$B$6</f>
        <v>11700</v>
      </c>
      <c r="O29" s="8" t="n">
        <f aca="false">B29*Припущення!$B$7</f>
        <v>2340</v>
      </c>
      <c r="P29" s="3" t="n">
        <v>2100.12</v>
      </c>
      <c r="Q29" s="3" t="n">
        <v>35000</v>
      </c>
      <c r="R29" s="8" t="n">
        <f aca="false">F29+G29+H29+I29+J29+K29+N29+O29+P29+Q29</f>
        <v>163240.12</v>
      </c>
      <c r="S29" s="8" t="n">
        <f aca="false">S28+E29-R29</f>
        <v>1352556.64</v>
      </c>
      <c r="T29" s="8" t="n">
        <f aca="false">K29+L29+M29+N29+O29+P29</f>
        <v>40890.12</v>
      </c>
      <c r="U29" s="8" t="n">
        <f aca="false">U28+T29</f>
        <v>951243.36</v>
      </c>
      <c r="V29" s="8" t="n">
        <f aca="false">MAX(0,Припущення!$B$4-U29)</f>
        <v>48756.64</v>
      </c>
    </row>
    <row r="30" customFormat="false" ht="15" hidden="false" customHeight="false" outlineLevel="0" collapsed="false">
      <c r="A30" s="0" t="n">
        <v>29</v>
      </c>
      <c r="B30" s="3" t="n">
        <v>234000</v>
      </c>
      <c r="C30" s="3" t="n">
        <v>0</v>
      </c>
      <c r="D30" s="3" t="n">
        <v>0</v>
      </c>
      <c r="E30" s="8" t="n">
        <f aca="false">B30+C30+D30</f>
        <v>234000</v>
      </c>
      <c r="F30" s="3" t="n">
        <v>0</v>
      </c>
      <c r="G30" s="3" t="n">
        <v>0</v>
      </c>
      <c r="H30" s="3" t="n">
        <v>15000</v>
      </c>
      <c r="I30" s="3" t="n">
        <v>30000</v>
      </c>
      <c r="J30" s="3" t="n">
        <v>55000</v>
      </c>
      <c r="K30" s="8" t="n">
        <f aca="false">J30*Припущення!$B$10</f>
        <v>12100</v>
      </c>
      <c r="L30" s="8" t="n">
        <f aca="false">J30*Припущення!$B$8</f>
        <v>9900</v>
      </c>
      <c r="M30" s="8" t="n">
        <f aca="false">J30*Припущення!$B$9</f>
        <v>2750</v>
      </c>
      <c r="N30" s="8" t="n">
        <f aca="false">B30*Припущення!$B$6</f>
        <v>11700</v>
      </c>
      <c r="O30" s="8" t="n">
        <f aca="false">B30*Припущення!$B$7</f>
        <v>2340</v>
      </c>
      <c r="P30" s="3" t="n">
        <v>2100.12</v>
      </c>
      <c r="Q30" s="3" t="n">
        <v>35000</v>
      </c>
      <c r="R30" s="8" t="n">
        <f aca="false">F30+G30+H30+I30+J30+K30+N30+O30+P30+Q30</f>
        <v>163240.12</v>
      </c>
      <c r="S30" s="8" t="n">
        <f aca="false">S29+E30-R30</f>
        <v>1423316.52</v>
      </c>
      <c r="T30" s="8" t="n">
        <f aca="false">K30+L30+M30+N30+O30+P30</f>
        <v>40890.12</v>
      </c>
      <c r="U30" s="8" t="n">
        <f aca="false">U29+T30</f>
        <v>992133.48</v>
      </c>
      <c r="V30" s="8" t="n">
        <f aca="false">MAX(0,Припущення!$B$4-U30)</f>
        <v>7866.52000000002</v>
      </c>
    </row>
    <row r="31" customFormat="false" ht="15" hidden="false" customHeight="false" outlineLevel="0" collapsed="false">
      <c r="A31" s="0" t="n">
        <v>30</v>
      </c>
      <c r="B31" s="3" t="n">
        <v>234000</v>
      </c>
      <c r="C31" s="3" t="n">
        <v>0</v>
      </c>
      <c r="D31" s="3" t="n">
        <v>0</v>
      </c>
      <c r="E31" s="8" t="n">
        <f aca="false">B31+C31+D31</f>
        <v>234000</v>
      </c>
      <c r="F31" s="3" t="n">
        <v>0</v>
      </c>
      <c r="G31" s="3" t="n">
        <v>0</v>
      </c>
      <c r="H31" s="3" t="n">
        <v>15000</v>
      </c>
      <c r="I31" s="3" t="n">
        <v>30000</v>
      </c>
      <c r="J31" s="3" t="n">
        <v>55000</v>
      </c>
      <c r="K31" s="8" t="n">
        <f aca="false">J31*Припущення!$B$10</f>
        <v>12100</v>
      </c>
      <c r="L31" s="8" t="n">
        <f aca="false">J31*Припущення!$B$8</f>
        <v>9900</v>
      </c>
      <c r="M31" s="8" t="n">
        <f aca="false">J31*Припущення!$B$9</f>
        <v>2750</v>
      </c>
      <c r="N31" s="8" t="n">
        <f aca="false">B31*Припущення!$B$6</f>
        <v>11700</v>
      </c>
      <c r="O31" s="8" t="n">
        <f aca="false">B31*Припущення!$B$7</f>
        <v>2340</v>
      </c>
      <c r="P31" s="3" t="n">
        <v>2100.12</v>
      </c>
      <c r="Q31" s="3" t="n">
        <v>35000</v>
      </c>
      <c r="R31" s="8" t="n">
        <f aca="false">F31+G31+H31+I31+J31+K31+N31+O31+P31+Q31</f>
        <v>163240.12</v>
      </c>
      <c r="S31" s="8" t="n">
        <f aca="false">S30+E31-R31</f>
        <v>1494076.4</v>
      </c>
      <c r="T31" s="8" t="n">
        <f aca="false">K31+L31+M31+N31+O31+P31</f>
        <v>40890.12</v>
      </c>
      <c r="U31" s="8" t="n">
        <f aca="false">U30+T31</f>
        <v>1033023.6</v>
      </c>
      <c r="V31" s="8" t="n">
        <f aca="false">MAX(0,Припущення!$B$4-U31)</f>
        <v>0</v>
      </c>
    </row>
    <row r="32" customFormat="false" ht="15" hidden="false" customHeight="false" outlineLevel="0" collapsed="false">
      <c r="A32" s="0" t="n">
        <v>31</v>
      </c>
      <c r="B32" s="3" t="n">
        <v>234000</v>
      </c>
      <c r="C32" s="3" t="n">
        <v>0</v>
      </c>
      <c r="D32" s="3" t="n">
        <v>0</v>
      </c>
      <c r="E32" s="8" t="n">
        <f aca="false">B32+C32+D32</f>
        <v>234000</v>
      </c>
      <c r="F32" s="3" t="n">
        <v>0</v>
      </c>
      <c r="G32" s="3" t="n">
        <v>0</v>
      </c>
      <c r="H32" s="3" t="n">
        <v>15000</v>
      </c>
      <c r="I32" s="3" t="n">
        <v>32000</v>
      </c>
      <c r="J32" s="3" t="n">
        <v>55000</v>
      </c>
      <c r="K32" s="8" t="n">
        <f aca="false">J32*Припущення!$B$10</f>
        <v>12100</v>
      </c>
      <c r="L32" s="8" t="n">
        <f aca="false">J32*Припущення!$B$8</f>
        <v>9900</v>
      </c>
      <c r="M32" s="8" t="n">
        <f aca="false">J32*Припущення!$B$9</f>
        <v>2750</v>
      </c>
      <c r="N32" s="8" t="n">
        <f aca="false">B32*Припущення!$B$6</f>
        <v>11700</v>
      </c>
      <c r="O32" s="8" t="n">
        <f aca="false">B32*Припущення!$B$7</f>
        <v>2340</v>
      </c>
      <c r="P32" s="3" t="n">
        <v>2100.12</v>
      </c>
      <c r="Q32" s="3" t="n">
        <v>35000</v>
      </c>
      <c r="R32" s="8" t="n">
        <f aca="false">F32+G32+H32+I32+J32+K32+N32+O32+P32+Q32</f>
        <v>165240.12</v>
      </c>
      <c r="S32" s="8" t="n">
        <f aca="false">S31+E32-R32</f>
        <v>1562836.28</v>
      </c>
      <c r="T32" s="8" t="n">
        <f aca="false">K32+L32+M32+N32+O32+P32</f>
        <v>40890.12</v>
      </c>
      <c r="U32" s="8" t="n">
        <f aca="false">U31+T32</f>
        <v>1073913.72</v>
      </c>
      <c r="V32" s="8" t="n">
        <f aca="false">MAX(0,Припущення!$B$4-U32)</f>
        <v>0</v>
      </c>
    </row>
    <row r="33" customFormat="false" ht="15" hidden="false" customHeight="false" outlineLevel="0" collapsed="false">
      <c r="A33" s="0" t="n">
        <v>32</v>
      </c>
      <c r="B33" s="3" t="n">
        <v>234000</v>
      </c>
      <c r="C33" s="3" t="n">
        <v>0</v>
      </c>
      <c r="D33" s="3" t="n">
        <v>0</v>
      </c>
      <c r="E33" s="8" t="n">
        <f aca="false">B33+C33+D33</f>
        <v>234000</v>
      </c>
      <c r="F33" s="3" t="n">
        <v>0</v>
      </c>
      <c r="G33" s="3" t="n">
        <v>0</v>
      </c>
      <c r="H33" s="3" t="n">
        <v>15000</v>
      </c>
      <c r="I33" s="3" t="n">
        <v>32000</v>
      </c>
      <c r="J33" s="3" t="n">
        <v>55000</v>
      </c>
      <c r="K33" s="8" t="n">
        <f aca="false">J33*Припущення!$B$10</f>
        <v>12100</v>
      </c>
      <c r="L33" s="8" t="n">
        <f aca="false">J33*Припущення!$B$8</f>
        <v>9900</v>
      </c>
      <c r="M33" s="8" t="n">
        <f aca="false">J33*Припущення!$B$9</f>
        <v>2750</v>
      </c>
      <c r="N33" s="8" t="n">
        <f aca="false">B33*Припущення!$B$6</f>
        <v>11700</v>
      </c>
      <c r="O33" s="8" t="n">
        <f aca="false">B33*Припущення!$B$7</f>
        <v>2340</v>
      </c>
      <c r="P33" s="3" t="n">
        <v>2100.12</v>
      </c>
      <c r="Q33" s="3" t="n">
        <v>35000</v>
      </c>
      <c r="R33" s="8" t="n">
        <f aca="false">F33+G33+H33+I33+J33+K33+N33+O33+P33+Q33</f>
        <v>165240.12</v>
      </c>
      <c r="S33" s="8" t="n">
        <f aca="false">S32+E33-R33</f>
        <v>1631596.16</v>
      </c>
      <c r="T33" s="8" t="n">
        <f aca="false">K33+L33+M33+N33+O33+P33</f>
        <v>40890.12</v>
      </c>
      <c r="U33" s="8" t="n">
        <f aca="false">U32+T33</f>
        <v>1114803.84</v>
      </c>
      <c r="V33" s="8" t="n">
        <f aca="false">MAX(0,Припущення!$B$4-U33)</f>
        <v>0</v>
      </c>
    </row>
    <row r="34" customFormat="false" ht="15" hidden="false" customHeight="false" outlineLevel="0" collapsed="false">
      <c r="A34" s="0" t="n">
        <v>33</v>
      </c>
      <c r="B34" s="3" t="n">
        <v>234000</v>
      </c>
      <c r="C34" s="3" t="n">
        <v>0</v>
      </c>
      <c r="D34" s="3" t="n">
        <v>0</v>
      </c>
      <c r="E34" s="8" t="n">
        <f aca="false">B34+C34+D34</f>
        <v>234000</v>
      </c>
      <c r="F34" s="3" t="n">
        <v>0</v>
      </c>
      <c r="G34" s="3" t="n">
        <v>0</v>
      </c>
      <c r="H34" s="3" t="n">
        <v>15000</v>
      </c>
      <c r="I34" s="3" t="n">
        <v>32000</v>
      </c>
      <c r="J34" s="3" t="n">
        <v>55000</v>
      </c>
      <c r="K34" s="8" t="n">
        <f aca="false">J34*Припущення!$B$10</f>
        <v>12100</v>
      </c>
      <c r="L34" s="8" t="n">
        <f aca="false">J34*Припущення!$B$8</f>
        <v>9900</v>
      </c>
      <c r="M34" s="8" t="n">
        <f aca="false">J34*Припущення!$B$9</f>
        <v>2750</v>
      </c>
      <c r="N34" s="8" t="n">
        <f aca="false">B34*Припущення!$B$6</f>
        <v>11700</v>
      </c>
      <c r="O34" s="8" t="n">
        <f aca="false">B34*Припущення!$B$7</f>
        <v>2340</v>
      </c>
      <c r="P34" s="3" t="n">
        <v>2100.12</v>
      </c>
      <c r="Q34" s="3" t="n">
        <v>35000</v>
      </c>
      <c r="R34" s="8" t="n">
        <f aca="false">F34+G34+H34+I34+J34+K34+N34+O34+P34+Q34</f>
        <v>165240.12</v>
      </c>
      <c r="S34" s="8" t="n">
        <f aca="false">S33+E34-R34</f>
        <v>1700356.04</v>
      </c>
      <c r="T34" s="8" t="n">
        <f aca="false">K34+L34+M34+N34+O34+P34</f>
        <v>40890.12</v>
      </c>
      <c r="U34" s="8" t="n">
        <f aca="false">U33+T34</f>
        <v>1155693.96</v>
      </c>
      <c r="V34" s="8" t="n">
        <f aca="false">MAX(0,Припущення!$B$4-U34)</f>
        <v>0</v>
      </c>
    </row>
    <row r="35" customFormat="false" ht="15" hidden="false" customHeight="false" outlineLevel="0" collapsed="false">
      <c r="A35" s="0" t="n">
        <v>34</v>
      </c>
      <c r="B35" s="3" t="n">
        <v>234000</v>
      </c>
      <c r="C35" s="3" t="n">
        <v>0</v>
      </c>
      <c r="D35" s="3" t="n">
        <v>0</v>
      </c>
      <c r="E35" s="8" t="n">
        <f aca="false">B35+C35+D35</f>
        <v>234000</v>
      </c>
      <c r="F35" s="3" t="n">
        <v>0</v>
      </c>
      <c r="G35" s="3" t="n">
        <v>0</v>
      </c>
      <c r="H35" s="3" t="n">
        <v>15000</v>
      </c>
      <c r="I35" s="3" t="n">
        <v>32000</v>
      </c>
      <c r="J35" s="3" t="n">
        <v>55000</v>
      </c>
      <c r="K35" s="8" t="n">
        <f aca="false">J35*Припущення!$B$10</f>
        <v>12100</v>
      </c>
      <c r="L35" s="8" t="n">
        <f aca="false">J35*Припущення!$B$8</f>
        <v>9900</v>
      </c>
      <c r="M35" s="8" t="n">
        <f aca="false">J35*Припущення!$B$9</f>
        <v>2750</v>
      </c>
      <c r="N35" s="8" t="n">
        <f aca="false">B35*Припущення!$B$6</f>
        <v>11700</v>
      </c>
      <c r="O35" s="8" t="n">
        <f aca="false">B35*Припущення!$B$7</f>
        <v>2340</v>
      </c>
      <c r="P35" s="3" t="n">
        <v>2100.12</v>
      </c>
      <c r="Q35" s="3" t="n">
        <v>35000</v>
      </c>
      <c r="R35" s="8" t="n">
        <f aca="false">F35+G35+H35+I35+J35+K35+N35+O35+P35+Q35</f>
        <v>165240.12</v>
      </c>
      <c r="S35" s="8" t="n">
        <f aca="false">S34+E35-R35</f>
        <v>1769115.92</v>
      </c>
      <c r="T35" s="8" t="n">
        <f aca="false">K35+L35+M35+N35+O35+P35</f>
        <v>40890.12</v>
      </c>
      <c r="U35" s="8" t="n">
        <f aca="false">U34+T35</f>
        <v>1196584.08</v>
      </c>
      <c r="V35" s="8" t="n">
        <f aca="false">MAX(0,Припущення!$B$4-U35)</f>
        <v>0</v>
      </c>
    </row>
    <row r="36" customFormat="false" ht="15" hidden="false" customHeight="false" outlineLevel="0" collapsed="false">
      <c r="A36" s="0" t="n">
        <v>35</v>
      </c>
      <c r="B36" s="3" t="n">
        <v>234000</v>
      </c>
      <c r="C36" s="3" t="n">
        <v>0</v>
      </c>
      <c r="D36" s="3" t="n">
        <v>0</v>
      </c>
      <c r="E36" s="8" t="n">
        <f aca="false">B36+C36+D36</f>
        <v>234000</v>
      </c>
      <c r="F36" s="3" t="n">
        <v>0</v>
      </c>
      <c r="G36" s="3" t="n">
        <v>0</v>
      </c>
      <c r="H36" s="3" t="n">
        <v>15000</v>
      </c>
      <c r="I36" s="3" t="n">
        <v>32000</v>
      </c>
      <c r="J36" s="3" t="n">
        <v>55000</v>
      </c>
      <c r="K36" s="8" t="n">
        <f aca="false">J36*Припущення!$B$10</f>
        <v>12100</v>
      </c>
      <c r="L36" s="8" t="n">
        <f aca="false">J36*Припущення!$B$8</f>
        <v>9900</v>
      </c>
      <c r="M36" s="8" t="n">
        <f aca="false">J36*Припущення!$B$9</f>
        <v>2750</v>
      </c>
      <c r="N36" s="8" t="n">
        <f aca="false">B36*Припущення!$B$6</f>
        <v>11700</v>
      </c>
      <c r="O36" s="8" t="n">
        <f aca="false">B36*Припущення!$B$7</f>
        <v>2340</v>
      </c>
      <c r="P36" s="3" t="n">
        <v>2100.12</v>
      </c>
      <c r="Q36" s="3" t="n">
        <v>35000</v>
      </c>
      <c r="R36" s="8" t="n">
        <f aca="false">F36+G36+H36+I36+J36+K36+N36+O36+P36+Q36</f>
        <v>165240.12</v>
      </c>
      <c r="S36" s="8" t="n">
        <f aca="false">S35+E36-R36</f>
        <v>1837875.8</v>
      </c>
      <c r="T36" s="8" t="n">
        <f aca="false">K36+L36+M36+N36+O36+P36</f>
        <v>40890.12</v>
      </c>
      <c r="U36" s="8" t="n">
        <f aca="false">U35+T36</f>
        <v>1237474.2</v>
      </c>
      <c r="V36" s="8" t="n">
        <f aca="false">MAX(0,Припущення!$B$4-U36)</f>
        <v>0</v>
      </c>
    </row>
    <row r="37" customFormat="false" ht="15" hidden="false" customHeight="false" outlineLevel="0" collapsed="false">
      <c r="A37" s="0" t="n">
        <v>36</v>
      </c>
      <c r="B37" s="3" t="n">
        <v>234000</v>
      </c>
      <c r="C37" s="3" t="n">
        <v>0</v>
      </c>
      <c r="D37" s="3" t="n">
        <v>0</v>
      </c>
      <c r="E37" s="8" t="n">
        <f aca="false">B37+C37+D37</f>
        <v>234000</v>
      </c>
      <c r="F37" s="3" t="n">
        <v>0</v>
      </c>
      <c r="G37" s="3" t="n">
        <v>0</v>
      </c>
      <c r="H37" s="3" t="n">
        <v>15000</v>
      </c>
      <c r="I37" s="3" t="n">
        <v>30000</v>
      </c>
      <c r="J37" s="3" t="n">
        <v>55000</v>
      </c>
      <c r="K37" s="8" t="n">
        <f aca="false">J37*Припущення!$B$10</f>
        <v>12100</v>
      </c>
      <c r="L37" s="8" t="n">
        <f aca="false">J37*Припущення!$B$8</f>
        <v>9900</v>
      </c>
      <c r="M37" s="8" t="n">
        <f aca="false">J37*Припущення!$B$9</f>
        <v>2750</v>
      </c>
      <c r="N37" s="8" t="n">
        <f aca="false">B37*Припущення!$B$6</f>
        <v>11700</v>
      </c>
      <c r="O37" s="8" t="n">
        <f aca="false">B37*Припущення!$B$7</f>
        <v>2340</v>
      </c>
      <c r="P37" s="3" t="n">
        <v>2100.12</v>
      </c>
      <c r="Q37" s="3" t="n">
        <v>35000</v>
      </c>
      <c r="R37" s="8" t="n">
        <f aca="false">F37+G37+H37+I37+J37+K37+N37+O37+P37+Q37</f>
        <v>163240.12</v>
      </c>
      <c r="S37" s="8" t="n">
        <f aca="false">S36+E37-R37</f>
        <v>1908635.68</v>
      </c>
      <c r="T37" s="8" t="n">
        <f aca="false">K37+L37+M37+N37+O37+P37</f>
        <v>40890.12</v>
      </c>
      <c r="U37" s="8" t="n">
        <f aca="false">U36+T37</f>
        <v>1278364.32</v>
      </c>
      <c r="V37" s="8" t="n">
        <f aca="false">MAX(0,Припущення!$B$4-U37)</f>
        <v>0</v>
      </c>
    </row>
    <row r="38" customFormat="false" ht="15" hidden="false" customHeight="false" outlineLevel="0" collapsed="false">
      <c r="A38" s="10" t="s">
        <v>64</v>
      </c>
      <c r="B38" s="8" t="n">
        <f aca="false">SUM(B2:B37)</f>
        <v>6546000</v>
      </c>
      <c r="C38" s="8" t="n">
        <f aca="false">SUM(C2:C37)</f>
        <v>1000000</v>
      </c>
      <c r="D38" s="8" t="n">
        <f aca="false">SUM(D2:D37)</f>
        <v>485860</v>
      </c>
      <c r="E38" s="8" t="n">
        <f aca="false">SUM(E2:E37)</f>
        <v>8031860</v>
      </c>
      <c r="F38" s="8" t="n">
        <f aca="false">SUM(F2:F37)</f>
        <v>1000000</v>
      </c>
      <c r="G38" s="8" t="n">
        <f aca="false">SUM(G2:G37)</f>
        <v>385860</v>
      </c>
      <c r="H38" s="8" t="n">
        <f aca="false">SUM(H2:H37)</f>
        <v>540000</v>
      </c>
      <c r="I38" s="8" t="n">
        <f aca="false">SUM(I2:I37)</f>
        <v>723000</v>
      </c>
      <c r="J38" s="8" t="n">
        <f aca="false">SUM(J2:J37)</f>
        <v>1800000</v>
      </c>
      <c r="K38" s="8" t="n">
        <f aca="false">SUM(K2:K37)</f>
        <v>396000</v>
      </c>
      <c r="L38" s="8" t="n">
        <f aca="false">SUM(L2:L37)</f>
        <v>324000</v>
      </c>
      <c r="M38" s="8" t="n">
        <f aca="false">SUM(M2:M37)</f>
        <v>90000</v>
      </c>
      <c r="N38" s="8" t="n">
        <f aca="false">SUM(N2:N37)</f>
        <v>327300</v>
      </c>
      <c r="O38" s="8" t="n">
        <f aca="false">SUM(O2:O37)</f>
        <v>65460</v>
      </c>
      <c r="P38" s="8" t="n">
        <f aca="false">SUM(P2:P37)</f>
        <v>75604.32</v>
      </c>
      <c r="Q38" s="8" t="n">
        <f aca="false">SUM(Q2:Q37)</f>
        <v>810000</v>
      </c>
      <c r="R38" s="8" t="n">
        <f aca="false">SUM(R2:R37)</f>
        <v>6123224.32</v>
      </c>
      <c r="T38" s="8" t="n">
        <f aca="false">SUM(T2:T37)</f>
        <v>1278364.32</v>
      </c>
    </row>
    <row r="40" customFormat="false" ht="15" hidden="false" customHeight="false" outlineLevel="0" collapsed="false">
      <c r="A40" s="0" t="s">
        <v>86</v>
      </c>
      <c r="E40" s="0" t="n">
        <f aca="false">IFERROR(MATCH(0,V2:V37,0),"не покрито")</f>
        <v>30</v>
      </c>
    </row>
    <row r="41" customFormat="false" ht="15" hidden="false" customHeight="false" outlineLevel="0" collapsed="false">
      <c r="A41" s="0" t="s">
        <v>87</v>
      </c>
      <c r="E41" s="8" t="n">
        <f aca="false">MIN(S2:S37)</f>
        <v>66699.3999999999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60"/>
  </cols>
  <sheetData>
    <row r="1" customFormat="false" ht="28.35" hidden="false" customHeight="false" outlineLevel="0" collapsed="false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4</v>
      </c>
    </row>
    <row r="2" customFormat="false" ht="15" hidden="false" customHeight="false" outlineLevel="0" collapsed="false">
      <c r="A2" s="0" t="s">
        <v>94</v>
      </c>
      <c r="B2" s="8" t="n">
        <v>6546000</v>
      </c>
      <c r="C2" s="8" t="n">
        <v>1278364</v>
      </c>
      <c r="D2" s="4" t="s">
        <v>95</v>
      </c>
      <c r="E2" s="8" t="n">
        <v>66699</v>
      </c>
      <c r="F2" s="8" t="n">
        <v>2618636</v>
      </c>
      <c r="G2" s="4" t="s">
        <v>96</v>
      </c>
    </row>
    <row r="3" customFormat="false" ht="15" hidden="false" customHeight="false" outlineLevel="0" collapsed="false">
      <c r="A3" s="0" t="s">
        <v>97</v>
      </c>
      <c r="B3" s="8" t="n">
        <v>5236800</v>
      </c>
      <c r="C3" s="8" t="n">
        <v>1199812</v>
      </c>
      <c r="D3" s="4" t="s">
        <v>98</v>
      </c>
      <c r="E3" s="8" t="n">
        <v>-41</v>
      </c>
      <c r="F3" s="8" t="n">
        <v>1387988</v>
      </c>
      <c r="G3" s="4" t="s">
        <v>99</v>
      </c>
    </row>
    <row r="4" customFormat="false" ht="15" hidden="false" customHeight="false" outlineLevel="0" collapsed="false">
      <c r="A4" s="0" t="s">
        <v>100</v>
      </c>
      <c r="B4" s="8" t="n">
        <v>4582200</v>
      </c>
      <c r="C4" s="8" t="n">
        <v>1160536</v>
      </c>
      <c r="D4" s="4" t="s">
        <v>101</v>
      </c>
      <c r="E4" s="8" t="n">
        <v>-33411</v>
      </c>
      <c r="F4" s="8" t="n">
        <v>772664</v>
      </c>
      <c r="G4" s="4" t="s">
        <v>102</v>
      </c>
    </row>
    <row r="5" customFormat="false" ht="15" hidden="false" customHeight="false" outlineLevel="0" collapsed="false">
      <c r="A5" s="0" t="s">
        <v>103</v>
      </c>
      <c r="B5" s="8" t="n">
        <v>6345000</v>
      </c>
      <c r="C5" s="8" t="n">
        <v>1266304</v>
      </c>
      <c r="D5" s="4" t="s">
        <v>95</v>
      </c>
      <c r="E5" s="8" t="n">
        <v>-122241</v>
      </c>
      <c r="F5" s="8" t="n">
        <v>2429696</v>
      </c>
      <c r="G5" s="4" t="s">
        <v>104</v>
      </c>
    </row>
    <row r="6" customFormat="false" ht="15" hidden="false" customHeight="false" outlineLevel="0" collapsed="false">
      <c r="A6" s="0" t="s">
        <v>105</v>
      </c>
      <c r="B6" s="8" t="n">
        <v>6546000</v>
      </c>
      <c r="C6" s="8" t="n">
        <v>1399864</v>
      </c>
      <c r="D6" s="4" t="s">
        <v>106</v>
      </c>
      <c r="E6" s="8" t="n">
        <v>25524</v>
      </c>
      <c r="F6" s="8" t="n">
        <v>2289236</v>
      </c>
      <c r="G6" s="4" t="s">
        <v>107</v>
      </c>
    </row>
    <row r="9" customFormat="false" ht="15" hidden="false" customHeight="false" outlineLevel="0" collapsed="false">
      <c r="A9" s="0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60"/>
    <col collapsed="false" customWidth="true" hidden="false" outlineLevel="0" max="5" min="5" style="0" width="20"/>
  </cols>
  <sheetData>
    <row r="1" customFormat="false" ht="28.35" hidden="false" customHeight="false" outlineLevel="0" collapsed="false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</row>
    <row r="2" customFormat="false" ht="15" hidden="false" customHeight="false" outlineLevel="0" collapsed="false">
      <c r="A2" s="11" t="n">
        <v>1</v>
      </c>
      <c r="B2" s="11" t="s">
        <v>114</v>
      </c>
      <c r="C2" s="11" t="s">
        <v>115</v>
      </c>
      <c r="D2" s="11" t="s">
        <v>116</v>
      </c>
      <c r="E2" s="12" t="n">
        <v>0</v>
      </c>
    </row>
    <row r="3" customFormat="false" ht="28.35" hidden="false" customHeight="false" outlineLevel="0" collapsed="false">
      <c r="A3" s="11" t="n">
        <v>2</v>
      </c>
      <c r="B3" s="11" t="s">
        <v>117</v>
      </c>
      <c r="C3" s="11" t="s">
        <v>118</v>
      </c>
      <c r="D3" s="11" t="s">
        <v>119</v>
      </c>
      <c r="E3" s="12" t="n">
        <v>10</v>
      </c>
    </row>
    <row r="4" customFormat="false" ht="15" hidden="false" customHeight="false" outlineLevel="0" collapsed="false">
      <c r="A4" s="11" t="n">
        <v>3</v>
      </c>
      <c r="B4" s="11" t="s">
        <v>120</v>
      </c>
      <c r="C4" s="11" t="s">
        <v>121</v>
      </c>
      <c r="D4" s="11"/>
      <c r="E4" s="12" t="n">
        <v>20</v>
      </c>
    </row>
    <row r="5" customFormat="false" ht="15" hidden="false" customHeight="false" outlineLevel="0" collapsed="false">
      <c r="A5" s="11" t="n">
        <v>4</v>
      </c>
      <c r="B5" s="11" t="s">
        <v>122</v>
      </c>
      <c r="C5" s="11" t="s">
        <v>123</v>
      </c>
      <c r="D5" s="11" t="s">
        <v>124</v>
      </c>
      <c r="E5" s="12" t="n">
        <v>15</v>
      </c>
    </row>
    <row r="6" customFormat="false" ht="15" hidden="false" customHeight="false" outlineLevel="0" collapsed="false">
      <c r="A6" s="11" t="n">
        <v>5</v>
      </c>
      <c r="B6" s="11" t="s">
        <v>125</v>
      </c>
      <c r="C6" s="11" t="s">
        <v>126</v>
      </c>
      <c r="D6" s="11"/>
      <c r="E6" s="12" t="n">
        <v>14</v>
      </c>
    </row>
    <row r="7" customFormat="false" ht="15" hidden="false" customHeight="false" outlineLevel="0" collapsed="false">
      <c r="A7" s="11" t="n">
        <v>6</v>
      </c>
      <c r="B7" s="11" t="s">
        <v>127</v>
      </c>
      <c r="C7" s="11" t="s">
        <v>128</v>
      </c>
      <c r="D7" s="11" t="s">
        <v>129</v>
      </c>
      <c r="E7" s="12" t="n">
        <v>3</v>
      </c>
    </row>
    <row r="8" customFormat="false" ht="15" hidden="false" customHeight="false" outlineLevel="0" collapsed="false">
      <c r="A8" s="11" t="n">
        <v>7</v>
      </c>
      <c r="B8" s="11" t="s">
        <v>130</v>
      </c>
      <c r="C8" s="11" t="s">
        <v>131</v>
      </c>
      <c r="D8" s="11" t="s">
        <v>132</v>
      </c>
      <c r="E8" s="12" t="n">
        <v>6</v>
      </c>
    </row>
    <row r="9" customFormat="false" ht="15" hidden="false" customHeight="false" outlineLevel="0" collapsed="false">
      <c r="A9" s="11" t="n">
        <v>8</v>
      </c>
      <c r="B9" s="11" t="s">
        <v>133</v>
      </c>
      <c r="C9" s="11" t="s">
        <v>134</v>
      </c>
      <c r="D9" s="11" t="s">
        <v>135</v>
      </c>
      <c r="E9" s="12" t="n">
        <v>3</v>
      </c>
    </row>
    <row r="10" customFormat="false" ht="28.35" hidden="false" customHeight="false" outlineLevel="0" collapsed="false">
      <c r="A10" s="11" t="n">
        <v>9</v>
      </c>
      <c r="B10" s="11" t="s">
        <v>136</v>
      </c>
      <c r="C10" s="11" t="s">
        <v>137</v>
      </c>
      <c r="D10" s="11" t="s">
        <v>138</v>
      </c>
      <c r="E10" s="12" t="n">
        <v>4</v>
      </c>
    </row>
    <row r="11" customFormat="false" ht="28.35" hidden="false" customHeight="false" outlineLevel="0" collapsed="false">
      <c r="A11" s="11" t="n">
        <v>10</v>
      </c>
      <c r="B11" s="11" t="s">
        <v>139</v>
      </c>
      <c r="C11" s="11" t="s">
        <v>140</v>
      </c>
      <c r="D11" s="11" t="s">
        <v>141</v>
      </c>
      <c r="E11" s="12" t="n">
        <v>4</v>
      </c>
    </row>
    <row r="12" customFormat="false" ht="15" hidden="false" customHeight="false" outlineLevel="0" collapsed="false">
      <c r="A12" s="11" t="n">
        <v>11</v>
      </c>
      <c r="B12" s="11" t="s">
        <v>142</v>
      </c>
      <c r="C12" s="11" t="s">
        <v>143</v>
      </c>
      <c r="D12" s="11" t="s">
        <v>144</v>
      </c>
      <c r="E12" s="12" t="n">
        <v>10</v>
      </c>
    </row>
    <row r="13" customFormat="false" ht="15" hidden="false" customHeight="false" outlineLevel="0" collapsed="false">
      <c r="A13" s="11" t="n">
        <v>12</v>
      </c>
      <c r="B13" s="11" t="s">
        <v>145</v>
      </c>
      <c r="C13" s="11" t="s">
        <v>146</v>
      </c>
      <c r="D13" s="11" t="s">
        <v>147</v>
      </c>
      <c r="E13" s="12"/>
    </row>
    <row r="14" customFormat="false" ht="15" hidden="false" customHeight="false" outlineLevel="0" collapsed="false">
      <c r="A14" s="11" t="n">
        <v>13</v>
      </c>
      <c r="B14" s="11" t="s">
        <v>148</v>
      </c>
      <c r="C14" s="11" t="s">
        <v>149</v>
      </c>
      <c r="D14" s="11" t="s">
        <v>147</v>
      </c>
      <c r="E14" s="12"/>
    </row>
    <row r="15" customFormat="false" ht="28.35" hidden="false" customHeight="false" outlineLevel="0" collapsed="false">
      <c r="A15" s="11" t="n">
        <v>14</v>
      </c>
      <c r="B15" s="11" t="s">
        <v>150</v>
      </c>
      <c r="C15" s="11" t="s">
        <v>151</v>
      </c>
      <c r="D15" s="11" t="s">
        <v>152</v>
      </c>
      <c r="E15" s="12"/>
    </row>
    <row r="16" customFormat="false" ht="15" hidden="false" customHeight="false" outlineLevel="0" collapsed="false">
      <c r="A16" s="11" t="n">
        <v>15</v>
      </c>
      <c r="B16" s="11" t="s">
        <v>153</v>
      </c>
      <c r="C16" s="11" t="s">
        <v>154</v>
      </c>
      <c r="D16" s="11" t="s">
        <v>147</v>
      </c>
      <c r="E16" s="12"/>
    </row>
    <row r="17" customFormat="false" ht="15" hidden="false" customHeight="false" outlineLevel="0" collapsed="false">
      <c r="A17" s="11" t="n">
        <v>16</v>
      </c>
      <c r="B17" s="11" t="s">
        <v>155</v>
      </c>
      <c r="C17" s="11" t="s">
        <v>156</v>
      </c>
      <c r="D17" s="11" t="s">
        <v>157</v>
      </c>
      <c r="E17" s="12"/>
    </row>
    <row r="18" customFormat="false" ht="28.35" hidden="false" customHeight="false" outlineLevel="0" collapsed="false">
      <c r="A18" s="11" t="n">
        <v>17</v>
      </c>
      <c r="B18" s="11" t="s">
        <v>158</v>
      </c>
      <c r="C18" s="11" t="s">
        <v>159</v>
      </c>
      <c r="D18" s="11" t="s">
        <v>160</v>
      </c>
      <c r="E18" s="12" t="n">
        <v>5</v>
      </c>
    </row>
    <row r="19" customFormat="false" ht="28.35" hidden="false" customHeight="false" outlineLevel="0" collapsed="false">
      <c r="A19" s="11" t="n">
        <v>18</v>
      </c>
      <c r="B19" s="11" t="s">
        <v>161</v>
      </c>
      <c r="C19" s="11" t="s">
        <v>162</v>
      </c>
      <c r="D19" s="11" t="s">
        <v>163</v>
      </c>
      <c r="E19" s="12"/>
    </row>
    <row r="20" customFormat="false" ht="28.35" hidden="false" customHeight="false" outlineLevel="0" collapsed="false">
      <c r="A20" s="11" t="n">
        <v>19</v>
      </c>
      <c r="B20" s="11" t="s">
        <v>164</v>
      </c>
      <c r="C20" s="11" t="s">
        <v>165</v>
      </c>
      <c r="D20" s="11" t="s">
        <v>166</v>
      </c>
      <c r="E20" s="12" t="n">
        <v>0</v>
      </c>
    </row>
    <row r="21" customFormat="false" ht="15" hidden="false" customHeight="false" outlineLevel="0" collapsed="false">
      <c r="A21" s="11" t="n">
        <v>20</v>
      </c>
      <c r="B21" s="11" t="s">
        <v>167</v>
      </c>
      <c r="C21" s="11" t="s">
        <v>168</v>
      </c>
      <c r="D21" s="11" t="s">
        <v>169</v>
      </c>
      <c r="E21" s="12" t="n">
        <v>2</v>
      </c>
    </row>
    <row r="22" customFormat="false" ht="28.35" hidden="false" customHeight="false" outlineLevel="0" collapsed="false">
      <c r="A22" s="11" t="n">
        <v>21</v>
      </c>
      <c r="B22" s="11" t="s">
        <v>170</v>
      </c>
      <c r="C22" s="11" t="s">
        <v>171</v>
      </c>
      <c r="D22" s="11" t="s">
        <v>172</v>
      </c>
      <c r="E22" s="12" t="n">
        <v>5</v>
      </c>
    </row>
    <row r="23" customFormat="false" ht="15" hidden="false" customHeight="false" outlineLevel="0" collapsed="false">
      <c r="B23" s="10" t="s">
        <v>173</v>
      </c>
      <c r="E23" s="10" t="n">
        <f aca="false">SUM(E2:E22)</f>
        <v>101</v>
      </c>
    </row>
    <row r="24" customFormat="false" ht="15" hidden="false" customHeight="false" outlineLevel="0" collapsed="false">
      <c r="B24" s="10" t="s">
        <v>174</v>
      </c>
      <c r="E24" s="7" t="n">
        <v>35</v>
      </c>
    </row>
    <row r="25" customFormat="false" ht="15" hidden="false" customHeight="false" outlineLevel="0" collapsed="false">
      <c r="B25" s="10" t="s">
        <v>175</v>
      </c>
      <c r="E25" s="10" t="n">
        <f aca="false">E23+E24</f>
        <v>136</v>
      </c>
    </row>
    <row r="27" customFormat="false" ht="15" hidden="false" customHeight="false" outlineLevel="0" collapsed="false">
      <c r="B27" s="0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28.35" hidden="false" customHeight="false" outlineLevel="0" collapsed="false">
      <c r="A1" s="2" t="s">
        <v>177</v>
      </c>
      <c r="B1" s="2" t="s">
        <v>178</v>
      </c>
      <c r="C1" s="2" t="s">
        <v>179</v>
      </c>
      <c r="D1" s="2" t="s">
        <v>180</v>
      </c>
      <c r="E1" s="2" t="s">
        <v>181</v>
      </c>
    </row>
    <row r="2" customFormat="false" ht="15" hidden="false" customHeight="false" outlineLevel="0" collapsed="false">
      <c r="A2" s="0" t="s">
        <v>182</v>
      </c>
      <c r="B2" s="8" t="n">
        <v>300000</v>
      </c>
      <c r="C2" s="13" t="n">
        <f aca="false">B2/Припущення!$B$4</f>
        <v>0.3</v>
      </c>
      <c r="D2" s="4" t="s">
        <v>183</v>
      </c>
      <c r="E2" s="4" t="s">
        <v>184</v>
      </c>
    </row>
    <row r="3" customFormat="false" ht="15" hidden="false" customHeight="false" outlineLevel="0" collapsed="false">
      <c r="A3" s="0" t="s">
        <v>185</v>
      </c>
      <c r="B3" s="8" t="n">
        <v>90000</v>
      </c>
      <c r="C3" s="13" t="n">
        <f aca="false">B3/Припущення!$B$4</f>
        <v>0.09</v>
      </c>
      <c r="D3" s="4" t="s">
        <v>183</v>
      </c>
      <c r="E3" s="4" t="s">
        <v>184</v>
      </c>
    </row>
    <row r="4" customFormat="false" ht="15" hidden="false" customHeight="false" outlineLevel="0" collapsed="false">
      <c r="A4" s="0" t="s">
        <v>186</v>
      </c>
      <c r="B4" s="8" t="n">
        <v>180000</v>
      </c>
      <c r="C4" s="13" t="n">
        <f aca="false">B4/Припущення!$B$4</f>
        <v>0.18</v>
      </c>
      <c r="D4" s="4" t="s">
        <v>187</v>
      </c>
      <c r="E4" s="0" t="str">
        <f aca="false">IF(C4&lt;=0.25,"у межах","ПЕРЕВИЩЕНО")</f>
        <v>у межах</v>
      </c>
    </row>
    <row r="5" customFormat="false" ht="15" hidden="false" customHeight="false" outlineLevel="0" collapsed="false">
      <c r="A5" s="0" t="s">
        <v>188</v>
      </c>
      <c r="B5" s="8" t="n">
        <v>95000</v>
      </c>
      <c r="C5" s="13" t="n">
        <f aca="false">B5/Припущення!$B$4</f>
        <v>0.095</v>
      </c>
      <c r="D5" s="4" t="s">
        <v>189</v>
      </c>
      <c r="E5" s="0" t="str">
        <f aca="false">IF(C5&lt;=0.1,"у межах","ПЕРЕВИЩЕНО")</f>
        <v>у межах</v>
      </c>
    </row>
    <row r="6" customFormat="false" ht="15" hidden="false" customHeight="false" outlineLevel="0" collapsed="false">
      <c r="A6" s="0" t="s">
        <v>190</v>
      </c>
      <c r="B6" s="8" t="n">
        <v>40000</v>
      </c>
      <c r="C6" s="13" t="n">
        <f aca="false">B6/Припущення!$B$4</f>
        <v>0.04</v>
      </c>
      <c r="D6" s="4" t="s">
        <v>191</v>
      </c>
      <c r="E6" s="0" t="str">
        <f aca="false">IF(C6&lt;=0.2,"у межах","ПЕРЕВИЩЕНО")</f>
        <v>у межах</v>
      </c>
    </row>
    <row r="7" customFormat="false" ht="15" hidden="false" customHeight="false" outlineLevel="0" collapsed="false">
      <c r="A7" s="0" t="s">
        <v>192</v>
      </c>
      <c r="B7" s="8" t="n">
        <v>95000</v>
      </c>
      <c r="C7" s="13" t="n">
        <f aca="false">B7/Припущення!$B$4</f>
        <v>0.095</v>
      </c>
      <c r="D7" s="4" t="s">
        <v>189</v>
      </c>
      <c r="E7" s="0" t="str">
        <f aca="false">IF(C7&lt;=0.1,"у межах","ПЕРЕВИЩЕНО")</f>
        <v>у межах</v>
      </c>
    </row>
    <row r="8" customFormat="false" ht="15" hidden="false" customHeight="false" outlineLevel="0" collapsed="false">
      <c r="A8" s="0" t="s">
        <v>193</v>
      </c>
      <c r="B8" s="8" t="n">
        <v>20000</v>
      </c>
      <c r="C8" s="13" t="n">
        <f aca="false">B8/Припущення!$B$4</f>
        <v>0.02</v>
      </c>
      <c r="D8" s="4" t="s">
        <v>194</v>
      </c>
      <c r="E8" s="0" t="str">
        <f aca="false">IF(C8&lt;=0.5,"у межах","ПЕРЕВИЩЕНО")</f>
        <v>у межах</v>
      </c>
    </row>
    <row r="9" customFormat="false" ht="15" hidden="false" customHeight="false" outlineLevel="0" collapsed="false">
      <c r="A9" s="0" t="s">
        <v>195</v>
      </c>
      <c r="B9" s="8" t="n">
        <v>180000</v>
      </c>
      <c r="C9" s="13" t="n">
        <f aca="false">B9/Припущення!$B$4</f>
        <v>0.18</v>
      </c>
      <c r="D9" s="4" t="s">
        <v>187</v>
      </c>
      <c r="E9" s="0" t="str">
        <f aca="false">IF(C9&lt;=0.25,"у межах","ПЕРЕВИЩЕНО")</f>
        <v>у межах</v>
      </c>
    </row>
    <row r="10" customFormat="false" ht="15" hidden="false" customHeight="false" outlineLevel="0" collapsed="false">
      <c r="A10" s="10" t="s">
        <v>64</v>
      </c>
      <c r="B10" s="8" t="n">
        <f aca="false">SUM(B2:B9)</f>
        <v>1000000</v>
      </c>
      <c r="E10" s="0" t="str">
        <f aca="false">IF(B10=Припущення!$B$4,"= грант","≠ грант")</f>
        <v>= грант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2026-10-18T05:45:42Z</dcterms:created>
  <dc:creator>openpyxl</dc:creator>
  <dc:description/>
  <dc:language>en-US</dc:language>
  <cp:lastModifiedBy/>
  <dcterms:modified xsi:type="dcterms:W3CDTF">2026-10-18T05:45:42Z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